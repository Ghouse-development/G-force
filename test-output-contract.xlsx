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14.xml" ContentType="application/vnd.openxmlformats-officedocument.spreadsheetml.worksheet+xml"/>
  <Override PartName="/xl/worksheets/sheet44.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52.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48.xml" ContentType="application/vnd.openxmlformats-officedocument.spreadsheetml.worksheet+xml"/>
  <Override PartName="/xl/worksheets/sheet47.xml" ContentType="application/vnd.openxmlformats-officedocument.spreadsheetml.worksheet+xml"/>
  <Override PartName="/xl/worksheets/sheet55.xml" ContentType="application/vnd.openxmlformats-officedocument.spreadsheetml.worksheet+xml"/>
  <Override PartName="/xl/worksheets/sheet11.xml" ContentType="application/vnd.openxmlformats-officedocument.spreadsheetml.worksheet+xml"/>
  <Override PartName="/xl/worksheets/sheet3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45.xml" ContentType="application/vnd.openxmlformats-officedocument.spreadsheetml.worksheet+xml"/>
  <Override PartName="/xl/worksheets/sheet29.xml" ContentType="application/vnd.openxmlformats-officedocument.spreadsheetml.worksheet+xml"/>
  <Override PartName="/xl/worksheets/sheet3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32640" windowHeight="21120" activeTab="2"/>
  </bookViews>
  <sheets>
    <sheet sheetId="1" name="初期入力" state="visible" r:id="rId4"/>
    <sheet sheetId="2" name="★重要事項説明書・省エネ説明義務化" state="visible" r:id="rId5"/>
    <sheet sheetId="4" name="工事請負契約書" state="visible" r:id="rId6"/>
    <sheet sheetId="14" name="追加変更請負契約書 " state="visible" r:id="rId7"/>
    <sheet sheetId="44" name="変更合意書" state="visible" r:id="rId8"/>
    <sheet sheetId="41" name="HOURS以外制約事項" state="visible" r:id="rId9"/>
    <sheet sheetId="40" name="作業用タブ1" state="hidden" r:id="rId10"/>
    <sheet sheetId="52" name="LIFE,LIFE+キャンペーン制約事項" state="hidden" r:id="rId11"/>
    <sheet sheetId="42" name="HOURS制約事項" state="visible" r:id="rId12"/>
    <sheet sheetId="43" name="作業用タブ2" state="hidden" r:id="rId13"/>
    <sheet sheetId="49" name="LIFE LIMITED キャンペーン" state="hidden" r:id="rId14"/>
    <sheet sheetId="50" name="LIFE・LIFE+キャンペーン" state="hidden" r:id="rId15"/>
    <sheet sheetId="56" name="LIFE+ LIMITED キャンペーン " state="visible" r:id="rId16"/>
    <sheet sheetId="57" name="LIFE LIMITED キャンペーン " state="visible" r:id="rId17"/>
    <sheet sheetId="48" name="紹介料支払承諾書" state="visible" r:id="rId18"/>
    <sheet sheetId="47" name="作業用タブ3" state="hidden" r:id="rId19"/>
    <sheet sheetId="55" name="紹介料支払承諾書 (2)" state="hidden" r:id="rId20"/>
    <sheet sheetId="11" name="補助金の覚書" state="visible" r:id="rId21"/>
    <sheet sheetId="34" name="解体承諾書" state="visible" r:id="rId22"/>
    <sheet sheetId="10" name="契約金振り込み依頼書" state="hidden" r:id="rId23"/>
    <sheet sheetId="38" name="着工金・中間金振り込み依頼書" state="visible" r:id="rId24"/>
    <sheet sheetId="17" name="▲太陽光明細書・蓄電池サインURL" state="hidden" r:id="rId25"/>
    <sheet sheetId="31" name="約定書" state="visible" r:id="rId26"/>
    <sheet sheetId="45" name="追加工事契約書" state="visible" r:id="rId27"/>
    <sheet sheetId="29" name="最終精算書" state="visible" r:id="rId28"/>
    <sheet sheetId="33" name="紹介料支払依頼書" state="visible" r:id="rId29"/>
    <sheet sheetId="54" name="振込依頼書" state="visible" r:id="rId30"/>
  </sheets>
  <definedNames>
    <definedName name="ADRESSA">'契約金振り込み依頼書'!$AO$7:$AP$15</definedName>
    <definedName name="ADRESSB">'契約金振り込み依頼書'!$AO$7:$AO$15</definedName>
    <definedName name="_xlnm.Print_Area" localSheetId="0">'初期入力'!$A1:$H47</definedName>
    <definedName name="_xlnm.Print_Area" localSheetId="1">'★重要事項説明書・省エネ説明義務化'!$A1:$U113</definedName>
    <definedName name="_xlnm.Print_Area" localSheetId="2">'工事請負契約書'!$A1:$Z1228</definedName>
    <definedName name="_xlnm.Print_Area" localSheetId="3">'追加変更請負契約書 '!$A1:$U642</definedName>
    <definedName name="_xlnm.Print_Area" localSheetId="4">'変更合意書'!$A1:$Q42</definedName>
    <definedName name="_xlnm.Print_Area" localSheetId="5">'HOURS以外制約事項'!$A1:$G35</definedName>
    <definedName name="_xlnm.Print_Area" localSheetId="7">'LIFE,LIFE+キャンペーン制約事項'!$A1:$G34</definedName>
    <definedName name="_xlnm.Print_Area" localSheetId="8">'HOURS制約事項'!$A1:$G38</definedName>
    <definedName name="_xlnm.Print_Area" localSheetId="12">'LIFE+ LIMITED キャンペーン '!$A1:$O44</definedName>
    <definedName name="_xlnm.Print_Area" localSheetId="13">'LIFE LIMITED キャンペーン '!$A1:$O44</definedName>
    <definedName name="_xlnm.Print_Area" localSheetId="14">'紹介料支払承諾書'!$A1:$N36</definedName>
    <definedName name="_xlnm.Print_Area" localSheetId="16">'紹介料支払承諾書 (2)'!$A1:$N37</definedName>
    <definedName name="_xlnm.Print_Area" localSheetId="17">'補助金の覚書'!$A1:$AD54</definedName>
    <definedName name="_xlnm.Print_Area" localSheetId="21">'▲太陽光明細書・蓄電池サインURL'!$A1:$AX13</definedName>
    <definedName name="_xlnm.Print_Area" localSheetId="24">'最終精算書'!$A1:$U38</definedName>
    <definedName name="_xlnm.Print_Area" localSheetId="25">'紹介料支払依頼書'!$A1:$K33</definedName>
    <definedName name="_xlnm.Print_Area" localSheetId="26">'振込依頼書'!$A1:$N24</definedName>
  </definedNames>
  <calcPr calcId="171027"/>
</workbook>
</file>

<file path=xl/comments4.xml><?xml version="1.0" encoding="utf-8"?>
<comments xmlns="http://schemas.openxmlformats.org/spreadsheetml/2006/main">
  <authors>
    <author>Author</author>
  </authors>
  <commentList>
    <comment ref="B1195" authorId="0">
      <text>
        <r>
          <rPr>
            <b/>
            <charset val="128"/>
            <color indexed="81"/>
            <family val="3"/>
            <sz val="9"/>
            <rFont val="ＭＳ Ｐゴシック"/>
          </rPr>
          <t xml:space="preserve">請負契約日を記入
</t>
        </r>
      </text>
    </comment>
  </commentList>
</comments>
</file>

<file path=xl/sharedStrings.xml><?xml version="1.0" encoding="utf-8"?>
<sst xmlns="http://schemas.openxmlformats.org/spreadsheetml/2006/main" count="3858" uniqueCount="2052">
  <si>
    <t>初期入力欄</t>
  </si>
  <si>
    <t>（ピンク色の箇所に記入またはタブで選択お願いします）</t>
  </si>
  <si>
    <t>請負契約書入力分</t>
  </si>
  <si>
    <t>工事名称</t>
  </si>
  <si>
    <t>大阪市旭区新森　テスト太郎様邸新築工事</t>
  </si>
  <si>
    <t>★マークがついているタブは単独名義の場合、一部削除する操作必要</t>
  </si>
  <si>
    <t>客先氏名</t>
  </si>
  <si>
    <t>テスト太郎</t>
  </si>
  <si>
    <t>客先住所</t>
  </si>
  <si>
    <t>大阪府大阪市中央区本町1-1-1</t>
  </si>
  <si>
    <t>客先氏名2</t>
  </si>
  <si>
    <t>テスト花子</t>
  </si>
  <si>
    <t>様</t>
  </si>
  <si>
    <t>←連名の場合は2列目に様を入力する</t>
  </si>
  <si>
    <t>客先住所2</t>
  </si>
  <si>
    <t>↓下記4列はプルダウンで選択してください。</t>
  </si>
  <si>
    <t>重要事項説明者</t>
  </si>
  <si>
    <t>田中　聡</t>
  </si>
  <si>
    <t>←重要事項説明書を依頼する方を選択してください。</t>
  </si>
  <si>
    <t>建築士登録番号</t>
  </si>
  <si>
    <t>建築士</t>
  </si>
  <si>
    <t>登録第</t>
  </si>
  <si>
    <t>←3つ選択必要</t>
  </si>
  <si>
    <t xml:space="preserve">　田中　聡（一級）建築士【大臣登録】（第253424号）　佐古　祐太（二級）建築士　大阪府知事登録（第58870号)</t>
  </si>
  <si>
    <t>建築士の種類</t>
  </si>
  <si>
    <t>←田中さんは【管理建築士】、それ以外の方は【所属する建築士】の■になっているタブを選んでください。</t>
  </si>
  <si>
    <t>単独or共有</t>
  </si>
  <si>
    <t>共有</t>
  </si>
  <si>
    <t xml:space="preserve">　西野　秀樹（一級）建築士【大臣登録】（第332632号）　箕浦　三四郎（一級）建築士【大臣登録】（第354989号）</t>
  </si>
  <si>
    <t>営業担当</t>
  </si>
  <si>
    <t>田畑　美香</t>
  </si>
  <si>
    <t xml:space="preserve">　古久保　知佳子（二級）大阪府知事登録（第56598号)　村上　由貴子（二級）京都府知事登録（第18527号）</t>
  </si>
  <si>
    <t>請負契約日</t>
  </si>
  <si>
    <t>年</t>
  </si>
  <si>
    <t>月</t>
  </si>
  <si>
    <t>日</t>
  </si>
  <si>
    <t>←数字のみ入力必要</t>
  </si>
  <si>
    <t>林　恭生（二級）和歌山県知事（第6667）　北村　晃平（一級）【大臣登録】（第362717号）</t>
  </si>
  <si>
    <t>変更契約日</t>
  </si>
  <si>
    <t>安藤　千智　（二級）建築士　京都府知事登録（第19339号）</t>
  </si>
  <si>
    <t>工事場所</t>
  </si>
  <si>
    <t>大阪府大阪市旭区新森1-2-3</t>
  </si>
  <si>
    <t>←【地番記載】謄本通りの書き方にて</t>
  </si>
  <si>
    <t>構造</t>
  </si>
  <si>
    <t>木造軸組工法</t>
  </si>
  <si>
    <t>建物階数</t>
  </si>
  <si>
    <t>変更契約→</t>
  </si>
  <si>
    <t>←階数選択</t>
  </si>
  <si>
    <t>設計担当</t>
  </si>
  <si>
    <t>番号</t>
  </si>
  <si>
    <t>級</t>
  </si>
  <si>
    <t>登録</t>
  </si>
  <si>
    <t>棟数</t>
  </si>
  <si>
    <t>一級</t>
  </si>
  <si>
    <t>大臣</t>
  </si>
  <si>
    <t>1階床面積</t>
  </si>
  <si>
    <t>←面積表通り記載</t>
  </si>
  <si>
    <t>北村　晃平</t>
  </si>
  <si>
    <t>対象の場合〇入力</t>
  </si>
  <si>
    <t>〇</t>
  </si>
  <si>
    <t>林　恭生</t>
  </si>
  <si>
    <t>二級</t>
  </si>
  <si>
    <t>和歌山県知事</t>
  </si>
  <si>
    <t>2階床面積</t>
  </si>
  <si>
    <t>箕浦　三四郎</t>
  </si>
  <si>
    <t>荘野　善宏</t>
  </si>
  <si>
    <t>三重県知事</t>
  </si>
  <si>
    <t>3階床面積</t>
  </si>
  <si>
    <t>内藤　智之</t>
  </si>
  <si>
    <t>大阪府知事</t>
  </si>
  <si>
    <t/>
  </si>
  <si>
    <t>足立　雅哉</t>
  </si>
  <si>
    <t>施工面積</t>
  </si>
  <si>
    <t>若狹 龍成</t>
  </si>
  <si>
    <t>愛媛県知事</t>
  </si>
  <si>
    <t>髙濱 洋文</t>
  </si>
  <si>
    <t>着手期日</t>
  </si>
  <si>
    <t>←資金計画書通り記載</t>
  </si>
  <si>
    <t>佐古　祐太</t>
  </si>
  <si>
    <t>完成期日</t>
  </si>
  <si>
    <t xml:space="preserve">　令和の年数注意</t>
  </si>
  <si>
    <t>古久保　知佳子</t>
  </si>
  <si>
    <t>引渡期日</t>
  </si>
  <si>
    <t>契約日</t>
  </si>
  <si>
    <t>工事価格(税抜き）</t>
  </si>
  <si>
    <t>←数字間違い、位間違い注意</t>
  </si>
  <si>
    <t>取引に関わる消費税</t>
  </si>
  <si>
    <t>合計額(請負代金）</t>
  </si>
  <si>
    <t>1回金　建築申込時</t>
  </si>
  <si>
    <t>お支払い予定日</t>
  </si>
  <si>
    <t>←令和の年数注意</t>
  </si>
  <si>
    <t>2回金　請負契約時</t>
  </si>
  <si>
    <t>3回金　着工時</t>
  </si>
  <si>
    <t>4回金　上棟時</t>
  </si>
  <si>
    <t>5回金　引渡時</t>
  </si>
  <si>
    <t>←計算式入っているので触らない</t>
  </si>
  <si>
    <t>契約番号</t>
  </si>
  <si>
    <t>103999</t>
  </si>
  <si>
    <r>
      <t>←1</t>
    </r>
    <r>
      <rPr>
        <charset val="128"/>
        <color rgb="FF00B0F0"/>
        <family val="1"/>
        <sz val="11"/>
        <rFont val="ＭＳ 明朝"/>
      </rPr>
      <t>001</t>
    </r>
    <r>
      <rPr>
        <charset val="128"/>
        <color rgb="FFFF0000"/>
        <family val="1"/>
        <sz val="11"/>
        <rFont val="ＭＳ 明朝"/>
      </rPr>
      <t>24</t>
    </r>
    <r>
      <rPr>
        <charset val="128"/>
        <color theme="1"/>
        <family val="1"/>
        <sz val="11"/>
        <rFont val="ＭＳ 明朝"/>
      </rPr>
      <t>・最初の1は飾り、ブルーは年度ごとの契約順番、赤色は年度</t>
    </r>
  </si>
  <si>
    <t>工事をしない日</t>
  </si>
  <si>
    <t>工事しない時間帯</t>
  </si>
  <si>
    <t>瑕疵保険会社</t>
  </si>
  <si>
    <t>株式会社　日本住宅保証検査機構</t>
  </si>
  <si>
    <t>太陽光契約書</t>
  </si>
  <si>
    <t>←太陽光の契約日</t>
  </si>
  <si>
    <t>1回金　請負時</t>
  </si>
  <si>
    <t>太陽光契約日</t>
  </si>
  <si>
    <t>重　要　事　項　説　明　書</t>
  </si>
  <si>
    <t>←単独の場合削除　A～Ｆを選択してＤｅｌｅｔｅボタンを押してください。</t>
  </si>
  <si>
    <t>本重要事項説明は、建築士法第24条の7に基づき、設計受託契約又は工事監理受託契約に先立って、あらかじめ契</t>
  </si>
  <si>
    <t>約の内容及びその履行に関する事項を説明するものです。本説明内容は最終的な契約内容とは必ずしも同一になる</t>
  </si>
  <si>
    <t>※JIO瑕疵担保保険の重要事項説明のビデオ鑑賞・契約確認シート記名押印も合わせてすること！</t>
  </si>
  <si>
    <t>とは限りません。</t>
  </si>
  <si>
    <t>受託業務名称：</t>
  </si>
  <si>
    <t>設計・工事監理業務</t>
  </si>
  <si>
    <t>建築士事務所の名称</t>
  </si>
  <si>
    <t>：</t>
  </si>
  <si>
    <t>株式会社Gハウス　一級建築士事務所</t>
  </si>
  <si>
    <t>建築士事務所の所在地</t>
  </si>
  <si>
    <t>大阪府大阪市旭区新森2-23-12</t>
  </si>
  <si>
    <t>開設者氏名</t>
  </si>
  <si>
    <t>株式会社Gハウス　代表取締役　趙　晃啓</t>
  </si>
  <si>
    <t>(法人の場合は開設者の名称及び代表者氏名)</t>
  </si>
  <si>
    <t>1.対象となる建築物の概要</t>
  </si>
  <si>
    <t>建設予定地</t>
  </si>
  <si>
    <t>主要用途</t>
  </si>
  <si>
    <t>一戸建ての住宅</t>
  </si>
  <si>
    <t>工事種別</t>
  </si>
  <si>
    <t>新築</t>
  </si>
  <si>
    <t>規模等</t>
  </si>
  <si>
    <t>階建て</t>
  </si>
  <si>
    <t>㎡</t>
  </si>
  <si>
    <t>2.作成する設計図書の種類(設計契約受託の場合)</t>
  </si>
  <si>
    <t>案内図、配置図、求積図、平面図、立面図、断面図、その他建築確認申請図書一式</t>
  </si>
  <si>
    <t>3.工事と設計図書との照合の方法及び工事監理の実施状況に関する報告の方法</t>
  </si>
  <si>
    <t>(工事監理契約受託の場合)</t>
  </si>
  <si>
    <t xml:space="preserve">　①工事と設計図書との照合の方法：</t>
  </si>
  <si>
    <t xml:space="preserve">　施工業者からの施工報告及び現場監督からの現場管理報告により確認します。</t>
  </si>
  <si>
    <t xml:space="preserve">　特定工程</t>
  </si>
  <si>
    <t>、完了検査</t>
  </si>
  <si>
    <t>1回</t>
  </si>
  <si>
    <t>による合計</t>
  </si>
  <si>
    <t>の現場立会検査。</t>
  </si>
  <si>
    <t xml:space="preserve">　②工事監理の実施状況に関する報告の方法：</t>
  </si>
  <si>
    <t xml:space="preserve">　特定工程の検査済証、施工資料及び施工写真を提出します。</t>
  </si>
  <si>
    <t xml:space="preserve">　完了検査の検査済証、施工資料及び施工写真を提出します。</t>
  </si>
  <si>
    <t>4.設計又は工事監理の一部を委託する場合の計画</t>
  </si>
  <si>
    <t>構造設計</t>
  </si>
  <si>
    <t xml:space="preserve">　①設計又は工事監理の一部を委託する予定：</t>
  </si>
  <si>
    <t>■あり　　　　□なし</t>
  </si>
  <si>
    <t>株式会社ワークスワン</t>
  </si>
  <si>
    <t xml:space="preserve">　②委託する業務の概要及び委託先（ありの場合の計画）</t>
  </si>
  <si>
    <t>大阪市西区南堀江1-2-6サムティ南堀江ビル6F</t>
  </si>
  <si>
    <t>委託する業務の概要</t>
  </si>
  <si>
    <t>大賀　信幸</t>
  </si>
  <si>
    <t>建築士事務所の名称所在地</t>
  </si>
  <si>
    <t>Taki建築設計</t>
  </si>
  <si>
    <t>大阪府泉南市信達大苗代1123-6</t>
  </si>
  <si>
    <t>該当なし</t>
  </si>
  <si>
    <t>瀧本　護</t>
  </si>
  <si>
    <t>5.設計又は工事監理に従事することとなる建築士・建築設備士</t>
  </si>
  <si>
    <t>①設計業務に従事することとなる建築士・建築設備士</t>
  </si>
  <si>
    <t>②工事監理業務に従事することとなる建築士・建築設備士</t>
  </si>
  <si>
    <t xml:space="preserve">　【氏名】</t>
  </si>
  <si>
    <t xml:space="preserve">　【資格】</t>
  </si>
  <si>
    <t>（一級）建築士【大臣登録】（第253424号）</t>
  </si>
  <si>
    <t>（一級）建築士　【大臣登録】（第253424号）</t>
  </si>
  <si>
    <t>（一級）建築士【大臣登録】（第248355号）</t>
  </si>
  <si>
    <t>（一級）建築士　【大臣登録】（第248355号）</t>
  </si>
  <si>
    <t>（二級）建築士　大阪府知事登録（第52909号）</t>
  </si>
  <si>
    <t>安藤　千智</t>
  </si>
  <si>
    <t>（二級）建築士　京都府知事登録（第19339号）</t>
  </si>
  <si>
    <t>（建築設備の設計に関し意見を聴く者）</t>
  </si>
  <si>
    <t>建築設備士</t>
  </si>
  <si>
    <t>*　平成21年5月27日以降に設計に必要となる構造設計及び設備設計一級建築士が関与する場合は、その氏名及び資格</t>
  </si>
  <si>
    <t xml:space="preserve">　　について記載する必要があります。</t>
  </si>
  <si>
    <t>6.報酬の額及び支払の時期</t>
  </si>
  <si>
    <t>①　報酬の額</t>
  </si>
  <si>
    <t>建築工事請負契約書に定める。</t>
  </si>
  <si>
    <t>②　支払の時期</t>
  </si>
  <si>
    <t>7.契約の解除に関する事項</t>
  </si>
  <si>
    <t>建築主は、正当と認められる事由があるときに限り、建築士事務所が本件業務を完了する以前において、書面をもって通知</t>
  </si>
  <si>
    <t>して、本件業務について契約の解除をすることができます。かかる場合において本件業務に関する成果品およびその対価の</t>
  </si>
  <si>
    <t>取扱いについては、出来高払いを基本として協議のうえ定めるものとします。</t>
  </si>
  <si>
    <t>（説明をする建築士）</t>
  </si>
  <si>
    <t>氏　名</t>
  </si>
  <si>
    <t>資格等</t>
  </si>
  <si>
    <t>上記の建築士から建築士免許証（免許証明書）の提示のもと重要事項の説明を受け、重要事項説明書を受領しました。</t>
  </si>
  <si>
    <t>（説明を受けた建築主）</t>
  </si>
  <si>
    <t>住　所</t>
  </si>
  <si>
    <t>省エネ基準への適合性に関する説明書</t>
  </si>
  <si>
    <t>建築物のエネルギー消費性能の向上に関する法律第27条第1項の規定による説明をします。</t>
  </si>
  <si>
    <t>この説明書に記載の事項は、事実に相違ありません。</t>
  </si>
  <si>
    <t>［建築物に関する事項］</t>
  </si>
  <si>
    <t xml:space="preserve">所在地：　</t>
  </si>
  <si>
    <t>建築物エネルギー消費性能基準への適合性：</t>
  </si>
  <si>
    <t xml:space="preserve">■   適合
□   不適合
       建築物エネルギー消費性能の確保のためとるべき措置：</t>
  </si>
  <si>
    <t>［建築士に関する事項］</t>
  </si>
  <si>
    <t>氏名</t>
  </si>
  <si>
    <t>資格</t>
  </si>
  <si>
    <t>［建築士事務所に関する事項］</t>
  </si>
  <si>
    <t xml:space="preserve">名称：　株式会社Gハウス　</t>
  </si>
  <si>
    <t xml:space="preserve">所在地：　大阪府大阪市旭区新森2-23-12　</t>
  </si>
  <si>
    <t>区分(一級、二級、木造)：　一級　建築士事務所</t>
  </si>
  <si>
    <t>(備考)</t>
  </si>
  <si>
    <t xml:space="preserve">　 BELS取得予定</t>
  </si>
  <si>
    <t>NO.</t>
  </si>
  <si>
    <t>建築工事請負契約書</t>
  </si>
  <si>
    <t>株式会社　Gハウス</t>
  </si>
  <si>
    <t>制定</t>
  </si>
  <si>
    <t>注文者：</t>
  </si>
  <si>
    <t xml:space="preserve">　　</t>
  </si>
  <si>
    <t>(以下「甲」という)と</t>
  </si>
  <si>
    <t>請負者：</t>
  </si>
  <si>
    <t>(以下「乙」という)とは</t>
  </si>
  <si>
    <t>の施工について、次の各条項・資金計画書・設計図書・その他添付資料に基づき請負契約を締結し、</t>
  </si>
  <si>
    <t>契約成立を証するため、本書の電磁的記録を作成し、甲および乙が合意の後電子署名を施し、各自</t>
  </si>
  <si>
    <t>電磁的記録を保管する。</t>
  </si>
  <si>
    <t>なお、この請負契約書に添付の設計図書は、参考図面であり確定図面でないものとします。</t>
  </si>
  <si>
    <t>この請負契約締結後、甲乙協議の上、確定設計図書を作成するものとします。</t>
  </si>
  <si>
    <t>甲1住所</t>
  </si>
  <si>
    <t>甲1氏名</t>
  </si>
  <si>
    <t>印</t>
  </si>
  <si>
    <t>甲2住所</t>
  </si>
  <si>
    <t>甲2氏名</t>
  </si>
  <si>
    <t>乙住所</t>
  </si>
  <si>
    <t>乙氏名</t>
  </si>
  <si>
    <t>代表取締役　趙晃啓</t>
  </si>
  <si>
    <t>新・増・改</t>
  </si>
  <si>
    <t>建物所有形態</t>
  </si>
  <si>
    <t>築工事</t>
  </si>
  <si>
    <t>構　　造</t>
  </si>
  <si>
    <t>階建</t>
  </si>
  <si>
    <t>棟</t>
  </si>
  <si>
    <t>工　　期</t>
  </si>
  <si>
    <t>官庁許可日から　60日　以内に着工予定</t>
  </si>
  <si>
    <t>着手の日から　180日　以内に完成予定</t>
  </si>
  <si>
    <t>完成の日から　　60日　以内に引渡予定</t>
  </si>
  <si>
    <t>工事面積　合計</t>
  </si>
  <si>
    <t>工事価格(消費税額を除く)</t>
  </si>
  <si>
    <t>金</t>
  </si>
  <si>
    <t>円也</t>
  </si>
  <si>
    <t>取引に係る消費税額</t>
  </si>
  <si>
    <t>合計額(請負代金)</t>
  </si>
  <si>
    <t>回　次</t>
  </si>
  <si>
    <t>お支払時期</t>
  </si>
  <si>
    <t>お支払金額</t>
  </si>
  <si>
    <t>お支払予定日</t>
  </si>
  <si>
    <t>合計額の支払方法</t>
  </si>
  <si>
    <t>1回金</t>
  </si>
  <si>
    <t>建築申込時</t>
  </si>
  <si>
    <t>2回金</t>
  </si>
  <si>
    <t>請負契約時</t>
  </si>
  <si>
    <t>3回金</t>
  </si>
  <si>
    <t>着工時</t>
  </si>
  <si>
    <t>4回金</t>
  </si>
  <si>
    <t>上棟時</t>
  </si>
  <si>
    <t>5回金</t>
  </si>
  <si>
    <t>引渡時</t>
  </si>
  <si>
    <t>個別事項</t>
  </si>
  <si>
    <t xml:space="preserve">(1)部分使用の有無(無)　(2)部分引渡しの有無(無)　</t>
  </si>
  <si>
    <t>(3)種類または品質に関して契約の内容に適合しない場合におけるその不適合を担保すべき責任の履行</t>
  </si>
  <si>
    <t xml:space="preserve">　　に関して講ずべき保証保険契約の締結その他の措置に関する定めの有無(有)(建設業法第</t>
  </si>
  <si>
    <t xml:space="preserve">　　19条第1項第13号)</t>
  </si>
  <si>
    <t xml:space="preserve">　　①この工事が、「特定住宅瑕疵担保責任の履行の確保等に関する法律」(平成19年法律第66号)</t>
  </si>
  <si>
    <t xml:space="preserve">　　に定める特定住宅建設瑕疵担保責任の対象工事に該当する場合、講ずべき瑕疵担保責任の履行を確</t>
  </si>
  <si>
    <t xml:space="preserve">　　保するための資力確保措置の内容(保証金の供託又は責任保険契約の締結)は、添付別紙のとおり</t>
  </si>
  <si>
    <t xml:space="preserve">　　とする。</t>
  </si>
  <si>
    <t xml:space="preserve">　　②上記①を除くその他の措置の内容</t>
  </si>
  <si>
    <t>無</t>
  </si>
  <si>
    <t>(4)工事を施工しない日又は時間帯の定めの有無(無)(建設業法19条第1項第4号)</t>
  </si>
  <si>
    <t xml:space="preserve">　　　工事を施工しない日</t>
  </si>
  <si>
    <t xml:space="preserve">　　　工事を施工しない時間帯</t>
  </si>
  <si>
    <t>・解体工事に要する費用等</t>
  </si>
  <si>
    <t xml:space="preserve">　　この工事が「建設工事に関わる資材の再資源化等に関する法律」(平成12年法律第104号)第9条</t>
  </si>
  <si>
    <t xml:space="preserve">　　第1項に規定する対象建設工事に該当する場合、同法第13条第1項の主務省令で定める事項について</t>
  </si>
  <si>
    <t xml:space="preserve">　　は、添付別紙のとおりとする。</t>
  </si>
  <si>
    <t>建築工事請負契約約款</t>
  </si>
  <si>
    <t>第1条（信義誠実の原則）</t>
  </si>
  <si>
    <t xml:space="preserve">  1.  甲と乙は、人が日常生活を営むことができる性能・機能を有する住宅 を乙が建築することを目的として</t>
  </si>
  <si>
    <t xml:space="preserve">　  　本契約を締結するものであることを相互に確認します。</t>
  </si>
  <si>
    <t xml:space="preserve">  2.  甲と乙とは、各々対等な立場において、互いに協力し、信義を守り、誠実に本契約を履行するものとします。</t>
  </si>
  <si>
    <t xml:space="preserve">  3.  本契約に定める条件に従い、乙は受託業務・工事を完成して本契約の目的物を甲に引き渡すものとし、</t>
  </si>
  <si>
    <t xml:space="preserve">　　  甲はその請負代金（業務報酬及び消費税を含みます。以下同じ。）を乙に支払うものとします。</t>
  </si>
  <si>
    <t xml:space="preserve">　　  なお、設計・工事監理業務が本契約に含まれない場合には、本約款における設計・工事監理に関する</t>
  </si>
  <si>
    <t xml:space="preserve">　　  適用されません。 </t>
  </si>
  <si>
    <t xml:space="preserve">  4.  甲は、乙が本契約に基づく義務の履行を適切かつ円滑に実施できるよう協力するものとし、</t>
  </si>
  <si>
    <t xml:space="preserve">　　  必要となる情報等がある場合は、乙の求めに応じて、速やかに提供するものとします。</t>
  </si>
  <si>
    <t>第2条（一括委任・一括下請負）</t>
  </si>
  <si>
    <t xml:space="preserve">  1.  乙は、工事の全部又は一部を第三者に委任し、もしくは請け負わせることができるものとし、</t>
  </si>
  <si>
    <t xml:space="preserve">　  　甲はこれをあらかじめ承諾します。ただし、共同住宅の新築を目的とする工事の場合は、</t>
  </si>
  <si>
    <t xml:space="preserve">　  　その全部を一括して第三者に委任し、又は請け負わせることはできないものとします。</t>
  </si>
  <si>
    <t xml:space="preserve">  2.  乙は、設計業務、監理業務の全部又は一部を他の建築士事務所の開設者に委託することができるものとします。</t>
  </si>
  <si>
    <t xml:space="preserve">　  　ただし、本契約の目的物の延べ面積が300㎡を超える建築物である場合は、設計業務、監理業務の全部を</t>
  </si>
  <si>
    <t xml:space="preserve">　  　一括して委託することはできないものとします。</t>
  </si>
  <si>
    <t>第3条（権利義務の譲渡等の禁止）</t>
  </si>
  <si>
    <t xml:space="preserve">  1.  甲及び乙は、相手方の書面による承諾を得ずに、本契約から生ずる自己の権利又は義務を第三者に譲渡し、</t>
  </si>
  <si>
    <t xml:space="preserve">　  　もしくは承継させることはできないものとします。ただし、乙が資金調達の目的で銀行・信用金庫</t>
  </si>
  <si>
    <t xml:space="preserve">　  　・信用協同組合その他の金融機関（中小企業信用保険法第３条第１項に規定するものに限ります。）</t>
  </si>
  <si>
    <t xml:space="preserve">　　  及び信用保証協会並びにこれらの子会社に対して債権を譲渡する場合は、この限りでありません。</t>
  </si>
  <si>
    <t xml:space="preserve">  1.  甲及び乙は、相手方の書面による承諾を得ずに、本契約の目的物又は工事材料を第三者に譲渡又は貸与し、</t>
  </si>
  <si>
    <t xml:space="preserve">　　  もしくは抵当権その他の担保の目的に供することはできないものとします。</t>
  </si>
  <si>
    <t>第4条（設計図書の確定）</t>
  </si>
  <si>
    <t xml:space="preserve">  1.  甲及び乙は、打合せの結果、確定した図面及び仕様書をもって確定設計図書とし、乙は、確定設計図書に従い、</t>
  </si>
  <si>
    <t xml:space="preserve">　　  誠実に施工するものとします。なお、乙が住宅の品質確保の促進等に関する法律（平成11年法律第81号）</t>
  </si>
  <si>
    <t xml:space="preserve">　　  第6条第1項に定める設計住宅性能評価書の写しを、この契約書に添付し、又は甲に交付した場合、</t>
  </si>
  <si>
    <t xml:space="preserve">　　  当該設計住宅性能評価書又はその写しに表示された性能を有する建設工事を行うことを</t>
  </si>
  <si>
    <t xml:space="preserve">　　  甲に約したものとします。</t>
  </si>
  <si>
    <t xml:space="preserve">  2.  前項の確定設計図書及び設計住宅性能評価書に詳細を明示されていない事項のうち、工事の施工上、</t>
  </si>
  <si>
    <t xml:space="preserve">　　  重要な事項については、甲及び乙が誠実に協議して定めるものとし、その他の軽微な事項については、</t>
  </si>
  <si>
    <t xml:space="preserve">　  　確定設計図書の作成後、さらに甲及び乙が協議して定めるものとされた事項を除いて、</t>
  </si>
  <si>
    <t xml:space="preserve">　　  乙が建築実務における健全な実務慣行に従い施工することができるものとします。</t>
  </si>
  <si>
    <t xml:space="preserve">  3.  確定設計図書を含む設計図書又はこれを利用して完成した建築物が著作物に該当する場合には、その著作権は、</t>
  </si>
  <si>
    <t xml:space="preserve">　　  乙に帰属するものとします。</t>
  </si>
  <si>
    <t>第5条（工事用地の確保）</t>
  </si>
  <si>
    <t xml:space="preserve">  1.  甲は、本契約の目的物の敷地その他工事の施工のため必要な土地（以下「工事用地」といいます。）について、</t>
  </si>
  <si>
    <t xml:space="preserve">　  　甲の責任と費用をもって、施工のため必要な日までに確保し、また工事用地に擁壁その他の構築物が</t>
  </si>
  <si>
    <t xml:space="preserve">　  　ある場合には、その安全性を確認した上で、乙の使用に供するものとします。</t>
  </si>
  <si>
    <t xml:space="preserve">  2.  工事用地の全部又は一部が借地又は共有地である場合、甲は、甲の責任と費用をもって、</t>
  </si>
  <si>
    <t xml:space="preserve">　  　着工予定日の１週間前までに、当該工事用地の使用について土地所有者又は共有者その他の権原者の</t>
  </si>
  <si>
    <t xml:space="preserve">　  　承諾書を取得し、乙に提出するものとします。</t>
  </si>
  <si>
    <t xml:space="preserve">  3.  工事用地について、権利関係に関する第三者の異議の申出その他工事の施工のため不都合な事由が生じた場合、</t>
  </si>
  <si>
    <t xml:space="preserve">　　  甲は、甲の責任と費用をもって、解決するものとします。</t>
  </si>
  <si>
    <t>第6条（隣接土地との境界の明示）</t>
  </si>
  <si>
    <t xml:space="preserve">　  　甲は、隣地との境界が不明確な場合、甲の責任と費用をもって、着工予定日の１週間前までに、</t>
  </si>
  <si>
    <t xml:space="preserve">　  　隣地所有者との間で工事用地と隣接土地との間の境界を確定し、乙に対して、界標、</t>
  </si>
  <si>
    <t xml:space="preserve">　  　境界確定書等により境界を明示するものとします。</t>
  </si>
  <si>
    <t>第7条（地盤調査・地盤改良）</t>
  </si>
  <si>
    <t xml:space="preserve">  1.  甲は、甲の責任と費用をもって、乙が指定する期日までに、本契約の目的物の敷地について、</t>
  </si>
  <si>
    <t xml:space="preserve">　　  乙が指定する地盤調査会社にて地盤調査を行うものとします。</t>
  </si>
  <si>
    <t xml:space="preserve">  2.  前項の調査の結果、地盤改良工事などの補強措置が必要である場合、甲は、本契約の目的物の敷地について、</t>
  </si>
  <si>
    <t xml:space="preserve">　　  甲の責任と費用をもって、乙が指定する内容の地盤改良工事などの補強措置を行うものとします。</t>
  </si>
  <si>
    <t>第8条（関連工事の調整）</t>
  </si>
  <si>
    <t xml:space="preserve">  1.  甲は、甲の発注にかかる第三者の施工する他の工事で乙の施工する工事と密接に関連するもの</t>
  </si>
  <si>
    <t xml:space="preserve">　　  （以下「関連工事」といいます。）については、乙の施工が完了した後でなければ、関連工事を本契約の</t>
  </si>
  <si>
    <t xml:space="preserve">　　  工事現場で行うことはできないものとします。ただし、事前に、関連工事の内容及び施工時期を乙に示し、</t>
  </si>
  <si>
    <t xml:space="preserve">　　  乙がこれを認めた場合にはこの限りではありません。</t>
  </si>
  <si>
    <t xml:space="preserve">  2.  甲は、関連工事を第三者に施工させるときは、当該第三者に対し、前項但書に基づいて乙に対し示した</t>
  </si>
  <si>
    <t xml:space="preserve">　　  関連工事の内容及び施工時期を遵守させなければならないものとします。</t>
  </si>
  <si>
    <t>第9条（支給材料・貸与品）</t>
  </si>
  <si>
    <t xml:space="preserve">  1.  甲は、乙の書面による事前の承諾がない限り、乙に対し、支給材料・貸与品を使用させることは</t>
  </si>
  <si>
    <t xml:space="preserve">　　  できないものとします。</t>
  </si>
  <si>
    <t xml:space="preserve">  2.  甲の支給材料・貸与品の受渡期日・受渡場所は乙の指定に従うものとします。</t>
  </si>
  <si>
    <t xml:space="preserve">  3.  乙は、甲の支給材料・貸与品を、善良な管理者として使用・保管します。</t>
  </si>
  <si>
    <t>第10条（工事等の変更・追加）</t>
  </si>
  <si>
    <t xml:space="preserve">  1.  甲は、設計、仕様の変更又は追加等の工事の変更を希望する場合、乙の承諾を得るものとします。</t>
  </si>
  <si>
    <t xml:space="preserve">  2.  乙は、次の各号のいずれかの事由によって、設計、仕様の変更又は追加等の工事の変更を行う</t>
  </si>
  <si>
    <t xml:space="preserve">　  　必要のあるときは、甲に対して、設計・工事の内容の変更を求めることができるものとします。</t>
  </si>
  <si>
    <t xml:space="preserve">  　　①　天災地変その他の自然的条件、災害、天候の不良、新型インフルエンザ等対策特別措置法に定める</t>
  </si>
  <si>
    <t xml:space="preserve">　　      新型インフルエンザ等（特例により新型インフルエンザ等とみなされるものを含みます。）</t>
  </si>
  <si>
    <t xml:space="preserve">　　      その他の感染症（以下「感染症」と総称します。）の発生及びこれらに伴う建材等の納品の遅延</t>
  </si>
  <si>
    <t xml:space="preserve">      ②  建材等（太陽光発電設備、パワーコンディショナーその他の本契約の目的物に設置される機械設備等に</t>
  </si>
  <si>
    <t xml:space="preserve">　　      使用される半導体部品を含みます。）の価格高騰、輸入量の減少、輸入の遅延、国内の市場供給量の減少</t>
  </si>
  <si>
    <t xml:space="preserve">　　      その他経済情勢の変化（以下「建材等の価格高騰等」といいます。）及びこれらに伴う建材等の納品</t>
  </si>
  <si>
    <t xml:space="preserve">　　      の遅延</t>
  </si>
  <si>
    <t xml:space="preserve">　　  ③  関係法令等による規制（建築主事などからの指導を含みます。）</t>
  </si>
  <si>
    <t xml:space="preserve">      ④  工事現場の状態、地盤の状態、擁壁その他近隣構築物の状況</t>
  </si>
  <si>
    <t xml:space="preserve"> 　　 ⑤  近隣住民の要求（日照・眺望・電波障害・境界等）その他第三者の行為</t>
  </si>
  <si>
    <t xml:space="preserve">　　  ⑥  確定設計図書で定められた建材・商品等の製造中止</t>
  </si>
  <si>
    <t xml:space="preserve"> 　　 ⑦  その他工事現場における施工の支障となる事態の発生・発覚</t>
  </si>
  <si>
    <t xml:space="preserve">  3.  前2項その他の理由により設計・工事内容を変更する場合、甲及び乙は、甲及び乙の署名</t>
  </si>
  <si>
    <t xml:space="preserve">　　  又は記名・押印のある書面を作成して、必要事項を定めるものとします。</t>
  </si>
  <si>
    <t>第11条（工期の変更）</t>
  </si>
  <si>
    <t xml:space="preserve">  1.  乙は、次の各号のいずれかの事由によって、工期内に工事又は業務を完成することができない場合は、</t>
  </si>
  <si>
    <t xml:space="preserve">　  　甲に対して、工期の変更（設計業務、監理業務の実施期間の変更を含みます。）</t>
  </si>
  <si>
    <t xml:space="preserve">　  　を求めることができるものとします。</t>
  </si>
  <si>
    <t xml:space="preserve">  　　①　工事又は業務に影響を及ぼす天災地変その他の自然条件、災害、感染症の発生、天候の不良、</t>
  </si>
  <si>
    <t xml:space="preserve">　　      建材等の価格高騰等及びこれらに伴う建材等の納品の遅延並びに法令の制定・改廃、経済事情の</t>
  </si>
  <si>
    <t xml:space="preserve">　　      変動等による工事材料又は労力の調達を困難とする事情</t>
  </si>
  <si>
    <t xml:space="preserve">      ②  感染症の拡大防止措置に伴う作業人員の削減・離隔措置</t>
  </si>
  <si>
    <t xml:space="preserve">　　  ③  建築確認、所轄行政庁の許認可、検査等の遅延</t>
  </si>
  <si>
    <t xml:space="preserve">      ④  各融資手続等の遅延</t>
  </si>
  <si>
    <t xml:space="preserve"> 　　 ⑤  第10条（工事等の変更・追加）・第14条（一般の損害）第2項・第15条（第三者の損害及び第三者</t>
  </si>
  <si>
    <t xml:space="preserve">　　      第三者との紛議）・第16条（不可抗力による損害）に規定される事由に該当する場合</t>
  </si>
  <si>
    <t xml:space="preserve">　　  ⑥  第25条第１項（甲の中止又は解除権）・第26条（乙の中止又は解除権）により中止された場合</t>
  </si>
  <si>
    <t xml:space="preserve">　　      又は中止された工事を再開する場合</t>
  </si>
  <si>
    <t xml:space="preserve"> 　　 ⑦  前各号に定めるほか、甲の指定業者による工事遅延，第4条第1項の定める「確定設計図書」</t>
  </si>
  <si>
    <t xml:space="preserve">　　      の確定のための打合せに想定された以上の時間を要した場合その他乙の責めに帰することのできない</t>
  </si>
  <si>
    <t xml:space="preserve">　　      事由により工期を変更する合理的な理由がある場合</t>
  </si>
  <si>
    <t xml:space="preserve">  2.  前項その他の理由により工期を変更する場合、甲及び乙は、甲及び乙の署名又は記名・押印のある書面を</t>
  </si>
  <si>
    <t xml:space="preserve">　  　作成して、必要事項を定めるものとします。</t>
  </si>
  <si>
    <t xml:space="preserve">  3.  甲は、工期の変更をするときは、変更後の工期を、工事を施工するために通常必要と認められる期間に</t>
  </si>
  <si>
    <t xml:space="preserve">　  　比して著しく短い期間としてはならないものとします。</t>
  </si>
  <si>
    <t>第12条（請負代金の変更）</t>
  </si>
  <si>
    <t xml:space="preserve">  1.  次の各号のいずれかの事由に該当する場合は、甲及び乙は、相手方に請負代金の変更を求めることが</t>
  </si>
  <si>
    <t xml:space="preserve">　  　できるものとします。</t>
  </si>
  <si>
    <t xml:space="preserve">  　　①　第9条（支給材料・貸与品）の支給材料・貸与品につき品目、数量、受渡期間、又は受渡場所の</t>
  </si>
  <si>
    <t xml:space="preserve">　　      変更があったとき。</t>
  </si>
  <si>
    <t xml:space="preserve">  　　②　第10条（工事等の変更・追加）により工事等の変更又は追加があったとき。</t>
  </si>
  <si>
    <t xml:space="preserve">  　　③　第11条（工期の変更）により工期の変更があったとき。</t>
  </si>
  <si>
    <t xml:space="preserve">  　　④　法令の制定・改廃、経済事情の変動による工事材料もしくは労力の調達の困難等又は建材等の</t>
  </si>
  <si>
    <t xml:space="preserve">　　      価格高騰等により、請負代金が適当でないと認められるとき。</t>
  </si>
  <si>
    <t xml:space="preserve">  　　⑤　中止した工事又は災害を受けた工事を継続する場合で、請負代金が適当でないと認められるとき。</t>
  </si>
  <si>
    <t xml:space="preserve">  　　⑥　近隣対策の必要が生じ、これにかかる費用の増額が認められるとき。</t>
  </si>
  <si>
    <t xml:space="preserve">  2.  前項その他の理由により請負代金を変更する場合、甲及び乙は、甲及び乙の署名又は記名・押印のある書面を</t>
  </si>
  <si>
    <t xml:space="preserve">  3.  請負代金額を変更するときは、原則として、工事の減少部分については請負代金内訳書の単価により、</t>
  </si>
  <si>
    <t xml:space="preserve">　  　増加部分については時価（設計・監理業務は実働に応じます。）によるものとします。</t>
  </si>
  <si>
    <t>第13条（損害の防止）</t>
  </si>
  <si>
    <t xml:space="preserve">  1.  乙は、工事の着工後、工事の完成引渡しまでに、自己の費用で、本契約の目的物、工事材料又は第三者</t>
  </si>
  <si>
    <t xml:space="preserve">　  　に対する損害の防止のため、関係法令に基づき、必要な処置をとることとします。</t>
  </si>
  <si>
    <t xml:space="preserve">  2.  乙は、災害防止などのため特に必要と認めたときは、甲に通知して臨機の処置をとることとします。</t>
  </si>
  <si>
    <t xml:space="preserve">　  　ただし、急を要するときは、処置をしたのち甲に通知するものとします。</t>
  </si>
  <si>
    <t xml:space="preserve">  3.  前2項の処置に要した費用のうち、建築実務における健全な実務慣行に従い請負代金に含むことが適当でない</t>
  </si>
  <si>
    <t xml:space="preserve">　  　費用は、甲の負担とします。</t>
  </si>
  <si>
    <t>第14条（一般の損害）</t>
  </si>
  <si>
    <t xml:space="preserve">  1.  工事の施工にあたり、乙が施工上の故意・過失によって、工事の完成引渡しまでに本契約の目的物、</t>
  </si>
  <si>
    <t xml:space="preserve">　　  工事材料その他施工一般に損害を与えたときは、その損害は乙の負担とします。</t>
  </si>
  <si>
    <t xml:space="preserve">  2.  施工一般の損害のうち、次の各号の事由に該当するものは甲の負担とします。</t>
  </si>
  <si>
    <t xml:space="preserve">　  　または設計および仕様の変更を行わざるを得ない事情が生じたときは工事内容、工期、請負代金</t>
  </si>
  <si>
    <t xml:space="preserve">  　　①　甲の都合によって乙が着工予定日までに工事に着手できず、又は甲が工事を繰延べもしくは</t>
  </si>
  <si>
    <t xml:space="preserve">　　      中止させたことによる損害</t>
  </si>
  <si>
    <t xml:space="preserve">  　　②　甲の請負代金の前払又は部分払が遅れたため、乙が工事に着手できず、又は工事を中止した</t>
  </si>
  <si>
    <t xml:space="preserve">　　      中止したことによる損害</t>
  </si>
  <si>
    <t xml:space="preserve">  　　③　工事用地の提供、支給材料又は貸与品の受渡しが遅れたため、乙が工事を実施できず、</t>
  </si>
  <si>
    <t xml:space="preserve">　　      又は中止をしたことによる損害</t>
  </si>
  <si>
    <t xml:space="preserve">  　　③　第21条（甲の責めに帰すべき事由による契約不適合）第1項に定める事由その他甲の責めに</t>
  </si>
  <si>
    <t xml:space="preserve">　　      帰すべき事由によって生じた損害</t>
  </si>
  <si>
    <t>第15条（第三者の損害及び第三者との紛議）</t>
  </si>
  <si>
    <t xml:space="preserve">  1.  工事の施工にあたり、乙が施工上の故意・過失によって、工事の完成引渡しまでに第三者の生命、</t>
  </si>
  <si>
    <t xml:space="preserve">　　  身体に危害を及ぼし、又は財産などに損害を与えたとき（受忍限度を超えるものに限るものとします。）は、</t>
  </si>
  <si>
    <t xml:space="preserve">　　  その損害は乙の負担とします。ただし、甲の責めに帰すべき事由によるときは、甲の負担とします。</t>
  </si>
  <si>
    <t xml:space="preserve">  2.  工事の施工にあたり、工事の完成引渡しまでに第三者との間に紛議が生じたときは、</t>
  </si>
  <si>
    <t xml:space="preserve">　　  次の各号に従うものとします。ただし、甲の責めに帰すべき事由によるときは、</t>
  </si>
  <si>
    <t xml:space="preserve">　　  甲の負担により処理解決にあたるものとします。</t>
  </si>
  <si>
    <t xml:space="preserve">　　　①　受忍限度を超える騒音・振動を原因として生じた紛議は、乙がその解決にあたり、</t>
  </si>
  <si>
    <t xml:space="preserve">　　      甲・乙協議のうえ必要な措置をとるものとします。</t>
  </si>
  <si>
    <t xml:space="preserve">　　　②　日照阻害・眺望侵害・風害・電波障害等、敷地の土地利用形態を原因として生じた生活環境に関する紛議、</t>
  </si>
  <si>
    <t xml:space="preserve">　　      又は境界その他近隣関係に関する紛議は、甲がその処理解決にあたり、甲・乙協議のうえ</t>
  </si>
  <si>
    <t xml:space="preserve">　　      必要な措置をとるものとします。同紛議の処理については、可能な限り乙も協力するものとします。</t>
  </si>
  <si>
    <t xml:space="preserve">　　　③　その他第三者との間の紛議は、甲・乙協議のうえ必要な措置をとるものとします。</t>
  </si>
  <si>
    <t>第16条（不可抗力による損害）</t>
  </si>
  <si>
    <t xml:space="preserve">  1.  工事完成引渡しまでに天災地変その他の自然的条件、災害、感染症の発生又は第三者の行為など</t>
  </si>
  <si>
    <t xml:space="preserve">　  　甲及び乙のいずれの責めにも帰すことのできない事由によって、本契約の目的物、工事材料、支給材料・</t>
  </si>
  <si>
    <t xml:space="preserve">　  　貸与品等に損害を生じたときは、乙は損害発生後速やかにその状況を甲に通知しなければなりません。</t>
  </si>
  <si>
    <t xml:space="preserve">  2.  前項による損害のうち、乙が善良な管理者としての注意義務を怠ったことにより生じたものは乙の負担とし、</t>
  </si>
  <si>
    <t xml:space="preserve">　  　乙が善良な管理者としての注意義務を果たしたにもかかわらず生じたものは甲の負担とします。</t>
  </si>
  <si>
    <t xml:space="preserve">  3.  前項の規定に関わらず，感染症の発生により現場消毒のために要した費用については、甲及び乙が折半して</t>
  </si>
  <si>
    <t xml:space="preserve">　　  負担するものとします。</t>
  </si>
  <si>
    <t xml:space="preserve">  4.  火災保険その他損害を補填するものがあるときは、それらの額を控除したものを前項の損害額とします。</t>
  </si>
  <si>
    <t>第17条（竣工確認）</t>
  </si>
  <si>
    <t xml:space="preserve">  1.  乙は、工事完成後速やかに甲との間で竣工の確認を行い、竣工確認終了後、甲及び乙は、乙所定の</t>
  </si>
  <si>
    <t xml:space="preserve">　　  竣工確認立会証を作成するものとします。</t>
  </si>
  <si>
    <t xml:space="preserve">  2.  竣工確認の際、指摘事項があった場合には、竣工確認立会証の指摘項目欄に当該指摘事項を記載するものとし、</t>
  </si>
  <si>
    <t xml:space="preserve">　　  乙は、当該指摘事項のうち手直し工事を要するものについては誠実に対応するものとします。</t>
  </si>
  <si>
    <t xml:space="preserve">  3.  甲が正当な理由なく第１項の竣工確認、竣工確認立会証の作成又は手直し工事の施工を拒んだ場合は、乙は、</t>
  </si>
  <si>
    <t xml:space="preserve">　　  工事を完成したものとみなすことができます。</t>
  </si>
  <si>
    <t>第18条（引渡し）</t>
  </si>
  <si>
    <t xml:space="preserve">  1.  甲は、前条の竣工確認又は手直し工事の完了後（前条第3項により完成したとみなす場合を含みます。）</t>
  </si>
  <si>
    <t xml:space="preserve">　　  速やかに乙に対し請負代金の支払を完了するものとし、請負代金全額の支払後、乙より本契約の目的物</t>
  </si>
  <si>
    <t xml:space="preserve">　  　の引渡しを受けるものとします。</t>
  </si>
  <si>
    <t xml:space="preserve">  2.  本契約の目的物の所有権は、請負代金の支払完了及び引渡しにより乙から甲に移転します。</t>
  </si>
  <si>
    <t xml:space="preserve">  3.  引渡しにあたって甲は乙所定の「引渡書」に署名捺印することにより、引渡しの確認を行うものとします。</t>
  </si>
  <si>
    <t xml:space="preserve">  4.  甲は、本契約の目的物の引渡しにあたって、使用目的に特段の支障のない軽微な修補が必要となる</t>
  </si>
  <si>
    <t xml:space="preserve">　　  場合であっても、乙が期間を定めてその修補を約束したときは引渡しを拒否することができず、</t>
  </si>
  <si>
    <t xml:space="preserve">　　  請負代金全額の支払を完了しなければなりません。</t>
  </si>
  <si>
    <t xml:space="preserve">  5.  本契約において太陽光発電設備、パワーコンディショナーその他の半導体で構成される機械設備等の</t>
  </si>
  <si>
    <t xml:space="preserve">　　  設置が予定されている場合で、建材等の価格高騰等により当該機械設備等の施工が完了しないときは、</t>
  </si>
  <si>
    <t xml:space="preserve">　　  乙は、甲に対し、当該機械設備等を除く本契約の目的物について前条の竣工確認又は手直し工事を行い</t>
  </si>
  <si>
    <t xml:space="preserve">　　  （前条第3項により完成したとみなす場合を含みます。）、当該機械設備等に関する代金を除く</t>
  </si>
  <si>
    <t xml:space="preserve">　　  請負代金全額の支払いを求めることができるものとし、甲は、請負代金の支払後、</t>
  </si>
  <si>
    <t xml:space="preserve">　　  乙より当該機械設備等を除く本契約の目的物の引渡しを受けるものとします。</t>
  </si>
  <si>
    <t xml:space="preserve">　　  この場合、当該機械設備等に関する工期について、第11条（工期の変更）に基づき定めるものとします。</t>
  </si>
  <si>
    <t xml:space="preserve">  6.  前項の場合、第20条第1項に定める契約不適合責任の期間は、前項の機械設備等については変更後</t>
  </si>
  <si>
    <t xml:space="preserve">　　  の工期に基づき甲が引渡しを受けた日から起算するものとします。</t>
  </si>
  <si>
    <t xml:space="preserve">  7.  甲は、本契約において太陽光発電設備、パワーコンディショナー等の機械設備等の設置が予定されている場合</t>
  </si>
  <si>
    <t xml:space="preserve">　　  において、第5項により当該機械設備等の引渡し時期が変更されたことによって、太陽光発電設備の接続時期、</t>
  </si>
  <si>
    <t xml:space="preserve">　　  発電開始時期若しくは売電開始時期が変更となり、又は再申請等の追加の手続を要すること等により</t>
  </si>
  <si>
    <t xml:space="preserve">　　  売電差額分の逸失利益、電気使用料金の負担分、手続費用その他諸経費、遅延損害金等の損害が生じた</t>
  </si>
  <si>
    <t xml:space="preserve">　　  場合であっても、乙に対し、損害賠償を求めることができないものとします。ただし、乙の故意又は</t>
  </si>
  <si>
    <t xml:space="preserve">　　  重過失によってこれらの損害が生じた場合は、この限りではありません。</t>
  </si>
  <si>
    <t>第19条（請負代金等の支払い方法）</t>
  </si>
  <si>
    <t xml:space="preserve">      本契約に基づく請負代金、諸費用等の支払いは、乙の指定する金融機関の口座に振り込む方法によって</t>
  </si>
  <si>
    <t xml:space="preserve">　　  行うものとし、振込手数料は甲の負担とします。</t>
  </si>
  <si>
    <t>第20条（契約不適合責任）</t>
  </si>
  <si>
    <t xml:space="preserve">  1.  甲は、引渡しを受けた本契約の目的物が、種類、品質又は数量に関して本契約の内容に適合しないとき</t>
  </si>
  <si>
    <t xml:space="preserve">　　  （以下「契約不適合」といい、数量に関する契約不適合とは、確定設計図書の内容に照らし、</t>
  </si>
  <si>
    <t xml:space="preserve">　　  施工数量又は施工面積等が不足する状態にあることをいいます。）は、引渡しの日より、乙所定の保証書</t>
  </si>
  <si>
    <t xml:space="preserve">　　  （保証基準規定は本約款末尾に記載  。以下同様）に従い、乙に対し、相当の期間を定めて本契約の</t>
  </si>
  <si>
    <t xml:space="preserve">　　  目的物の修補による履行の追完請求をすることができるものとします。</t>
  </si>
  <si>
    <t xml:space="preserve">　　  ただし、乙は、甲に不相当な負担を課するものでないときは、甲が請求した方法と異なる方法により</t>
  </si>
  <si>
    <t xml:space="preserve">　　  修補することができるものとします。また、契約不適合が重要でなく、修補に過分の費用を要するときは、</t>
  </si>
  <si>
    <t xml:space="preserve">　　  甲は修補を求めることができません。</t>
  </si>
  <si>
    <t xml:space="preserve">  2.  前項に基づき甲が修補請求をした場合において、相当の期間内に乙が修補を行わないときは、甲は、</t>
  </si>
  <si>
    <t xml:space="preserve">  　　その契約不適合の程度に応じて，請負代金の減額を請求することができるものとします。</t>
  </si>
  <si>
    <t xml:space="preserve">  3.  前項の規定にかかわらず、第１項本文に定める場合において、次の各号のいずれかに該当するときは、甲は、</t>
  </si>
  <si>
    <t xml:space="preserve">  　　直ちに請負代金の減額を請求することができるものとします。</t>
  </si>
  <si>
    <t xml:space="preserve">  　　①　修補が不可能であるとき。</t>
  </si>
  <si>
    <t xml:space="preserve">  　　②　第1項但書後段により修補を求めることができないとき。</t>
  </si>
  <si>
    <t xml:space="preserve">  　　③　乙が修補を拒絶する意思を明確に表示したとき。</t>
  </si>
  <si>
    <t xml:space="preserve">  　　④　乙が修補を行う見込みが無いことが明らかであるとき。</t>
  </si>
  <si>
    <t xml:space="preserve">  4.  前2項による請負代金の減額は、原則として契約不適合に係る修補費用を基準として行うものとし、</t>
  </si>
  <si>
    <t xml:space="preserve">  　　甲が修補を求めることができないときその他修補費用の算定が困難であるときは、請負代金内訳書の</t>
  </si>
  <si>
    <t xml:space="preserve">  　　単価を基準として行うものとします。</t>
  </si>
  <si>
    <t xml:space="preserve">  5.  甲は、引渡しを受けた本契約の目的物の契約不適合により損害を被ったときは、乙に対し、</t>
  </si>
  <si>
    <t xml:space="preserve">  　　その損害の賠償を請求することができるものとします。ただし、当該契約不適合が、本契約及び取引上の</t>
  </si>
  <si>
    <t xml:space="preserve">  　　社会通念に照らして乙の責めに帰することのできない事由により生じたときはこの限りではありません。</t>
  </si>
  <si>
    <t>第21条（甲の責めに帰すべき事由による契約不適合）</t>
  </si>
  <si>
    <t xml:space="preserve">  1.  乙は、次の各号のいずれかの事由によって生じた契約不適合については、その責任を負わないものとし、</t>
  </si>
  <si>
    <t xml:space="preserve">　 　 この場合、甲は、前条に定める権利その他当該契約不適合に係る甲の権利を行使することが</t>
  </si>
  <si>
    <t xml:space="preserve">　 　 できないものとします。</t>
  </si>
  <si>
    <t xml:space="preserve">  　　①　甲の支給材料・貸与品</t>
  </si>
  <si>
    <t xml:space="preserve">  　　②　甲又は甲の指定する者により指定された工事材料・設備の機器の性質</t>
  </si>
  <si>
    <t xml:space="preserve">  　　③　甲又は甲の指定する者により指定された施工方法</t>
  </si>
  <si>
    <t xml:space="preserve">  　　④　その他甲の責めに帰すべき事由</t>
  </si>
  <si>
    <t xml:space="preserve">  2.  前項の場合であっても、施工について適当でないことを知りながら甲に通知しなかった場合は、</t>
  </si>
  <si>
    <t xml:space="preserve">　  　乙はその責めを免れることはできないものとします。</t>
  </si>
  <si>
    <t>第22条（契約不適合責任の期間等）</t>
  </si>
  <si>
    <t xml:space="preserve">  1.　甲は、乙に対し、所定の保証書に定める保証期間（起算日：引渡日）内に契約不適合の通知を</t>
  </si>
  <si>
    <t xml:space="preserve">　  　しなかったときは、その契約不適合を理由として、第20条に定める権利その他当該契約不適合に係る</t>
  </si>
  <si>
    <t xml:space="preserve">　　  甲の権利を行使することができないものとします。</t>
  </si>
  <si>
    <t xml:space="preserve">　　  なお、本項に基づく通知に際しては、甲は、具体的な契約不適合の内容を特定して通知するものとします。</t>
  </si>
  <si>
    <t xml:space="preserve">  2.　甲は、前項の通知を行ったときは、民法に定める消滅時効の範囲内で、前項に定める権利を行使する</t>
  </si>
  <si>
    <t xml:space="preserve">　　  ことができるものとします。</t>
  </si>
  <si>
    <t xml:space="preserve">  3.　前各項の規定は、契約不適合が乙の故意又は重過失により生じたものであるときは適用せず、この場合、</t>
  </si>
  <si>
    <t xml:space="preserve">　　  当該契約不適合に関する乙の責任については、民法の定めるところによるものとします。</t>
  </si>
  <si>
    <t xml:space="preserve">  4.　民法第637条第1項の規定は、本条第1項に定める保証期間については適用しないものとします。</t>
  </si>
  <si>
    <t xml:space="preserve">  5.　前各項の規定にかかわらず，本契約に基づく工事が住宅の品質確保の促進等に関する法律第2条第2項の</t>
  </si>
  <si>
    <t xml:space="preserve">　　  「新築住宅」に係る工事の場合、住宅のうち構造耐力上主要な部分又は雨水の浸入を防止する部分として</t>
  </si>
  <si>
    <t xml:space="preserve">　　  同法施行令第5条第1項及び第2項に定めるものの瑕疵（構造耐力又は雨水の浸入に影響のないものを</t>
  </si>
  <si>
    <t xml:space="preserve">　　  除きます。）については、乙は、本契約の目的物の引渡し時から10年間、同法に基づく担保の責任を</t>
  </si>
  <si>
    <t xml:space="preserve">　　  負うものとします。</t>
  </si>
  <si>
    <t>第23条（瑕疵担保責任の履行確保）</t>
  </si>
  <si>
    <t xml:space="preserve">　　　本契約に基づく工事が住宅の品質確保の促進等に関する法律第2条第2項の「新築住宅」に係る工事の場合</t>
  </si>
  <si>
    <t xml:space="preserve">　　　（「特定住宅の瑕疵担保責任の履行の確保等に関する法律」（平成19年法律第66号）に定める</t>
  </si>
  <si>
    <t xml:space="preserve">　　　特定住宅建設瑕疵担保責任の対象工事に該当する場合）、乙は、表記Ⅰの6に定める資力確保措置</t>
  </si>
  <si>
    <t xml:space="preserve">　　　を執るものとします。</t>
  </si>
  <si>
    <t>第24条（遅延損害金）</t>
  </si>
  <si>
    <t xml:space="preserve">  1.  乙が工期内に本契約の目的物の引渡しができない場合、甲は、乙に対し、請負代金から工事の</t>
  </si>
  <si>
    <t xml:space="preserve">　  　既施工部分・出来形部分、発注済又は検査済の工事材料及び設備の機器に対する請負代金相当額を控除した</t>
  </si>
  <si>
    <t xml:space="preserve">　　  残額について、遅滞日数に応じて、年率10%の割合により計算した金額の違約金を請求すること</t>
  </si>
  <si>
    <t xml:space="preserve">　　  ができるものとします。</t>
  </si>
  <si>
    <t xml:space="preserve">　  　ただし、第11条（工期の変更）第1項各号に定める事由その他本契約及び取引上の社会通念に照らして</t>
  </si>
  <si>
    <t xml:space="preserve">　  　乙の責めに帰することができない事由により乙が工期内に本契約の目的物の引渡しができないときは、</t>
  </si>
  <si>
    <t xml:space="preserve">　  　この限りではありません。</t>
  </si>
  <si>
    <t xml:space="preserve">  2.  甲が請負代金の支払を遅滞した場合、乙は、甲に対し、請負代金からすでに受領した代金を控除した</t>
  </si>
  <si>
    <t xml:space="preserve">　  　残額について、遅滞日数に応じて、年率10%の割合により計算した金額の違約金を請求することが</t>
  </si>
  <si>
    <t xml:space="preserve">  3.  甲が前項の遅滞にあるときは、乙は、本契約の目的物の引渡しを拒むことができるものとします。</t>
  </si>
  <si>
    <t xml:space="preserve">　  　この場合、乙の故意又は重大な過失により損害を生じたときのほかは、その損害は甲が負担するものとします。</t>
  </si>
  <si>
    <t xml:space="preserve">　  　また、本契約の目的物の引渡しまでに管理のために要した費用は、甲が負担するものとします。</t>
  </si>
  <si>
    <t>第25条（甲の中止又は解除権）</t>
  </si>
  <si>
    <t xml:space="preserve">  1.  甲は、工事の完成前までは、やむを得ない事由がある場合は、乙に対し工事の中止を求め、又は本契約を</t>
  </si>
  <si>
    <t xml:space="preserve">　　  解除することができます。この場合、甲は、乙に対して、これによって生ずる乙の損害（それまでに要した</t>
  </si>
  <si>
    <t xml:space="preserve">　  　費用及び逸失利益を含みます。）を賠償するものとします。</t>
  </si>
  <si>
    <t xml:space="preserve">  2.  甲は、天災地変その他の自然的条件、災害、感染症の発生等、甲及び乙のいずれの責めにも帰すことの</t>
  </si>
  <si>
    <t xml:space="preserve">　  　できない事由により、工事の継続が困難である場合は、乙に対し、工事の完成前に限り、工事の中止を求める</t>
  </si>
  <si>
    <t xml:space="preserve">　  　ことができます。この場合において、甲は、第11条に基づく工期の延長及び第12条第1項第5号に基づく</t>
  </si>
  <si>
    <t xml:space="preserve">　  　請負代金の変更につき乙と誠実に協議して定めるものとします。</t>
  </si>
  <si>
    <t xml:space="preserve">  3.  甲は、次の各号のいずれかの事由がある場合は、本契約を解除することができます。ただし、第1号から</t>
  </si>
  <si>
    <t xml:space="preserve">　  　第3号の事由が、甲の責めに帰すべき事由によるときはこの限りではありません。</t>
  </si>
  <si>
    <t xml:space="preserve">　　　①　乙が正当な理由なく着工予定日を過ぎても工事に着手せず、かつ、甲より相当な期間を定めて着手すべき</t>
  </si>
  <si>
    <t xml:space="preserve">　　      旨催告されたにもかかわらず、これに応じないとき。</t>
  </si>
  <si>
    <t xml:space="preserve">　　　②　乙の責めに帰すべき事由により著しく工事が遅れ、催告にかかわらず、工期内又は期限後相当期間内に</t>
  </si>
  <si>
    <t xml:space="preserve">　　      乙が工事を完成する見込みがないことが明らかになったとき。</t>
  </si>
  <si>
    <t xml:space="preserve">　　　③　乙が本契約上の債務を履行せず、その不履行（契約不適合を含む。）が本契約の趣旨・目的に照らして</t>
  </si>
  <si>
    <t xml:space="preserve">　　      重大であるとき。</t>
  </si>
  <si>
    <t xml:space="preserve">　　　④　乙又はその役員（取締役、執行役、執行役員、監査役、相談役、会長その他、名称のいかんを問わず、</t>
  </si>
  <si>
    <t xml:space="preserve">　　      経営に実質的に関与している者をいいます。）が暴力団・暴力団員・暴力団員でなくなった時から</t>
  </si>
  <si>
    <t xml:space="preserve">　　      5年を経過しない者・暴力団関係団体・暴力団関係者・右翼標榜団体・総会屋その他の反社会的勢力</t>
  </si>
  <si>
    <t xml:space="preserve">　　      であるとき、もしくは乙又はその役員がこれらの者と社会的に非難されるべき関係を有することが</t>
  </si>
  <si>
    <t xml:space="preserve">　　      明らかになったとき。</t>
  </si>
  <si>
    <t xml:space="preserve">　　　⑤　乙又は乙の監督下にある者が前号の反社会的勢力を名乗るなどして、甲の名誉・信用を毀損し、</t>
  </si>
  <si>
    <t xml:space="preserve">　　      もしくは業務の妨害を行い又は不当要求行為を行ったとき。</t>
  </si>
  <si>
    <t xml:space="preserve">  4.  前項の場合、甲は、乙に対して、これによって生ずる甲の損害の賠償を求めることができます。ただし、</t>
  </si>
  <si>
    <t xml:space="preserve">　  　本契約及び取引上の社会通念に照らして乙の責めに帰することができない事由があるときは</t>
  </si>
  <si>
    <t xml:space="preserve">  5.  甲は、天災地変その他の自然的条件、災害、感染症の発生又は第三者の行為など甲及び乙のいずれの責め</t>
  </si>
  <si>
    <t xml:space="preserve">　  　にも帰すことのできない事由によって乙において本契約の履行ができなくなったときは、本契約を</t>
  </si>
  <si>
    <t xml:space="preserve">　  　解除することができます。</t>
  </si>
  <si>
    <t>第26条（乙の中止又は解除権）</t>
  </si>
  <si>
    <t xml:space="preserve">  1.  乙は、次の各号のいずれかの事由がある場合は、工事を中止することができます。この場合、乙は、</t>
  </si>
  <si>
    <t xml:space="preserve">　  　甲に対して、乙に生じた損害の賠償を求めることができます。ただし、本契約に別段の定めがあるときは</t>
  </si>
  <si>
    <t xml:space="preserve">　  　それに従うものとします。</t>
  </si>
  <si>
    <t xml:space="preserve">　　　①　甲が請負代金の支払（部分払を含みます。）を遅滞し、乙が相当の期間を定めて催告してもなお支払いに</t>
  </si>
  <si>
    <t xml:space="preserve">　　      応じないとき。</t>
  </si>
  <si>
    <t xml:space="preserve">　　　②　甲が乙との協議に応じず、又は甲と乙との間の協議が成立しないとき。</t>
  </si>
  <si>
    <t xml:space="preserve">  2.  乙は、次の各号のいずれかの事由がある場合は、以降の工事を中止し、本契約を解除することができます。</t>
  </si>
  <si>
    <t xml:space="preserve">　  　この場合、乙は、甲に対して、乙に生じた損害の賠償を求めることができます。</t>
  </si>
  <si>
    <t xml:space="preserve">　　　①　前項2号に該当する事由、その他乙の責めに帰すことのできない事由により、工事の遅滞又は中止期間が</t>
  </si>
  <si>
    <t xml:space="preserve">　　      工期の3分の1以上、もしくは1か月以上になったとき。</t>
  </si>
  <si>
    <t xml:space="preserve">　　　②　甲が工事を著しく減少したため、請負代金が4分の1以上減少したとき。</t>
  </si>
  <si>
    <t xml:space="preserve">　　　③　甲が第5条（工事用地の確保）、第6条（隣接土地との境界の明示）、第7条（地盤調査・地盤改良）</t>
  </si>
  <si>
    <t xml:space="preserve">　　      に違反したとき。</t>
  </si>
  <si>
    <t xml:space="preserve">　　　④　甲が請負代金の支払能力を欠くおそれがあることが明らかになったとき。</t>
  </si>
  <si>
    <t xml:space="preserve">　　　⑤　建築関係諸法令（建築主事などからの指導を含みます。）に照らして、工事を適法に施工することが</t>
  </si>
  <si>
    <t xml:space="preserve">　　      困難であると認められるとき。</t>
  </si>
  <si>
    <t xml:space="preserve">　　　⑥　近隣住民・第三者との間で工事の続行に弊害が発生したとき。</t>
  </si>
  <si>
    <t xml:space="preserve">　　　⑦　甲又は甲の関係者が暴力団・暴力団員・暴力団員でなくなった時から５年を経過しない者・暴力団関係</t>
  </si>
  <si>
    <t xml:space="preserve">　　      団体・暴力団関係者・右翼標榜団体・総会屋その他の反社会的勢力であり、又はこれらの者との関係が</t>
  </si>
  <si>
    <t xml:space="preserve">　　      あることが明らかになったとき。</t>
  </si>
  <si>
    <t xml:space="preserve">　　　⑧　甲又は甲の関係者が前号の反社会的勢力を名乗るなどして、乙又は乙の関係者の名誉・信用を毀損し、</t>
  </si>
  <si>
    <t xml:space="preserve">　　　⑨　前各号のほか甲が本契約上の債務を履行せず、その不履行によって本契約の履行ができなくなったとき</t>
  </si>
  <si>
    <t xml:space="preserve">　　      （乙の責めに帰すべき事由によるときを除きます。）。</t>
  </si>
  <si>
    <t xml:space="preserve">　　　⑩　その他本契約の履行を阻害する事由が発生したとき。</t>
  </si>
  <si>
    <t xml:space="preserve">  3.  乙は、天災地変その他の自然的条件、災害、感染症の発生又は第三者の行為など甲及び乙のいずれの責めにも</t>
  </si>
  <si>
    <t xml:space="preserve">　  　帰すことのできない事由によって本契約の履行ができなくなったときは、本契約を解除することができます。</t>
  </si>
  <si>
    <t>第27条（契約解除後等の処理）</t>
  </si>
  <si>
    <t xml:space="preserve">  1.  本契約が解除により終了したときは、甲は、乙に対し、契約解除までの間の履行割合に応じた設計及び</t>
  </si>
  <si>
    <t xml:space="preserve">　  　工事監理に関する業務報酬及び工事の既施工部分・出来形部分、発注済又は検査済の工事材料及び設備の機器 </t>
  </si>
  <si>
    <t xml:space="preserve">　　  （以下「工事の既施工部分等」といいます。）に相当する請負代金額等（以下「出来高報酬等」と総称</t>
  </si>
  <si>
    <t xml:space="preserve">　  　します。）の費用を清算した上で、乙から工事の既施工部分等の引渡しを受けるものとします。なお、</t>
  </si>
  <si>
    <t xml:space="preserve">　  　設計図書（未完了のものを含みます。）は、設計に関する業務報酬及び費用の全額の支払い並びに設計図書</t>
  </si>
  <si>
    <t xml:space="preserve">　  　及び官公署への届出において乙の氏名又は名称を表示しないことを条件として、甲はこれを受領し、</t>
  </si>
  <si>
    <t xml:space="preserve">　  　本契約の目的物の建築のために利用することができるものとします。</t>
  </si>
  <si>
    <t xml:space="preserve">  2.  前項の費用の清算は、次のとおり行うものとします。</t>
  </si>
  <si>
    <t xml:space="preserve">　　　①　契約解除までの間の出来高報酬等が、契約解除までに乙が甲より受領した請負代金その他の金銭を</t>
  </si>
  <si>
    <t xml:space="preserve">　　      上回るときは、甲は、乙に対し、その差額を支払うものとします。</t>
  </si>
  <si>
    <t xml:space="preserve">　　　②　契約解除までに乙が甲より受領した請負代金その他の金銭が、契約解除までの間の出来高報酬等を</t>
  </si>
  <si>
    <t xml:space="preserve">　　      上回るときは、乙は、甲に対し、無利息にてその差額を返金するものとします。</t>
  </si>
  <si>
    <t xml:space="preserve">  3.  本契約を解除したときは、甲及び乙は、協議の上、各当事者に属する物件について期間を定めてその引取り、</t>
  </si>
  <si>
    <t xml:space="preserve">　  　後片付けなどの処理を行います。</t>
  </si>
  <si>
    <t xml:space="preserve">  4.  乙の催告にもかかわらず、甲による前項の処置が遅れている場合、乙は、甲に代わってこれを行ない、</t>
  </si>
  <si>
    <t xml:space="preserve">　　  その費用を請求することができます。</t>
  </si>
  <si>
    <t xml:space="preserve">  5.  第１項に基づき交付された設計図書は、甲の責任において利用することとし、交付された設計図書に</t>
  </si>
  <si>
    <t xml:space="preserve">　  　不具合がある場合であっても、甲は、乙に対し、追完、損害賠償、業務報酬の減額その他の一切の</t>
  </si>
  <si>
    <t xml:space="preserve">　  　法的請求をすることはできないものとします。</t>
  </si>
  <si>
    <t xml:space="preserve">  6.  甲の責めに帰すことができない事由によって本契約の履行ができなくなったときも、前5項に準じて処理</t>
  </si>
  <si>
    <t xml:space="preserve">　  　するものとします。</t>
  </si>
  <si>
    <t>第28条（融資利用の場合の特例）</t>
  </si>
  <si>
    <t xml:space="preserve">  1.  請負代金の支払の全部又は一部に充てるため、甲が金融機関等からの融資を利用する場合において、</t>
  </si>
  <si>
    <t xml:space="preserve">　  　乙の指定する日までの間に融資を受けられないことが判明したときは、甲又は乙は本契約を解除することが</t>
  </si>
  <si>
    <t xml:space="preserve">  2.  甲が金融機関等からの融資を利用するかについて乙の指定する日までの間に決定しないときは、</t>
  </si>
  <si>
    <t xml:space="preserve">　  　乙は本契約を解除することができるものとします。</t>
  </si>
  <si>
    <t xml:space="preserve">  3.  前2項の場合、前条に準じて処理するものとします。</t>
  </si>
  <si>
    <t>第29条（確認済証不交付の場合の特例）</t>
  </si>
  <si>
    <t xml:space="preserve">  1.  着工予定日の10日前までに確認済証が交付されないときは、乙はその着工予定日を延期することが</t>
  </si>
  <si>
    <t xml:space="preserve">　　  できるものとします。</t>
  </si>
  <si>
    <t xml:space="preserve">  2.  確認検査機関より確認申請内容の変更を求められた場合、甲及び乙は、確認済証の交付を受けることが</t>
  </si>
  <si>
    <t xml:space="preserve">　  　できるよう、協議の上、必要に応じ、工事内容、請負代金、工期等を変更するものとします。</t>
  </si>
  <si>
    <t xml:space="preserve">  3.  法令その他やむを得ない事由により、甲の希望する工事につき、確認済証が交付されないことが客観的</t>
  </si>
  <si>
    <t xml:space="preserve">　  　に明らかとなった場合又は前項の協議が整わない場合、甲又は乙は本契約を解除することが</t>
  </si>
  <si>
    <t xml:space="preserve">  4.  前項の場合、第27条（契約解除後等の処理）に準じて処理するものとします。</t>
  </si>
  <si>
    <t>第30条（登記書類）</t>
  </si>
  <si>
    <t xml:space="preserve">      本契約の目的物たる建物の表題・保存登記その他の登記事務は、甲の費用において、乙の指定する者がこれを</t>
  </si>
  <si>
    <t xml:space="preserve">      行うものとし、甲はこれに誠実に協力するものとします。ただし、やむを得ない事由がある場合、</t>
  </si>
  <si>
    <t xml:space="preserve">      乙の事前の承諾を得たときに限り、甲の指定する者にこれを行わせることができるものとします。</t>
  </si>
  <si>
    <t>第31条（通知）</t>
  </si>
  <si>
    <t xml:space="preserve">      甲は、甲もしくは保証人の住所又は所在地・氏名又は名称を変更したときは、速やかにこの旨を書面により</t>
  </si>
  <si>
    <t xml:space="preserve">　  　乙に通知するものとします。</t>
  </si>
  <si>
    <t>第32条（甲が複数の場合）</t>
  </si>
  <si>
    <t xml:space="preserve">  1.  甲が2名以上の場合、甲は、乙に対して負担する一切の債務を、互いに連帯して履行する責めを</t>
  </si>
  <si>
    <t xml:space="preserve">　  　負うものとします。</t>
  </si>
  <si>
    <t xml:space="preserve">  2.  甲が2名以上の場合、甲は、本契約締結と同時に、乙に対し、代表者を届け出るものとし、</t>
  </si>
  <si>
    <t xml:space="preserve">　  　甲と乙の連絡は次の定めに従うものとします。</t>
  </si>
  <si>
    <t xml:space="preserve">　　　①　甲の乙に対する通知、連絡、現場の指示などは、代表者が行うものとし、乙は、代表者以外の甲からの</t>
  </si>
  <si>
    <t xml:space="preserve">　　　　　連絡に対しては、代表者の委任状の提示を求めることができるものとします。</t>
  </si>
  <si>
    <t xml:space="preserve">　　　②　乙の甲に対する通知、連絡、請求等は、代表者に対して行えば、他の甲に対しても効力を生じるもの</t>
  </si>
  <si>
    <t xml:space="preserve">　　　　　とします。</t>
  </si>
  <si>
    <t>第33条（保証人）</t>
  </si>
  <si>
    <t xml:space="preserve">  1.  保証人は，本契約に基づく甲の乙に対する表記Ⅰの5に定める請負代金債務（本契約が解除された場合に</t>
  </si>
  <si>
    <t xml:space="preserve">　　　おける出来高報酬等の支払債務を含みます。）及び違約金支払債務（第24条第2項）について、</t>
  </si>
  <si>
    <t xml:space="preserve">　　　甲と連帯して、これを履行する責任を負います。</t>
  </si>
  <si>
    <t xml:space="preserve">  2.  保証人が保証債務を履行できないことが明らかになったときは、乙は、甲に対して、保証人の追加又は</t>
  </si>
  <si>
    <t xml:space="preserve">　　　変更を求めることができます。</t>
  </si>
  <si>
    <t xml:space="preserve">  3.  甲が請負代金の支払（前払又は部分払を含みます。）を遅滞した場合、乙は、遅滞したときから2か月以内に、</t>
  </si>
  <si>
    <t xml:space="preserve">　　　保証人にその旨通知するものとします。</t>
  </si>
  <si>
    <t>第34条（印紙等負担）</t>
  </si>
  <si>
    <t xml:space="preserve">　  　本契約書並びに本契約に付随して甲及び乙の間にて締結する契約書等がある場合、</t>
  </si>
  <si>
    <t xml:space="preserve">　  　印紙税等の契約書類作成費用は、甲及び乙が折半して負担するものとします。</t>
  </si>
  <si>
    <t>第35条（管轄裁判所）</t>
  </si>
  <si>
    <t xml:space="preserve">　  　本契約について紛争が生じたときは、乙の本店所在地又は工事物件所在地を管轄する裁判所をもって、</t>
  </si>
  <si>
    <t xml:space="preserve">　  　第一審の専属的合意管轄裁判所とします。</t>
  </si>
  <si>
    <t>第36条（個人情報の取扱い）</t>
  </si>
  <si>
    <t xml:space="preserve">　  　本契約締結にあたり甲が乙に提供する個人情報（以下「個人情報」といいます。）の取扱いは次の</t>
  </si>
  <si>
    <t xml:space="preserve">　  　とおりとします。</t>
  </si>
  <si>
    <t xml:space="preserve">　　　①　甲は、乙が、本契約に基づく工事、引渡後のアフターメンテナンスの実施その他本契約を履行する</t>
  </si>
  <si>
    <t xml:space="preserve">　　　　　目的のために個人情報を利用し、また、建築設計事務所、保証委託会社、提携損害保険会社、下請業者、</t>
  </si>
  <si>
    <t xml:space="preserve">　　　　　協力業者、融資に関わる金融機関、登記等に関わる司法書士その他専門家等の第三者に対して、</t>
  </si>
  <si>
    <t xml:space="preserve">　　　　　甲の個人情報を提供することを、あらかじめ同意します。</t>
  </si>
  <si>
    <t xml:space="preserve">　　　②  乙は、前項の目的以外の目的で、甲の承諾を得ずに、個人情報を利用し、第三者に提供してはならない</t>
  </si>
  <si>
    <t xml:space="preserve">　　　　　ものとします。</t>
  </si>
  <si>
    <t>第37条（情報通信の技術を利用する方法）</t>
  </si>
  <si>
    <t xml:space="preserve">　　　本契約において書面により行わなければならないとされている通知、承諾等は、建設業法その他の法令に</t>
  </si>
  <si>
    <t xml:space="preserve">　　　違反しない限りにおいて、電子情報処理組織を利用する方法その他の情報通信の技術を利用する方法を用いて</t>
  </si>
  <si>
    <t xml:space="preserve">　　　行うことができるものとします。ただし、当該方法は書面の交付に準ずるものでなければ</t>
  </si>
  <si>
    <t xml:space="preserve">　　　ならないものとします。</t>
  </si>
  <si>
    <t>第38条（契約外事項）</t>
  </si>
  <si>
    <t xml:space="preserve">　　　本契約に定めのない事項及び疑義のある事項は甲及び乙が互いに誠実に協議して定めるものとします。</t>
  </si>
  <si>
    <t xml:space="preserve">　　　以上</t>
  </si>
  <si>
    <t>(特定商取引に関する法律の適用を受ける場合のクーリングオフについての説明書）</t>
  </si>
  <si>
    <t>ご契約いただきます請負新築工事またはインテリア商品等販売が｢特定商取引に関する法律｣の適用を受ける</t>
  </si>
  <si>
    <t>場合(注)で、クーリングオフを行おうとする場合にはこの説明書・工事請負契約約款を充分お読みください。</t>
  </si>
  <si>
    <t>(注)「特定商取引に関する法律」の適用を受ける場合：訪問販売、電話勧誘販売による取引</t>
  </si>
  <si>
    <t>Ⅰ  契約の解除(クーリングオフ)を行おうとする場合</t>
  </si>
  <si>
    <t>①  ｢特定商取引に関する法律｣の適用を受ける場合(注)で、クーリングオフを行おうとする場合には、この</t>
  </si>
  <si>
    <t>書面を受領した日から起算して8日以内は、お客様(注文者)は書面又は電磁的記録をもって工事請負契約の</t>
  </si>
  <si>
    <t>解除(クーリングオフと呼びます)ができ、その効力は解除する旨の文書を発したときに生ずるものとします。</t>
  </si>
  <si>
    <t>ただし、次のような場合等にはクーリングオフの権利行使はできません。</t>
  </si>
  <si>
    <t>ア)お客様(注文者)が請負新築工事建物等を営業用に使用する場合やお客様(注文者)からのご請求により</t>
  </si>
  <si>
    <t>ご自宅でのお申し込みまたはご契約を行った場合等</t>
  </si>
  <si>
    <t>イ)壁紙などの消耗品を使用(最小包装単位)又は、3000円未満の現金取引</t>
  </si>
  <si>
    <t>② 上記クーリングオフの行使を妨げるために請負者が不実のことを告げたことによりお客様(注文者)が</t>
  </si>
  <si>
    <t>誤認し、または威迫したことにより困惑してクーリングオフを行わなかった場合は、請負者から、クーリ</t>
  </si>
  <si>
    <t>ングオフ妨害の解消のための書面が交付され、その内容について説明を受けた日から8日を経過するまで</t>
  </si>
  <si>
    <t>書面によりクーリングオフすることができます。</t>
  </si>
  <si>
    <t>Ⅱ    上記期間内に契約の解除(クーリングオフ)があった場合</t>
  </si>
  <si>
    <t>① 請負者は契約の解除に伴う損害賠償または違約金支払を請求することはありません。</t>
  </si>
  <si>
    <t>② 契約の解除があった場合に、既に商品の引渡しが行われているときは、その引取りに要する費用は請負</t>
  </si>
  <si>
    <t>者の負担とします。</t>
  </si>
  <si>
    <t>③ 契約解除のお申し出の際に既に受領した金員がある場合は、速やかにその金額を無利息にて返還いたし</t>
  </si>
  <si>
    <t>ます。</t>
  </si>
  <si>
    <t>④ 役務の提供に伴い、土地又は建物その他の工作物の現状が変更された場合には、お客様(注文者)は無料</t>
  </si>
  <si>
    <t>で元の状態に戻すよう請求することができます。</t>
  </si>
  <si>
    <t>⑤ 既に役務が提供されたときにおいても、請負者は、お客様(注文者)に提供した役務の対価、その他の金</t>
  </si>
  <si>
    <t>銭の支払いを請求することはありません。</t>
  </si>
  <si>
    <t>※ 尚、通常必要とされる量を著しく超える商品などの契約を結んだ場合は、契約後一年間は契約の解除が</t>
  </si>
  <si>
    <t>可</t>
  </si>
  <si>
    <t>（特約事項）</t>
  </si>
  <si>
    <t>保証書</t>
  </si>
  <si>
    <t>保証書原本は、建物お引渡し時にお渡しいたしますが、その内容は次のとおりとなっております。</t>
  </si>
  <si>
    <t xml:space="preserve">  1.  保証内容</t>
  </si>
  <si>
    <t xml:space="preserve">　①　保証期間</t>
  </si>
  <si>
    <t xml:space="preserve">　　　この契約の目的物の保証期間は､引渡し日から保証項目一覧表記載のとおりの期間と</t>
  </si>
  <si>
    <t xml:space="preserve">　　　します。なお、付帯設備および付属施設のうちメーカーの保証のあるものについては、</t>
  </si>
  <si>
    <t xml:space="preserve">　　　当該メーカーの定める保証期間とします。</t>
  </si>
  <si>
    <t xml:space="preserve">　②　保証期間内の補修等</t>
  </si>
  <si>
    <t xml:space="preserve">　　　保証期間に、この契約の目的物に保証項目一覧表記載の保証の対象となる現象があらわ</t>
  </si>
  <si>
    <t xml:space="preserve">　　　れ、当社がそれを認めた場合は、無償で補修またはお取替えいたします。</t>
  </si>
  <si>
    <t xml:space="preserve">　　　なお、付帯設備および付属施設のうちメーカーの保証のあるものについては、当該メー</t>
  </si>
  <si>
    <t xml:space="preserve">　　　カーの定める保証内容によります。</t>
  </si>
  <si>
    <t xml:space="preserve">　③　保証期間終了後の補修等</t>
  </si>
  <si>
    <t xml:space="preserve">　 　 保証期間終了後のお申し出については、補修またはお取替えは有償にて承ります。</t>
  </si>
  <si>
    <t>（保証項目一覧表）</t>
  </si>
  <si>
    <t>対象部位</t>
  </si>
  <si>
    <t>保証の対象となる現象例</t>
  </si>
  <si>
    <t>適用除外</t>
  </si>
  <si>
    <t>保証期間</t>
  </si>
  <si>
    <t>構造耐力上主要な部分</t>
  </si>
  <si>
    <t>基　　　礎</t>
  </si>
  <si>
    <t>基礎コンクリートのひび割れ、欠損の著しいもの</t>
  </si>
  <si>
    <t>基礎コンクリートの乾燥収縮に起因する構造上支障のない軽微なひび割れ、白華</t>
  </si>
  <si>
    <t>20年</t>
  </si>
  <si>
    <t>柱,梁,小屋組,土台,斜材</t>
  </si>
  <si>
    <t>ひび割れ、欠損、腐食、傾斜、変形、破断、たわみの著しいもの</t>
  </si>
  <si>
    <t>構造上支障のないもの</t>
  </si>
  <si>
    <t>壁（外壁、内部耐力壁）</t>
  </si>
  <si>
    <t>ひび割れ、欠損、傾斜、破断の著しいもの</t>
  </si>
  <si>
    <t>床</t>
  </si>
  <si>
    <t>変形、傾斜、破断、たわみの著しいもの　　　　　　　　　　　　　　　　　振動の著しいもの</t>
  </si>
  <si>
    <t>床自体の重量や人、家具等の荷重による構造上支障のないもの　　      　　　　　重量物の設置等設計時想定外の積荷によるもの</t>
  </si>
  <si>
    <t>屋　　　根</t>
  </si>
  <si>
    <t>欠損、変形、たわみの著しいもの</t>
  </si>
  <si>
    <t>屋根面の歩行に起因するもの　  　　　　設備機器やベランダ等の設置、積雪等屋根面上の設計時想定外の積荷によるもの　　　　　　　　　　　　　　　　　構造上支障のないもの</t>
  </si>
  <si>
    <t>雨水の侵入を防止する部分</t>
  </si>
  <si>
    <t>屋　　根　・　外　　壁</t>
  </si>
  <si>
    <t>屋内への雨漏り　　　　　　　　　　　雨漏りによる室内部材の汚損　　　　　　（かび、しみ等）、仕上げ材の剥がれの著しいもの</t>
  </si>
  <si>
    <t>屋根面の歩行等本来の目的以外の使用に起因するもの　　　　　　　　　　　　　　　暴風雨、豪雨等による建具からの一時的な雨水の侵入（換気扇や換気孔からの侵入も含む）　　　　　　　　　　　　　　　　樋など排水部分の維持管理不良に起因するもの　　　　　　　　　　　　　　　　　　　　建物の使用に影響のない長雨時や大雨、大雪時等の野地への軽微な透水及び屋外面の水たまり　　　　　　　　　　　　　　　　　　重量物の設置等、設計時想定外の積荷によるもの</t>
  </si>
  <si>
    <t>屋根又は外壁開口部に設ける戸、わく、窓（トップライトを除く*(1)）その他建具</t>
  </si>
  <si>
    <t>屋根、外壁の内部、屋内にある雨水の排水管</t>
  </si>
  <si>
    <t>構造耐力上主要な部分以外の下地及び仕上</t>
  </si>
  <si>
    <t>基礎</t>
  </si>
  <si>
    <t>仕上材</t>
  </si>
  <si>
    <t>モルタル等仕上材のひび割れや剥がれで欠損の著しいもの</t>
  </si>
  <si>
    <t>基礎表面の軽微な気泡　　　　　　　　　軽微なひび割れ又は白華</t>
  </si>
  <si>
    <t>2年</t>
  </si>
  <si>
    <t>床、階段</t>
  </si>
  <si>
    <t>下地材　　　及び仕上材</t>
  </si>
  <si>
    <t>床鳴りの著しいもの　　　　　　　　　　　　仕上材のひび割れ、剥がれ、変質、継ぎ目の隙間の著しいもの</t>
  </si>
  <si>
    <t>設計荷重以上の重量物に起因するもの　　　　　　　　　　　　　　　軽微な床鳴り　　　　　　　　　　　　　　　　　　　　　　　　　居住者が水を長時間こぼした状態で放置したことに起因するもの　　　　　　　　　　　　　　　開閉可能な窓等の閉め忘れに起因するもの　　　　　　　　　　　　　　　　　直射日光による日焼け等の仕上材の変質　　　　　　　　　　　　　　　　　　冷暖房機器等による過度な乾燥、加湿、加熱等に起因するもの</t>
  </si>
  <si>
    <t>外壁　　　　（外装面）</t>
  </si>
  <si>
    <t>下地材　　及び仕上材</t>
  </si>
  <si>
    <t>変色、退色、ひび割れ、欠損、剥がれ、膨れの著しいもの</t>
  </si>
  <si>
    <t>軽微なひび割れ　　　   　　　　　　　汚れ、カビ等の付着によるもの　　　　　　近接して植生する庭木の接触による傷　　　　　　　　　　　　　　　機能上影響のない軽微なもの</t>
  </si>
  <si>
    <t>屋根</t>
  </si>
  <si>
    <t>屋根葺材</t>
  </si>
  <si>
    <t>破損、剥がれ、ズレ、脱落</t>
  </si>
  <si>
    <t xml:space="preserve">屋根面の歩行及び飛来物等に起因するもの　　　　　　　　　　　　　　　　   設備機器やベランダ等の設置、積雪等屋根面上の設計時想定外の積荷によるもの　　　　　　</t>
  </si>
  <si>
    <t>内壁</t>
  </si>
  <si>
    <t>下地材　　　　及び仕上材</t>
  </si>
  <si>
    <t>仕上材の変質、ひび割れ、剥がれ、継ぎ目の隙間の著しいもの</t>
  </si>
  <si>
    <t xml:space="preserve">開閉可能な窓等の閉め忘れに起因するもの　　　　　　　　　　　　　　　     直射日光による日焼け等の仕上材の変質　　　　　　　　　　　　　　　　　冷暖房機器等による過度な乾燥、加湿、加熱等に起因するもの     　　　　　　　　　　 白色クロス以外の入隅部分のミミズ腫れ </t>
  </si>
  <si>
    <t>天井</t>
  </si>
  <si>
    <t>仕上材の変質、ひび割れ、剥がれ　　　                       たわみの著しいもの　　　　　　　　　　　　継ぎ目の隙間の著しいもの</t>
  </si>
  <si>
    <t>居住者が重量の大きい照明器具や設備機器を天井に設置した場合等、設計時想定外の荷重に起因するもの　　　　　　　　　　　　　冷暖房機器等による過度な乾燥、加湿、加熱等に起因するもの</t>
  </si>
  <si>
    <t>建具</t>
  </si>
  <si>
    <t>ドア、窓等</t>
  </si>
  <si>
    <t>作動不良、反り、取付不良、隙間の著しいもの</t>
  </si>
  <si>
    <t>機能上影響のない軽微なもの　　　　　　乾燥収縮等材質的な収縮に起因する軽微なもの　　　　　　　　　　　　　　　　　冷暖房機器等による過度な乾燥、加湿、加熱等に起因するもの　　　　　　　　　　　　　　　　　　ガラスの割れ</t>
  </si>
  <si>
    <t>の内部及び</t>
  </si>
  <si>
    <t>外部建具</t>
  </si>
  <si>
    <t>塗装</t>
  </si>
  <si>
    <t>仕上面</t>
  </si>
  <si>
    <t>ひび割れ、白華、剥がれの著しいもの</t>
  </si>
  <si>
    <t>歩行部分　　　　　　　　　　　　　　　機能上影響のない軽微なもの</t>
  </si>
  <si>
    <t>浴室等の水廻り部分</t>
  </si>
  <si>
    <t>目地、防水層及び水廻り部分と一般部分の接合部</t>
  </si>
  <si>
    <t>水漏れ　　　　　　　　　　　　　　　　　水漏れによる室内仕上面の汚損</t>
  </si>
  <si>
    <t>家具、調度等の汚損　　　　　　　　　（かび、しみ等）　　　　　　　　　　　　　　　　　凍結に起因するもの</t>
  </si>
  <si>
    <t>結露</t>
  </si>
  <si>
    <t>結露水のしたたりの著しいもの　　　　　　　　　結露水による汚損、かびの著しいもの</t>
  </si>
  <si>
    <t>地域特性、立地条件、換気不足、水蒸気を大量に発生するような住まい方によるもの　　　　　　　　　　　　      サッシ、ガラス及び浴室、便所、洗面所、非採暖室等の結露　　　　       　　　屋外に面する部分の結露</t>
  </si>
  <si>
    <t>外部部材</t>
  </si>
  <si>
    <t>樋、金物、バルコニー　　　　屋外階段等</t>
  </si>
  <si>
    <t>材料の変形、変質、割れ、反り、隙間、ゆるみの著しいもの</t>
  </si>
  <si>
    <t>その地域の条例による設計最深積雪量以上の積雪に起因するもの　　　　　　　　　　　　　　　凍結、枯葉等のつまりに起因するもの</t>
  </si>
  <si>
    <t>内部造作</t>
  </si>
  <si>
    <t>造り付け戸棚         収納家具　　　　          カーテンレール</t>
  </si>
  <si>
    <t>設計時に想定外の積荷によるもの　　　　　　　　　　　作動に影響しない扉の反り、変更、ゆるみによるもの　　　　　　　    　　　　　水等に濡れたまま収納したことに起因するもの</t>
  </si>
  <si>
    <t>付　帯　工　事</t>
  </si>
  <si>
    <t>給水設備　　　　　　　　給湯設備　　　　　　排水設備</t>
  </si>
  <si>
    <t>配管　　　　し尿浄化槽</t>
  </si>
  <si>
    <t>漏水、排水不良、腐食、破損</t>
  </si>
  <si>
    <t>凍結,異物のつまりに起因するもの　　　　　　　　　　　　　　水栓の過剰な締付に起因するもの　　　パッキン等消耗品劣化に起因するもの　　　　　　　　　　　　　　　　高給水圧等によるウォーターハンマーに起因するもの　　　　　　　　　　　　　　薬品、塩素系洗剤等を継続的又は高濃度での使用に起因するもの　　　　　　　　　　　　　　　　　　　　　　　　　　　　　　　　　　　　　　　　　　　　　　　　　　　　　　　　　　　高温水の継続的排水に起因するもの  　　水との化学反応で固定化するものの排水に起因するもの　　　　 　         　　　使用上支障とならない軽微な錆</t>
  </si>
  <si>
    <t>*(2)　　　　　　　　　　　　　　　　　　　　　　　　2年</t>
  </si>
  <si>
    <t>水栓</t>
  </si>
  <si>
    <t>取付不良、作動不良、破損</t>
  </si>
  <si>
    <t>キッチン</t>
  </si>
  <si>
    <t>厨房機器</t>
  </si>
  <si>
    <t>取付不良、漏水、排水不良</t>
  </si>
  <si>
    <t>設備</t>
  </si>
  <si>
    <t>衛生機器</t>
  </si>
  <si>
    <t>作動不良、破損</t>
  </si>
  <si>
    <t>サニタリー</t>
  </si>
  <si>
    <t>浴槽</t>
  </si>
  <si>
    <t>防水パン</t>
  </si>
  <si>
    <t>電気設備　　　　　情報設備</t>
  </si>
  <si>
    <t>100V/200V</t>
  </si>
  <si>
    <t>短路、漏電、破損</t>
  </si>
  <si>
    <t>落雷等自然現象に起因するもの　　　　　地域の供給電圧事情に起因するもの（低電圧、高電圧供給による作動不良）</t>
  </si>
  <si>
    <t>電気配線</t>
  </si>
  <si>
    <t>TV配線</t>
  </si>
  <si>
    <t>電話配管</t>
  </si>
  <si>
    <t>ｺﾝｾﾝﾄ,ｽｲｯﾁ</t>
  </si>
  <si>
    <t>短路、漏電、破損、作動不良</t>
  </si>
  <si>
    <t>TVﾀｰﾐﾅﾙ</t>
  </si>
  <si>
    <t>電話ｱｳﾄﾚｯﾄ</t>
  </si>
  <si>
    <t>分電盤</t>
  </si>
  <si>
    <t>照明器具</t>
  </si>
  <si>
    <t>製造メーカーの定めによる</t>
  </si>
  <si>
    <t>熱源器具</t>
  </si>
  <si>
    <t>ガス設備</t>
  </si>
  <si>
    <t>ガス配管</t>
  </si>
  <si>
    <t>供給業者の定めによる</t>
  </si>
  <si>
    <t>ガス栓</t>
  </si>
  <si>
    <t>ガス器具</t>
  </si>
  <si>
    <t>灯油設備</t>
  </si>
  <si>
    <t>灯油配管</t>
  </si>
  <si>
    <t>腐食、破損、漏油</t>
  </si>
  <si>
    <t>異物のつまり</t>
  </si>
  <si>
    <t>灯油タンク</t>
  </si>
  <si>
    <t>灯油器具</t>
  </si>
  <si>
    <t>換気設備</t>
  </si>
  <si>
    <t>換気ダクト</t>
  </si>
  <si>
    <t>腐食、破損、漏気</t>
  </si>
  <si>
    <t>給気扇</t>
  </si>
  <si>
    <t>排気扇</t>
  </si>
  <si>
    <t>屋外ダクト</t>
  </si>
  <si>
    <t xml:space="preserve">　[備考]</t>
  </si>
  <si>
    <t>1.上表記における「著しい」とは本来持つべき機能を有しない場合、又は通常修理が必要と思われる程度をいう。</t>
  </si>
  <si>
    <t>2*(1)トップライトを設置した場合は、特約事項として別途定めます。</t>
  </si>
  <si>
    <t>3*(2)各付帯設備は、水道・電気・ガスの供給主体、又は、製造メーカーの定めがある場合は、保証の対象となる</t>
  </si>
  <si>
    <t xml:space="preserve">　現象例・適用の除外・保証期間はそれによります。</t>
  </si>
  <si>
    <t>システムキッチン</t>
  </si>
  <si>
    <t>レンジフード</t>
  </si>
  <si>
    <t xml:space="preserve">モーターの故障
操作パネルの故障
照明器具の故障</t>
  </si>
  <si>
    <t xml:space="preserve">フィルター・ランプ球の交換
汚れに対する清掃
異常音、異臭に対する部位の清掃／交換
破損・欠損部品の修理／交換</t>
  </si>
  <si>
    <t>10年</t>
  </si>
  <si>
    <t xml:space="preserve">コンロ
(ガス・IH)</t>
  </si>
  <si>
    <t xml:space="preserve">点火スイッチの故障
点火プラグの故障
(IH)操作パネルの故障
(IH)ファンモーターの故障</t>
  </si>
  <si>
    <t xml:space="preserve">トッププレートの我・ひび割れ
煮こぼれによる本体内部部品の交換
異常音、異臭に対する部位の清掃／交換
破損・欠損部品の修理／交換
ケーブル・コード・パッキンの修理／交換</t>
  </si>
  <si>
    <t>ビルトイン食器洗い乾燥機</t>
  </si>
  <si>
    <t xml:space="preserve">操作パネル・ドアセンサーの故障
モーター・基板の故障</t>
  </si>
  <si>
    <t xml:space="preserve">空排水ホース・本体内部ホース・パッキンの数理／交換
水位センサーの清掃</t>
  </si>
  <si>
    <t>ビルトイン浄水器</t>
  </si>
  <si>
    <t xml:space="preserve">操作パネルの故障
基板の故障
流量センサーの故障
電解槽の故障</t>
  </si>
  <si>
    <t xml:space="preserve">フィルターカートリッジの交換
操作銘板の破損・欠損による故障
水栓のがたつき修理</t>
  </si>
  <si>
    <t>混合水栓</t>
  </si>
  <si>
    <t xml:space="preserve">水栓内部の故障
セラミックカートリッジの故障</t>
  </si>
  <si>
    <t xml:space="preserve">シャワーホース・パッキン等の修理／交換
泡沫口の清掃／交換
水栓のがたつき修理</t>
  </si>
  <si>
    <t>システムバス</t>
  </si>
  <si>
    <t>本体(排水ボタン)</t>
  </si>
  <si>
    <t>ポップアップ排水栓の故障</t>
  </si>
  <si>
    <t xml:space="preserve">割れ・排水栓ボールチェーンに対する修理／交換
カビ・ほこり・汚れに対する清掃</t>
  </si>
  <si>
    <t>浴室換気(暖房)乾燥機</t>
  </si>
  <si>
    <t xml:space="preserve">モーター・ルーバーの故障
基板の故障
ミストサウナ制御盤の故障</t>
  </si>
  <si>
    <t xml:space="preserve">カビ・ほこり・汚れに対する清掃
異常音に対する部位の清掃／交換</t>
  </si>
  <si>
    <t xml:space="preserve">水栓内部の故障
サーモスタット・切替弁ユニットの故障</t>
  </si>
  <si>
    <t xml:space="preserve">シャワーホース・パッキン等の修理／交換
水栓のがたつき修理</t>
  </si>
  <si>
    <t>洗面化粧台</t>
  </si>
  <si>
    <t>本体(照明・曇り止めヒーター・排水ボタン)</t>
  </si>
  <si>
    <t xml:space="preserve">曇り止めヒーターの故障
スイッチの故障
ポップアップ排水栓の故障</t>
  </si>
  <si>
    <t xml:space="preserve">鏡・洗面ボウルの割れ・ひび割れの修理／交換
カビ・ほこり・汚れに対する清掃
排水栓ボールチェーンの修理／交換</t>
  </si>
  <si>
    <t xml:space="preserve">水栓内部の故障
サーモスタットの故障
セラミックカートリッジの故障</t>
  </si>
  <si>
    <t xml:space="preserve">シャワーホース・ヘッド・パッキン・吐水レバーの修理／交換
泡沫口・排水口の清掃／交換
水栓のがたつき修理</t>
  </si>
  <si>
    <t>換気扇</t>
  </si>
  <si>
    <t>温水洗浄トイレ</t>
  </si>
  <si>
    <t>本体・機能付便座・手洗器</t>
  </si>
  <si>
    <t xml:space="preserve">洗浄ノズルの故障
便座ヒーターの故障
操作パネルの故障
基板の故障
温水ユニットの故障
流量センサーの故障</t>
  </si>
  <si>
    <t xml:space="preserve">フタ・便座・便座フタ・外装カバーの割れ・ひび割れの修理／交換
脱臭剤・カセット・洗剤等の交換
ケーブル・コードの修理／交換
着座センサー窓の清掃
便座のがたつき修理
ボールタップ・切替弁・フロート弁・パッキン等の交換
連結管の交換</t>
  </si>
  <si>
    <t>モーターの故障</t>
  </si>
  <si>
    <t>給湯器</t>
  </si>
  <si>
    <t>本体・操作パネル</t>
  </si>
  <si>
    <t xml:space="preserve">各種流水・温度検知センサーの故障
点火装置の故障
ファンモーターの故障
各種電磁弁の故障
基板の故障
操作パネルの故障</t>
  </si>
  <si>
    <t xml:space="preserve">安全装置のリセット(湯出し過ぎ、地震、落電時)
給排気口の清掃
パッキンの交換
冬期凍結による破損部位の修理
異常音、異臭に対する部位の清掃／交換
操作カバーの修理／交換
液晶のドット落ち・欠けに関する修理
ケーブル・コード・パッキンの修理／交換</t>
  </si>
  <si>
    <t>24時間換気システム</t>
  </si>
  <si>
    <t xml:space="preserve">モーターユニットの故障
操作パネルの故障
センサー・サーミスタの故障
基板の故障</t>
  </si>
  <si>
    <t xml:space="preserve">フィルターの清掃／交換
ダクト配管の不具合
電源線・信号線の不具合
カビ・ほこり・汚れに対する清掃</t>
  </si>
  <si>
    <t>※この「保証対象事例と免責事例」は、一般的な故障事例等に基づく保証対象・免責の事例となりますが、</t>
  </si>
  <si>
    <t>最終的な保証対象・免責の判断は、実際に故障の症状や使用状況の調査・ヒアリングのうえ、</t>
  </si>
  <si>
    <t>Solvvy株式会社が判断致しますので、あらかじめご了承願います。</t>
  </si>
  <si>
    <t>※保証対象機器はご契約内容・プランによって異なります。保証対象機器については保証書をご確認ください。</t>
  </si>
  <si>
    <t>※お客様の故意または過失による故障、自然災害等外的要因による故障、取付設置工事などに起因する</t>
  </si>
  <si>
    <t xml:space="preserve">機器不具合、製品仕様に影響ない損害
（変色・日焼けなど）、破損・欠損・変形、故意・過失による故障、</t>
  </si>
  <si>
    <t>技術的に極めて単純なお客様のミス（電源入れ忘れなど）等による出張料・作業料・部品代は</t>
  </si>
  <si>
    <t>免責（お客様負担）となります。</t>
  </si>
  <si>
    <t>※保証内容の詳細については、別途お渡しする保証書をご確認ください。</t>
  </si>
  <si>
    <t xml:space="preserve">  2.適用除外</t>
  </si>
  <si>
    <t xml:space="preserve">    保証期間内でも、前記「保証項目一覧表」の「適用除外」欄記載のもののほか、次の場合は、</t>
  </si>
  <si>
    <t xml:space="preserve">    保証の適用を除外させていただきます。</t>
  </si>
  <si>
    <t xml:space="preserve">　　①　当社が関与しない増改築、改装、取付、補修、地盤改良工事、外構工事等に起因するもの。</t>
  </si>
  <si>
    <t xml:space="preserve">　　　　(引渡し後に、屋根や外壁にバルコニー・ベランダ、物干し、アンテナ、太陽光発電装置、水槽、</t>
  </si>
  <si>
    <t xml:space="preserve">　　　　物置等を設置する行為を含みます)</t>
  </si>
  <si>
    <t xml:space="preserve">　　②　建築主の支給材料及び支給機器類の不具合又はこれらに起因するもの。</t>
  </si>
  <si>
    <t xml:space="preserve">　　③　慣例的な住まい方、「取り扱い説明書」などに示された、取り扱い方によらない通常の住まい方と異なる使用・</t>
  </si>
  <si>
    <t xml:space="preserve">　　　　管理に起因するもの、及び定期的に必要な維持管理を怠るなど維持管理状況に起因するもの。</t>
  </si>
  <si>
    <t xml:space="preserve">　　　　(当社が点検に基づき、補修の必要性を指摘したにも関わらず、入居者又は所有者がその補修を実施せずに</t>
  </si>
  <si>
    <t xml:space="preserve">　　　　放置したこと等により発生した不具合等を含みます。)</t>
  </si>
  <si>
    <t xml:space="preserve">　　④　住宅の性能・機能等に著しく悪影響を及ぼすような通常想定されない使い方に起因するもの。</t>
  </si>
  <si>
    <t xml:space="preserve">　　⑤　入居者、所有者又は第三者の故意又は過失によるもの。</t>
  </si>
  <si>
    <t xml:space="preserve">　　⑥　地震、暴風雨、積雪、落雷、凍結、落水等の自然現象・自然災害に起因したもの。</t>
  </si>
  <si>
    <t xml:space="preserve">　　⑦　敷地周辺にわたる地盤の変動・地割れ、土砂崩れ又は公害、塩害等周辺の環境に起因するもの。</t>
  </si>
  <si>
    <t xml:space="preserve">　　⑧　周辺の建設工事又は周辺地域の恒常的な振動に起因するもの。</t>
  </si>
  <si>
    <t xml:space="preserve">　　⑨　故意・過失等による自動車等の重量物の衝突、近隣での火災、ガス爆発等の予期せぬ外来事故に起因するもの</t>
  </si>
  <si>
    <t xml:space="preserve">　　⑩　契約不適合によらない自然の経年劣化（摩耗、さび、かび、藻類、変質、変色等）</t>
  </si>
  <si>
    <t xml:space="preserve">　　⑪　植物の根等の成長及び鳥・コウモリ・ネズミ等小動物や虫の害に起因する損傷、機能不良二次的被害。</t>
  </si>
  <si>
    <t xml:space="preserve">　　⑫　建物の使用上影響のない、居住性に関するもの。</t>
  </si>
  <si>
    <t xml:space="preserve">　　⑬　契約時、実用化されていた技術では予防することが不可能な現象又はこれが原因で生じた事故による場合。</t>
  </si>
  <si>
    <t xml:space="preserve">　　⑭　仕上材のキズ等については、お引き渡し時に当社に申し出がなかったもの。</t>
  </si>
  <si>
    <t xml:space="preserve">　　⑮　保証期間経過後、当社に申し出があったもの又は保証該当事項の発生後すみやかに申し出がなかったもの。</t>
  </si>
  <si>
    <t xml:space="preserve">　　⑯　リフォーム工事においては、当該不具合の起因が既存理由による場合。</t>
  </si>
  <si>
    <t xml:space="preserve">　3.その他ご注意事項</t>
  </si>
  <si>
    <t xml:space="preserve">　　①　保証期間内でも、この保証書の呈示なき場合は、補修が有償になることがありますので、保証書は大切に保管</t>
  </si>
  <si>
    <t xml:space="preserve">　　　　ください。</t>
  </si>
  <si>
    <t xml:space="preserve">　　　　また、この保証書は、原則紛失されても再発行はいたしかねますので、ご注意ください。</t>
  </si>
  <si>
    <t xml:space="preserve">　　②　保証期間中に、保証対象物件を第三者に譲渡される場合は、この保証書とともに譲渡頂き、その旨</t>
  </si>
  <si>
    <t xml:space="preserve">　　　　を当社までお申し出ください。譲受人への保証書の交付並びに当社へのお申し出により当社は譲受人に対し、</t>
  </si>
  <si>
    <t xml:space="preserve">　　　　保証を継続させていただきます。</t>
  </si>
  <si>
    <t xml:space="preserve">　　③　メーカー製品(部材、部品)につきましては、保証期間は原則1年間(メーカー保証期間による)となります。</t>
  </si>
  <si>
    <t xml:space="preserve">　　　　初期不良や不具合の際は、保証期間内に弊社またはメーカーへ直接お問い合わせください。</t>
  </si>
  <si>
    <t xml:space="preserve">　　　　保証期間を過ぎますと対応ができかねますので予めご注意ください。</t>
  </si>
  <si>
    <t xml:space="preserve">　　④　木造住宅の性質上、構造部分の木材が動くことにより内部の壁や天井の仕上材(クロス)にひび割れや切れや</t>
  </si>
  <si>
    <t xml:space="preserve">　　　　浮きがほぼ必ず発生します。(特に新築後1-2年の間に動くことが多い)</t>
  </si>
  <si>
    <t xml:space="preserve">　　　　弊社では上記の補修に対してお引き渡し時より2年間保証させていただき、2年点検時に一括してクロスの</t>
  </si>
  <si>
    <t xml:space="preserve">　　　　補修をさせていただいております。なお補修内容についてはボンドコークでの補修とさせていただき、張り</t>
  </si>
  <si>
    <t xml:space="preserve">　　　　替えをご希望の場合は有償となりますことを予めご了承ください。</t>
  </si>
  <si>
    <t>以上</t>
  </si>
  <si>
    <t>引渡し時補修工事対象基準</t>
  </si>
  <si>
    <t>工事名</t>
  </si>
  <si>
    <t>部位</t>
  </si>
  <si>
    <t>基準</t>
  </si>
  <si>
    <t>備考</t>
  </si>
  <si>
    <t>塗装工事</t>
  </si>
  <si>
    <t>塗装仕上面</t>
  </si>
  <si>
    <t>著しい汚れ・塗りむら</t>
  </si>
  <si>
    <t>光線のあたり具合によるものを除く</t>
  </si>
  <si>
    <t>クロス工事</t>
  </si>
  <si>
    <t>表装仕上げ面</t>
  </si>
  <si>
    <t>幅0.2mm以上の継ぎ目の隙間</t>
  </si>
  <si>
    <t>幅1mm以上の継ぎ目コークの割れ</t>
  </si>
  <si>
    <t>(木材の収縮および石膏ボードの収</t>
  </si>
  <si>
    <t>1mm角以上の剥れ・浮き・傷・よれ</t>
  </si>
  <si>
    <t>縮により左記の現象はどうしても生</t>
  </si>
  <si>
    <t>じます)</t>
  </si>
  <si>
    <t>折シワによるものを除く</t>
  </si>
  <si>
    <t>たたみ工事</t>
  </si>
  <si>
    <t>たたみ仕上がり面</t>
  </si>
  <si>
    <t>3mm以上の浮き・そり</t>
  </si>
  <si>
    <t>建具工事</t>
  </si>
  <si>
    <t>木・アルミ建具</t>
  </si>
  <si>
    <t>幅長さともに1mm以上の傷</t>
  </si>
  <si>
    <t>3mm以上のそり</t>
  </si>
  <si>
    <t>召し合せ部分の2mm以上の不陸</t>
  </si>
  <si>
    <t>召し合せ部分の3mm以上の隙間</t>
  </si>
  <si>
    <t>木工事</t>
  </si>
  <si>
    <t>巾木</t>
  </si>
  <si>
    <t>壁と巾木との取り合いの膨れ(スキ間)</t>
  </si>
  <si>
    <t>2mm以上</t>
  </si>
  <si>
    <t>巾木のジョイント段差0.5mm以上</t>
  </si>
  <si>
    <t>木表面部分</t>
  </si>
  <si>
    <t>幅1.0mm以上長さに1.0mm以上の傷</t>
  </si>
  <si>
    <t>(床・壁・階段)</t>
  </si>
  <si>
    <t>建材ジョイント部の幅1.0mm以上の隙間</t>
  </si>
  <si>
    <t>床・壁・天井の傾斜</t>
  </si>
  <si>
    <t>6/1000以上の勾配の傾斜</t>
  </si>
  <si>
    <t>1部屋4ヶ所以上の測定結果</t>
  </si>
  <si>
    <t>を元にする。</t>
  </si>
  <si>
    <t>コンクリート</t>
  </si>
  <si>
    <t>幅0.2mm以上かつ深さ3mm以上の構造</t>
  </si>
  <si>
    <t>Uカットシール充填補修工事としま</t>
  </si>
  <si>
    <t>工事</t>
  </si>
  <si>
    <t>体のひび割れ</t>
  </si>
  <si>
    <t>す(色目違いが生じます)</t>
  </si>
  <si>
    <t>錆汁を伴うひび割れ</t>
  </si>
  <si>
    <t>ひび、欠け、穴がまったく無いコン</t>
  </si>
  <si>
    <t>クリート工事の施工は不可能です。</t>
  </si>
  <si>
    <t>基礎の刷毛引き</t>
  </si>
  <si>
    <t>幅2mm以上のひび割れ</t>
  </si>
  <si>
    <t>充填補修工事とします</t>
  </si>
  <si>
    <t>仕上げ</t>
  </si>
  <si>
    <t>10mm角以上の剥れ・浮き</t>
  </si>
  <si>
    <t>(色目違いが生じます)</t>
  </si>
  <si>
    <t>ガレージや犬走り</t>
  </si>
  <si>
    <t>の土間工事</t>
  </si>
  <si>
    <t>コンクリートとモルタルの色目違い</t>
  </si>
  <si>
    <t>外壁工事</t>
  </si>
  <si>
    <t>サイディング</t>
  </si>
  <si>
    <t>部材間(シーリング部分)の2mm以上の隙間</t>
  </si>
  <si>
    <t>防水の支障をきたすものでは</t>
  </si>
  <si>
    <t>シーリング材の4mm以上のうち厚みの違い</t>
  </si>
  <si>
    <t>ありません</t>
  </si>
  <si>
    <t>仲 裁 合 意 書</t>
  </si>
  <si>
    <t>工 事 名：</t>
  </si>
  <si>
    <t>工事場所：</t>
  </si>
  <si>
    <t>日に締結した上記建設工事の請負契約に関する紛争については、</t>
  </si>
  <si>
    <t>発注者及び請負者は、建設業法に規定する下記の建設工事紛争審査会の仲裁に付し、その仲裁判断に</t>
  </si>
  <si>
    <t>服する。</t>
  </si>
  <si>
    <t>管轄審査会名：</t>
  </si>
  <si>
    <t>大阪府建設工事紛争審査会</t>
  </si>
  <si>
    <t>管轄審査会名の記入していない場合は建設業法第25条の9第1項</t>
  </si>
  <si>
    <t>または第2項に定める建設工事紛争審査会を管轄審査会とする。</t>
  </si>
  <si>
    <t>発   注   者</t>
  </si>
  <si>
    <t>請   負   者</t>
  </si>
  <si>
    <t>株式会社　Gハウス　　代表取締役　趙晃啓</t>
  </si>
  <si>
    <t>仲裁合意について</t>
  </si>
  <si>
    <t xml:space="preserve">仲裁合意とは、裁判所への訴訟に代えて、紛争の解決を仲裁人に委ねることを約する当事者間の契約 </t>
  </si>
  <si>
    <t>である。仲裁手続によってなされる仲裁判断は、裁判上の確定判決と同一の効力を有し、たとえその仲裁</t>
  </si>
  <si>
    <t>判断の内容に不服があっても、その内容を裁判所で争うことはできない。</t>
  </si>
  <si>
    <t>建設工事紛争審査会について</t>
  </si>
  <si>
    <t>建設工事紛争審査会（以下「審査会」という。）は、建設工事の請負契約に関する紛争の解決を図るため</t>
  </si>
  <si>
    <t>建設業法に基づいて設置されており、同法の規定により、あっせん、調停及び仲裁を行う権限を有している。</t>
  </si>
  <si>
    <t>また、中央建設工事紛争審査会（以下「中央審査会」という。）は、国土交通省に、都道府県建設工事紛争</t>
  </si>
  <si>
    <t>審査会（以下「都道府県審査会」という。）は各都道府県にそれぞれ設置されている。審査会の管轄は、</t>
  </si>
  <si>
    <t>原則として、受注者が国土交通大臣の許可を受けた建設業者であるときは中央審査会、都道府県知事の</t>
  </si>
  <si>
    <t>許可を受けた建設業者であるときは当該都道府県審査会であるが、当事者の合意によって管轄審査会を</t>
  </si>
  <si>
    <t>定めることもできる。審査会による仲裁は、三人の仲裁委員が行い、仲裁委員は、審査会の委員又は特別</t>
  </si>
  <si>
    <t>委員のうちから当事者が合意によって選定した者につき、審査会の会長が指名する。また、仲裁委員の</t>
  </si>
  <si>
    <t>うち少なくとも一人は、弁護士法の規定により弁護士となる資格を有する者である。</t>
  </si>
  <si>
    <t>なお、審査会における仲裁手続は、建設業法に特別の定めがある場合を除き、仲裁法の規定が適用される。</t>
  </si>
  <si>
    <t>合意書</t>
  </si>
  <si>
    <t>発注者：</t>
  </si>
  <si>
    <t>(以下「甲」という。)と受注者：株式会社Ｇハウス(以下</t>
  </si>
  <si>
    <t>「乙」という。)は、現在、世界的な情勢(木材価格高騰や半導体不足など)に伴い、日本国での著しい</t>
  </si>
  <si>
    <t>建築資材等の減少、不足、遅延、中止等が生じている状況を鑑み、甲乙間の</t>
  </si>
  <si>
    <t>付</t>
  </si>
  <si>
    <t>工事請負契約(以下「本件契約」という。)について、以下のとおり合意する。</t>
  </si>
  <si>
    <t>第1条(工事の変更・追加)</t>
  </si>
  <si>
    <t xml:space="preserve">　    乙は、工事材料等の価格高騰、輸入量の減少、輸入の遅延その他経済情勢の変化及びこれらに伴う建築</t>
  </si>
  <si>
    <t xml:space="preserve">      等の納品の遅延(以下「対象事象」という。)によって、仕様の変更(品番の変更等を含む)又は追加等の</t>
  </si>
  <si>
    <t xml:space="preserve">      設計・工事の変更を行う必要があるときは、甲に対して、設計・工事の内容の変更を求めることができる。</t>
  </si>
  <si>
    <t>第2条(建築資材等の発注について)</t>
  </si>
  <si>
    <t xml:space="preserve">      乙は本件契約に定める工期内に工事が完成するよう善良なる管理者の注意をもって努めるものとし、甲は</t>
  </si>
  <si>
    <t xml:space="preserve">      乙が変更契約後ただちに建築資材を発注することに同意する。</t>
  </si>
  <si>
    <t xml:space="preserve">      甲はやむを得ず変更契約後に設計および仕様の変更をする際は変更手数料(発注キャンセル料を含む)300,000</t>
  </si>
  <si>
    <t xml:space="preserve">      円(税別)を負担することに予め同意をする。なお、設計および仕様の変更時期によっては既に建築資材が</t>
  </si>
  <si>
    <t xml:space="preserve">      納品されている場合があり、その場合、甲は上記変更手数料に加えてキャンセルした建築資材の材料費用を</t>
  </si>
  <si>
    <t xml:space="preserve">      負担することに予め同意する。</t>
  </si>
  <si>
    <t>第3条(工期の変更)</t>
  </si>
  <si>
    <t xml:space="preserve">　    乙は、第2条の規定に関わらず、世界的な情勢によって、やむを得ず工期内に工事又は業務を完成すること</t>
  </si>
  <si>
    <t xml:space="preserve">      ができないときは、甲に対して、工期の変更(設計業務、監理業務の実施期間の変更を含む。)を求めること</t>
  </si>
  <si>
    <t xml:space="preserve">      ができる。</t>
  </si>
  <si>
    <t>第4条(請負代金の変更)</t>
  </si>
  <si>
    <t xml:space="preserve">　    乙は、対象事象により、請負代金が適当でないと認められるときは、甲に対して、請負代金の変更を求める</t>
  </si>
  <si>
    <t xml:space="preserve">      ことができる。</t>
  </si>
  <si>
    <t>第5条(規定外事項)</t>
  </si>
  <si>
    <t xml:space="preserve">　    甲及び乙は、本合意書に定めのない事項については、本件契約に基づき処理するものとする。</t>
  </si>
  <si>
    <t xml:space="preserve">　以上、本合意書成立を証するため、本書の電磁的記録を作成し、甲および乙が合意の後電子署名を施し、各自</t>
  </si>
  <si>
    <t>その電磁的記録を保管する。</t>
  </si>
  <si>
    <t>甲(発注者)  住所</t>
  </si>
  <si>
    <t xml:space="preserve"> </t>
  </si>
  <si>
    <t>乙(受注者)  住所</t>
  </si>
  <si>
    <t>株式会社Gハウス</t>
  </si>
  <si>
    <t>確認申請等に関する委任状(兼確認書)</t>
  </si>
  <si>
    <t>御中</t>
  </si>
  <si>
    <t xml:space="preserve">　私は、貴社に対し、下記の事項を委任するとともに、建築士法第24条の5に基づき貴社より</t>
  </si>
  <si>
    <t>交付された書面の内容を承認いたします。</t>
  </si>
  <si>
    <t>記</t>
  </si>
  <si>
    <t xml:space="preserve">　1.建築確認申請、浄化槽申請その他申請の確認許可および検査等にともなう申請行為と、</t>
  </si>
  <si>
    <t xml:space="preserve">　  確認申請の受領、住宅の品質確保の促進等に関する法律第5条第1項が規定する住宅性能</t>
  </si>
  <si>
    <t xml:space="preserve">    評価の取得ならびに電気・水道・ガス等の使用についての申請行為に関する一切の権限</t>
  </si>
  <si>
    <t xml:space="preserve">　2.住宅金融公庫の証券化事業に係る民間金融機関の融資および公的住宅融資利用にともなう</t>
  </si>
  <si>
    <t xml:space="preserve">　　設計審査、現場審査等の申請行為ならびに審査に関する通知書等の受領に関する一切の</t>
  </si>
  <si>
    <t xml:space="preserve">　　権限</t>
  </si>
  <si>
    <t xml:space="preserve">　3.建設工事に係る資材の再資源化等に関する法律に定める対象建設工事の届出等の手続き</t>
  </si>
  <si>
    <t xml:space="preserve">    に関する一切の権限</t>
  </si>
  <si>
    <t xml:space="preserve">　4.上記1.2.3.の申請に際し、この委任状と同一趣旨の私名義の委任状を作成し、特定行政</t>
  </si>
  <si>
    <t xml:space="preserve">　　庁等(建築基準法に定める指定確認検査機関および指定住宅性能評価機関を含む)に対し</t>
  </si>
  <si>
    <t xml:space="preserve">　　て提出する権限</t>
  </si>
  <si>
    <t xml:space="preserve">　5.私名義の印鑑を作成し、上記1.2.3.4.の目的に限り使用する権限</t>
  </si>
  <si>
    <t xml:space="preserve">　6.貴社指定の一級建築士事務所ならびに一級建築士を復代理人として選任する権限</t>
  </si>
  <si>
    <t>以　上</t>
  </si>
  <si>
    <t>特記事項</t>
  </si>
  <si>
    <t xml:space="preserve">　　甲は、本契約に於いて、乙を代理人と定め、本件工事に関する下記「委任事項」を</t>
  </si>
  <si>
    <t xml:space="preserve">　　委任する。甲は委任にあたり、下記「承諾事項」を承諾する。</t>
  </si>
  <si>
    <t>[委任事項]</t>
  </si>
  <si>
    <t xml:space="preserve">　　①建設リサイクル法に関する法令または条例の規定による各種申請手続き一切。</t>
  </si>
  <si>
    <t xml:space="preserve">　　②住宅の品質確保の促進に関する法律に関する法令または条例の規定による各種申請</t>
  </si>
  <si>
    <t xml:space="preserve">　　　手続き一切。</t>
  </si>
  <si>
    <t xml:space="preserve">　　③長期優良住宅の普及の促進に関する法律に関する法令または条例の規定による各種</t>
  </si>
  <si>
    <t xml:space="preserve">　　　申請手続き一切。</t>
  </si>
  <si>
    <t xml:space="preserve">　　④給排水・電気工事・ガス工事に必要な各種申請手続き一切。</t>
  </si>
  <si>
    <t xml:space="preserve">　　⑤住宅金融支援機構に関する法令に基づく各種申請手続き一切。</t>
  </si>
  <si>
    <t xml:space="preserve">　　⑥エネルギーの使用の合理化に関する法律に基づく各種申請手続き一切。</t>
  </si>
  <si>
    <t xml:space="preserve">　　⑦太陽光発電システムに関連する各種申請手続き一切。</t>
  </si>
  <si>
    <t xml:space="preserve">　　⑧43条但し書き許可に関連する各種申請手続き一切。</t>
  </si>
  <si>
    <t xml:space="preserve">　　　※①～⑧上記の事項には復代理人の選任権を含むものとする。</t>
  </si>
  <si>
    <t>[承諾事項]</t>
  </si>
  <si>
    <t>(1) ①前記委任事項の手続きに必要な甲の印鑑は、乙に保管を委託、もしくは乙が作成</t>
  </si>
  <si>
    <t xml:space="preserve">　　した印鑑を使用すること。</t>
  </si>
  <si>
    <t xml:space="preserve">　　②前記委任事項の手続きにつき、必要に応じ乙または乙の復代理人が申請手続きを行</t>
  </si>
  <si>
    <t xml:space="preserve">　　うこと。</t>
  </si>
  <si>
    <t>(2) 本計画に関する行政による各種の補助金、助成金などの申請等は、本契約の対象外</t>
  </si>
  <si>
    <t xml:space="preserve">　　であり、甲は自らの責任において、制度内容、受給要件等を調査し、必要な手続きを</t>
  </si>
  <si>
    <t xml:space="preserve">　　行うものとする。</t>
  </si>
  <si>
    <t>(3)「建設工事に係る資材の再資源化等に関する法律第13条」及び「同法分別解体等省</t>
  </si>
  <si>
    <t xml:space="preserve">　　例第4条」に基づく記載は、次の通りとする。</t>
  </si>
  <si>
    <t xml:space="preserve">　　①該当の有無</t>
  </si>
  <si>
    <t xml:space="preserve">　　②記載事項</t>
  </si>
  <si>
    <t xml:space="preserve">　　1) 分別解体等の方法</t>
  </si>
  <si>
    <t xml:space="preserve">　添付「分別解体等の計画等」の通り</t>
  </si>
  <si>
    <t xml:space="preserve">　　2) 解体工事に要する費用</t>
  </si>
  <si>
    <t>円(税込）</t>
  </si>
  <si>
    <t xml:space="preserve">　　3) 再資源化等をするための施設の名称及び所在地　添付「再資源化施設一覧」の通り</t>
  </si>
  <si>
    <t xml:space="preserve">　　4) 特定建設資材廃棄物の再資源化等に要する費用　添付「再資源化施設一覧」の通り</t>
  </si>
  <si>
    <t xml:space="preserve">　別紙（責任保険）</t>
  </si>
  <si>
    <t>特定住宅建設瑕疵担保責任の履行に関する特約</t>
  </si>
  <si>
    <t>受注者は、この請負契約の目的物に関して、特定住宅瑕疵担保履行法に基づき特定住宅建設瑕疵担保責任の履行を確保するため、以下のとおり住宅建設瑕疵担保責任保険の加入を行う。</t>
  </si>
  <si>
    <t>(1) 保険法人の名称</t>
  </si>
  <si>
    <t>(2) 保険金額</t>
  </si>
  <si>
    <t>金：2,000万円</t>
  </si>
  <si>
    <t>(3) 保険期間</t>
  </si>
  <si>
    <t>引渡し日より10年間とする</t>
  </si>
  <si>
    <t>(4) 保険内容(特定住宅瑕疵担保履行法第2条第5項第2号イ及びロの事項)</t>
  </si>
  <si>
    <t>JIOわが家の保険　※別紙参照</t>
  </si>
  <si>
    <r>
      <rPr>
        <b/>
        <charset val="128"/>
        <family val="1"/>
        <sz val="20"/>
        <rFont val="ＭＳ 明朝"/>
      </rPr>
      <t>サンプル</t>
    </r>
    <r>
      <rPr>
        <charset val="128"/>
        <family val="1"/>
        <sz val="20"/>
        <rFont val="ＭＳ 明朝"/>
      </rPr>
      <t>着工手続き承諾書</t>
    </r>
  </si>
  <si>
    <t>株式会社　Gハウス　御中</t>
  </si>
  <si>
    <t>締結の</t>
  </si>
  <si>
    <t>に関する基本設計（間取</t>
  </si>
  <si>
    <t>り・屋根形状・外観・窓位置種類サイズ・建物配置・蓄電池等位置・浄化槽位置等・その他設計</t>
  </si>
  <si>
    <t>確定時に同意いただいた事項）の確定に伴い、以下の着工手続きに着手することを承諾します。</t>
  </si>
  <si>
    <t>・株式会社Gハウスによる着工準備手続き（協力業者のスケジュール確保及び全体工期確保）</t>
  </si>
  <si>
    <t>・株式会社Gハウス提携設計事務所による建築確認申請書作成手続き及び構造計算（許容応力度計算）</t>
  </si>
  <si>
    <t>・指定確認検査機関による建築確認申請(許認可申請一式含む)の審査手続き</t>
  </si>
  <si>
    <t>本日以降、基本設計の変更ができないことを予め承諾します。</t>
  </si>
  <si>
    <t>ただし、以下の場合はやむを得ず基本設計の変更および追加工事が必要になる場合があることを</t>
  </si>
  <si>
    <t>予め承諾します。</t>
  </si>
  <si>
    <t>・指定確認検査機関及び建築地の市町村より指導があった場合（土地の整備等も含む）</t>
  </si>
  <si>
    <t>・構造計算に伴い構造躯体（間取りや壁位置等）の追加・変更が必要な場合（打ち合わせ時の要望に</t>
  </si>
  <si>
    <t xml:space="preserve">　添えない場合を含む）</t>
  </si>
  <si>
    <t>・確定図面においての家具.家電等の搬入に関して手すりを外す等の対応が必要な場合は</t>
  </si>
  <si>
    <t xml:space="preserve">  別途費用￥25,000-(税別)が必要となります。予めご了承ください。</t>
  </si>
  <si>
    <t>また、本日以降の注文者の意向による基本設計の変更については、建築工期(引渡期日)の遅延及び</t>
  </si>
  <si>
    <t>設計内容変更申請等の別途追加費用が発生することを予め承諾します。</t>
  </si>
  <si>
    <t>西暦　　　　　　年　　　　月　　　　日</t>
  </si>
  <si>
    <t xml:space="preserve">注文者
（共有者）</t>
  </si>
  <si>
    <t>注文者</t>
  </si>
  <si>
    <t>サンプル</t>
  </si>
  <si>
    <t>書式　2025年4月8日</t>
  </si>
  <si>
    <t>建築工事追加変更請負契約書</t>
  </si>
  <si>
    <t>の施工について、次の各条項･資金計画書･設計図書･その他添付資料に基づき追加変更請負契約</t>
  </si>
  <si>
    <t>を締結し、契約成立を証するため、本書の電磁的記録を作成し、甲および乙が合意の後電子署名を施し、</t>
  </si>
  <si>
    <t>各自電磁的記録を保管する。</t>
  </si>
  <si>
    <t>甲１住所</t>
  </si>
  <si>
    <t>甲１氏名</t>
  </si>
  <si>
    <t>甲２住所</t>
  </si>
  <si>
    <t>甲２氏名</t>
  </si>
  <si>
    <t>新　増　改</t>
  </si>
  <si>
    <t xml:space="preserve">(1)部分使用の有無　(無)　(2)部分引渡しの有無　(無)　</t>
  </si>
  <si>
    <t>(3)種類又は品質に関して契約の内容に適合しない場合におけるその不適合を担保すべき責任の履行</t>
  </si>
  <si>
    <t>(4)工事を施工しない日又は時間帯の定めの有無　(無)　(建設業法19条第1項第4号)</t>
  </si>
  <si>
    <t>第1条(総則)</t>
  </si>
  <si>
    <t xml:space="preserve">　  　甲と乙とは、契約書記載の建築工事に関し契約書に定めるもののほか、この約款に基づき、</t>
  </si>
  <si>
    <t xml:space="preserve">　  　信義に従い互いに協力してこの契約を履行します。</t>
  </si>
  <si>
    <t>第2条(権利義務の譲渡禁止)</t>
  </si>
  <si>
    <t xml:space="preserve">　　  甲および乙は、相手方の事前の書面による承諾を得なければ、この契約によって生じる権利</t>
  </si>
  <si>
    <t xml:space="preserve">　  　または義務を第三者に譲渡または承継させることはできません。</t>
  </si>
  <si>
    <t>第3条(甲が二名以上の場合)</t>
  </si>
  <si>
    <t xml:space="preserve">　　  甲が二名以上の場合は、甲の全員が連帯してこの契約に基づく義務を履行します。</t>
  </si>
  <si>
    <t>第4条(請負人)</t>
  </si>
  <si>
    <t xml:space="preserve">  1.  乙は、この工事の確定図面及び仕様書等により、頭書の請負金額をもって、原則として、前記</t>
  </si>
  <si>
    <t xml:space="preserve">　　  の期間内に工事を完成させるものとします。</t>
  </si>
  <si>
    <t xml:space="preserve">  2.  乙は、図面または仕様書等について、疑いを生じたとき、または表示が明確ではないあるいは</t>
  </si>
  <si>
    <t xml:space="preserve">　　  適当でないことを発見した時は、その部分について申し出をし、監理者の指図を受け、重要な</t>
  </si>
  <si>
    <t xml:space="preserve">　  　ものは甲乙協議して定めるものとします。但し、重要な部分を除き特に甲乙において協議する</t>
  </si>
  <si>
    <t xml:space="preserve">　　  旨が決定されていた事項以外は、乙が現場において、建築実務における健全な実務慣行に従い</t>
  </si>
  <si>
    <t xml:space="preserve">　　  施工することができるものとします。</t>
  </si>
  <si>
    <t>第5条(連帯保証人)</t>
  </si>
  <si>
    <t xml:space="preserve">  1.  連帯保証人は、甲の債務不履行の場合、本契約に基づく甲に対する請負代金債務について、甲</t>
  </si>
  <si>
    <t xml:space="preserve">　  　と連帯して保証の責を負います。</t>
  </si>
  <si>
    <t xml:space="preserve">  2.  連帯保証人がその義務を果たせないことが明らかになった時、乙は甲に対してその変更を求め</t>
  </si>
  <si>
    <t xml:space="preserve">　　  ることができます。</t>
  </si>
  <si>
    <t xml:space="preserve">  3.  前項の他、連帯保証人に異動が生じた場合、甲は乙に速やかに連絡し処理するものとします。</t>
  </si>
  <si>
    <t>第6条(建築用地等の確保)</t>
  </si>
  <si>
    <t xml:space="preserve">  1.  甲は、建築用地および施工上必要な用地を、乙の求める期日までに確保し、乙の使用に供します。</t>
  </si>
  <si>
    <t xml:space="preserve">  2.  甲は、建築用地が借地の場合は所有者の建築承諾書を、また共有地の場合は共有者の建築承諾書</t>
  </si>
  <si>
    <t xml:space="preserve">　  　を、この契約締結時に乙に提出します。</t>
  </si>
  <si>
    <t>第7条(権利関係等の確保)</t>
  </si>
  <si>
    <t xml:space="preserve">  1.  敷地の利害関係について第三者より異議・故障の申し出がある等、工事遂行上不都合な事由の</t>
  </si>
  <si>
    <t xml:space="preserve">　　  生じたときは、甲は自己の費用と責任のもとに解決するものとします。</t>
  </si>
  <si>
    <t xml:space="preserve">  2.  施工に際し、工事現場の状態及び近隣地との関係、地盤等に予測できない状態が発生して設計</t>
  </si>
  <si>
    <t xml:space="preserve">　　  図書の通りの工事が困難になった場合には、甲・乙協議の上現状に適合するよう設計図書を変更</t>
  </si>
  <si>
    <t xml:space="preserve">　　  して工事を行うこととし、これにより工事請負契約代金が増加した場合には甲の負担とします。</t>
  </si>
  <si>
    <t>第8条(一括委任･一括下請負)</t>
  </si>
  <si>
    <t xml:space="preserve">　　　乙は、本工事の全部又は一部を第三者に委任し、もしくは請け負わせることができるものとし、</t>
  </si>
  <si>
    <t xml:space="preserve">　　　甲はこれをあらかじめ承諾します。</t>
  </si>
  <si>
    <t>第9条(甲の支給材料品)</t>
  </si>
  <si>
    <t xml:space="preserve">  1.  甲はこの工事につき、乙が承諾する場合には、自らの負担と責任で調達した工事材料もしくは</t>
  </si>
  <si>
    <t xml:space="preserve">　　  設備機器(以下、あわせて「支給品」という)または貸与品を乙に支給しこれを使用してこの</t>
  </si>
  <si>
    <t xml:space="preserve">  　  工事を行わせることができるとします。</t>
  </si>
  <si>
    <t xml:space="preserve">  2.  支給品もしくは貸与品は、甲の負担と責任とで、あらかじめ行う検査または試験に合格したもの</t>
  </si>
  <si>
    <t xml:space="preserve">　  　でなければならないものとします。</t>
  </si>
  <si>
    <t xml:space="preserve">  3.  乙は、前項の検査または試験の結果に疑義が生じたときは、再検査または再試験を求めること</t>
  </si>
  <si>
    <t xml:space="preserve">　  　ができます。また、乙は、その取り付け、設置等について乙が責任を負うべき場合を除き、</t>
  </si>
  <si>
    <t xml:space="preserve">　  　支給品もしくは貸与品の仕様、性能、故障等に関して乙は一切の責任を負わないものとします。</t>
  </si>
  <si>
    <t xml:space="preserve">  4.  支給品の搬入時期及び場所は、乙の指示に従うものとします。</t>
  </si>
  <si>
    <t>第10条(工事の変更･追加)</t>
  </si>
  <si>
    <t xml:space="preserve">  1.  甲は、必要がある場合には、工事を追加しまたは変更することができます。この場合請負代金</t>
  </si>
  <si>
    <t xml:space="preserve"> 　 　または工期を変更する必要があるときは、乙は甲に工期の延長および請負代金の変更を求める</t>
  </si>
  <si>
    <t xml:space="preserve">　  　ことができるものとします。また、これにより乙が損害を受けた時は甲はその損害を賠償しな</t>
  </si>
  <si>
    <t xml:space="preserve">　  　ければなりません。</t>
  </si>
  <si>
    <t xml:space="preserve">  2.  乙は、下記の場合においては、必要がある場合には、甲に対し、設計または工事内容の変更を</t>
  </si>
  <si>
    <t xml:space="preserve">　  　求めることができ、さらにやむを得ない場合、緊急の場合には乙の判断で工事の一部または</t>
  </si>
  <si>
    <t xml:space="preserve">　  　全部を中止することができるものとします。</t>
  </si>
  <si>
    <t xml:space="preserve">  　　①　乙の責めに帰すべからざる事情による建材等の納品の遅延が生じたとき</t>
  </si>
  <si>
    <t xml:space="preserve">      ②  関連法令等による規制（各種行政指導を含む）により、設計図書の通りの工事がなし得ない</t>
  </si>
  <si>
    <t xml:space="preserve">　　      場合</t>
  </si>
  <si>
    <t xml:space="preserve">　　  ③  工事現場の状態、地盤の状態、擁壁その他近隣物の状況、電気・ガス・上下水道・通信回線</t>
  </si>
  <si>
    <t xml:space="preserve">　      　その他周辺インフラの状況等により設計または工事内容を変更する必要性がある場合</t>
  </si>
  <si>
    <t xml:space="preserve">      ④  近隣住民の要求（日照・眺望・電波障害・境界等）その他第三者の行為に拠り変更の必要性</t>
  </si>
  <si>
    <t xml:space="preserve">　      　がある場合</t>
  </si>
  <si>
    <t xml:space="preserve"> 　　 ⑤  天災地変、天候不良等が発生した場合など</t>
  </si>
  <si>
    <t xml:space="preserve">　　  ⑥  その他、乙の責めに帰すべからざる、工事現場における施工の支障となる事態の発生など</t>
  </si>
  <si>
    <t>第11条(施工着手の要件)</t>
  </si>
  <si>
    <t xml:space="preserve">　　  乙は、工事の施工に必要な各種法令等に基づく許認可を受けた後、かつ住宅金融支援機構その</t>
  </si>
  <si>
    <t xml:space="preserve">　  　他金融機関より融資を利用する場合はその融資予約通知等の内諾、承認書類受領後に工事</t>
  </si>
  <si>
    <t xml:space="preserve">　  　に着手するものとし、本契約記載の工事期間(工事着手日、工事完成日)が、これによりやむを</t>
  </si>
  <si>
    <t xml:space="preserve">　  　得ず遅延することがあっても、甲･乙とも異議を申し述べないものとします。</t>
  </si>
  <si>
    <t>第12条(工事期間の変更)</t>
  </si>
  <si>
    <t xml:space="preserve">  1.  第6条･第7条･第9条･第10条･第11条所定の事由により工事期間内に工事を完成する</t>
  </si>
  <si>
    <t xml:space="preserve">　  　ことができないと判断されたときは、乙は遅延なく甲に通知し、その理由を付して工事期間</t>
  </si>
  <si>
    <t xml:space="preserve">　  　の延長を求めることができます。なおこの延長日数については第28条所定の遅延損害金の</t>
  </si>
  <si>
    <t xml:space="preserve">　  　対象期間外となります。</t>
  </si>
  <si>
    <t xml:space="preserve">  2.  前項の延長日数については、甲・乙協議のうえ書面によりこれを定めるものとし請負金額が</t>
  </si>
  <si>
    <t xml:space="preserve">　  　増加する場合は甲の負担に帰するものとし、金額は双方協議とします。</t>
  </si>
  <si>
    <t xml:space="preserve">  3.  なお、不可抗力については、第18条に従うものとします。</t>
  </si>
  <si>
    <t>第13条(工事請負代金の変更等)</t>
  </si>
  <si>
    <t xml:space="preserve">  1.  次の各号の一に該当する場合は、甲および乙は相手方に工事請負契約代金の変更を求めること</t>
  </si>
  <si>
    <t xml:space="preserve">　  　ができます。</t>
  </si>
  <si>
    <t xml:space="preserve">      ①　工事内容の変更または追加があったとき。</t>
  </si>
  <si>
    <t xml:space="preserve"> 　　 ②  工事期間の変更があったとき。</t>
  </si>
  <si>
    <t xml:space="preserve"> 　　 ③  甲から乙への支給品・貸与品について品目、数量、受渡期間、または受渡場所の変更があった</t>
  </si>
  <si>
    <t xml:space="preserve">　      　とき。</t>
  </si>
  <si>
    <t xml:space="preserve">      ④  工事期間内に予期することができない法令の制定・改廃・経済事情の激変等により工事請負</t>
  </si>
  <si>
    <t xml:space="preserve">　      　契約代金が明らかに適当でないと認められるとき。</t>
  </si>
  <si>
    <t xml:space="preserve">　　　⑤  一時中止した工事または災害を受けた工事を継続する場合、工事請負契約代金が明らかに適当</t>
  </si>
  <si>
    <t xml:space="preserve">　　      でないと認められたとき。</t>
  </si>
  <si>
    <t xml:space="preserve">      ⑥  近隣対策の必要が生じ、乙において費用が増加しているとき。</t>
  </si>
  <si>
    <t xml:space="preserve">  2.  工事請負契約代金の変更をするときは、甲・乙が協議して書面をもってその金額を定めるもの</t>
  </si>
  <si>
    <t xml:space="preserve">　  　とします。</t>
  </si>
  <si>
    <t xml:space="preserve">  3.  なお工事の減少部分については建築工事請負契約締結時の単価に拠り、増加部分については時価</t>
  </si>
  <si>
    <t xml:space="preserve">  　　によるものとします。</t>
  </si>
  <si>
    <t>第14条(追加変更工事)</t>
  </si>
  <si>
    <t xml:space="preserve">  1.  甲と乙とは、この契約締結後に、設計および仕様の詳細について協議の上、着工予定日7日前</t>
  </si>
  <si>
    <t xml:space="preserve">　　  までに「変更契約」を締結します。</t>
  </si>
  <si>
    <t xml:space="preserve">  2.  甲と乙とは、前項の「変更契約」締結後であっても、甲または乙において工事の追加・変更</t>
  </si>
  <si>
    <t xml:space="preserve">　  　額の変更について甲乙協議の上で取り決め、必要に応じて「追加変更工事契約書」を締結します。</t>
  </si>
  <si>
    <t xml:space="preserve">  3.  乙は、甲が直接乙の業務委託先・請負業者等に追加変更工事を申し出てもこれに対して、責任を</t>
  </si>
  <si>
    <t xml:space="preserve">　　  負わないものとします。</t>
  </si>
  <si>
    <t>第15条(工事の延期または中止)</t>
  </si>
  <si>
    <t xml:space="preserve">  1.  乙は、次の各号の場合、着工を延期しまたは工事を中止することができます。</t>
  </si>
  <si>
    <t xml:space="preserve"> 　　 ①  建築基準法第6条第1項または第6条の2第1項の建築確認申請に対する確認が着工予定日の30日前</t>
  </si>
  <si>
    <t xml:space="preserve">　　      までに下りないとき</t>
  </si>
  <si>
    <t xml:space="preserve">　　　②　甲が、請負代金の支払を遅滞したとき</t>
  </si>
  <si>
    <t xml:space="preserve">　　　③　甲乙間の意見の相違が著しく、正常な工事の遂行が困難なとき</t>
  </si>
  <si>
    <t xml:space="preserve">　　　④　工事の施工等について、第三者との間に紛争が生じたとき</t>
  </si>
  <si>
    <t xml:space="preserve">　　　⑤　その他甲がこの契約に定める義務を履行しないとき</t>
  </si>
  <si>
    <t xml:space="preserve">　　　⑥　契約の目的物または工事の完成に重大な影響を及ぼすおそれのある事情が生じたとき</t>
  </si>
  <si>
    <t xml:space="preserve">  2.  前項の場合、乙に損害が生じたときは、甲の負担とします。</t>
  </si>
  <si>
    <t>第16条(第三者の損害)</t>
  </si>
  <si>
    <t xml:space="preserve">  1.  施工のために第三者に損害を生じさせたときは、乙がその賠償の責を負います。</t>
  </si>
  <si>
    <t xml:space="preserve">　  　ただし、その損害の発生が甲の責に帰すべき事由による場合は、甲がその賠償の責を負います。</t>
  </si>
  <si>
    <t xml:space="preserve">  2.  前項の定めにかかわらず、施工について乙が善良な管理者としての注意を払っても避けること</t>
  </si>
  <si>
    <t xml:space="preserve">　  　ができない騒音、振動、地盤沈下等の事由により、第三者に損害を生じさせたときは、甲が</t>
  </si>
  <si>
    <t xml:space="preserve">  　　その賠償の責を負います。</t>
  </si>
  <si>
    <t xml:space="preserve">  3.  前2項の場合、その他施工について第三者との間に紛争が生じたときは、乙がその処理解決に</t>
  </si>
  <si>
    <t xml:space="preserve">　　  あたるものとします。ただし、乙だけで解決しがたいときは、甲は乙に協力します。</t>
  </si>
  <si>
    <t xml:space="preserve">  4.  契約の目的物にもとづく日照、採光、眺望阻害、圧迫感、電波障害等の近隣問題、その他甲の責</t>
  </si>
  <si>
    <t xml:space="preserve">　　  に帰すべき事由により、第三者との間に紛争が生じたとき、または第三者に損害を生じさせたと</t>
  </si>
  <si>
    <t xml:space="preserve">　　  きは、甲がその処理解決にあたり、乙は甲に協力します。この場合、第三者に損害を生じさせた</t>
  </si>
  <si>
    <t xml:space="preserve">　　  ときは、甲がその賠償の責を負います。</t>
  </si>
  <si>
    <t xml:space="preserve">  5.  前4項の場合、乙は、甲に対してその理由を明示して必要と認められる工期の延長を求めること</t>
  </si>
  <si>
    <t>第17条(一般の損害)</t>
  </si>
  <si>
    <t xml:space="preserve">  1.  引渡までの間に、契約の目的物または工事材料その他工事一般について生じた損害は、乙の負担</t>
  </si>
  <si>
    <t xml:space="preserve">　　  とします。ただし、その損害の発生が甲の責に帰すべき事由によるときは、甲が、その損害を</t>
  </si>
  <si>
    <t xml:space="preserve">　　  負担し、乙の必要とする工期の延長を承認します。</t>
  </si>
  <si>
    <t xml:space="preserve">  2.  引渡後において、契約の目的物について生じた損害は、甲の負担とします。</t>
  </si>
  <si>
    <t>第18条(不可抗力による損害)</t>
  </si>
  <si>
    <t xml:space="preserve">  1.  天災地変、風水火災の自然事象または第三者による人為的事象であって、甲・乙いずれにも</t>
  </si>
  <si>
    <t xml:space="preserve">　　  責を帰することのできない事由によって、工事の出来形部分、工事仮設物工事現場に搬入済の</t>
  </si>
  <si>
    <t xml:space="preserve">　  　工事材料に損害を生じたときは、乙は、事実発生後すみやかにその状況を、甲に通知します。</t>
  </si>
  <si>
    <t xml:space="preserve">  2.  前項の損害で重大なものについて乙が善良なる管理者の注意をもって管理したと認められる</t>
  </si>
  <si>
    <t xml:space="preserve">　　  ときは、その損害額を甲・乙協議して定め、甲が負担するものとします。</t>
  </si>
  <si>
    <t xml:space="preserve">  3.  火災保険、その他損害を補填するものがあるときは、それらの額を損害額から控除したものを</t>
  </si>
  <si>
    <t xml:space="preserve">　  　前項の損害額とします。</t>
  </si>
  <si>
    <t>第19条(損害保険)</t>
  </si>
  <si>
    <t xml:space="preserve">  1.  乙は、工事中、工事中の出来形部分および工事現場に搬入した工事材料等に火災保険を付する</t>
  </si>
  <si>
    <t xml:space="preserve">　　  ものとします。</t>
  </si>
  <si>
    <t xml:space="preserve">  2.  この火災保険付保期間は、原則として甲への本契約の目的物の引渡しの時までとします。</t>
  </si>
  <si>
    <t>第20条(完成検査)</t>
  </si>
  <si>
    <t xml:space="preserve">  1.  乙は工事が完成したときは遅滞なく甲に完成検査を求め、甲はすみやかにこれに応じ、双方の</t>
  </si>
  <si>
    <t xml:space="preserve">　　  立会いをもって検査を行います。</t>
  </si>
  <si>
    <t xml:space="preserve">  2.  検査の結果、本契約の目的物に補修が必要な場合であっても、使用目的に特段の支障のない</t>
  </si>
  <si>
    <t xml:space="preserve">  　　軽微な補修であり、かつ乙が期間を定めてその補修を約束したときは、引渡しを拒否することは</t>
  </si>
  <si>
    <t xml:space="preserve">　  　できず、甲は、請負代金全額を支払うものとします。</t>
  </si>
  <si>
    <t>第21条(引渡)</t>
  </si>
  <si>
    <t xml:space="preserve">  1.  前条の完成検査が終了したときは甲は乙に工事請負契約代金全額を支払い、同時に乙は本契約</t>
  </si>
  <si>
    <t xml:space="preserve">　 　 の目的物を甲に引渡すものとします。</t>
  </si>
  <si>
    <t xml:space="preserve">  2.  引渡しにあたって当事者は乙の定める引渡しに関する書面に記名捺印することにより引渡しの</t>
  </si>
  <si>
    <t xml:space="preserve">　  　確認を行うこととします。</t>
  </si>
  <si>
    <t xml:space="preserve">  3.  甲が第20条第1項の完成検査に立会わず異議無く引渡しを受けた時は、完成検査に合格した</t>
  </si>
  <si>
    <t xml:space="preserve">　  　ものと見做します。</t>
  </si>
  <si>
    <t xml:space="preserve">  4.  本契約の目的物の所有権は、請負代金金額の支払い完了および引渡しにより、乙から甲へ移転</t>
  </si>
  <si>
    <t>第22条(住宅融資金等利用の場合)</t>
  </si>
  <si>
    <t xml:space="preserve">  1.　甲が金融機関等により住宅融資金または資産売却資金（以下融資金等といいます）を利用し請負</t>
  </si>
  <si>
    <t xml:space="preserve">　  　代金の支払いに充てるときは、甲は、次の各号の手続きを行います。この手続きが行われない</t>
  </si>
  <si>
    <t xml:space="preserve">　　  場合には、乙は、着工を延期もしくは工事を中止し、または契約の目的物の引渡を拒むことが</t>
  </si>
  <si>
    <t xml:space="preserve">　　  できます。</t>
  </si>
  <si>
    <t xml:space="preserve">　　　①　甲は、金融機関等発行の融資証明書または資産売却の売買契約書（写）を着工予定日の30日前</t>
  </si>
  <si>
    <t xml:space="preserve">　　　　　までに乙に提出します。</t>
  </si>
  <si>
    <t xml:space="preserve">　　　②　融資金等（提携ローンを含む）による請負代金の支払いが引渡時までにできないときは、</t>
  </si>
  <si>
    <t xml:space="preserve">　　　　　甲は、乙の提携つなぎ融資（以下、つなぎ融資といいます）を利用して引渡時に請負代金全額</t>
  </si>
  <si>
    <t xml:space="preserve">　　　　　の支払いを完了します。この場合、甲は、つなぎ融資借入必要書類一式およびつなぎ融資</t>
  </si>
  <si>
    <t xml:space="preserve">　　　　　返済のための融資金等代理受領委任状を着工予定日の30日前までに乙に提出します。</t>
  </si>
  <si>
    <t xml:space="preserve">　　　③　乙は、必要に応じて「債務承認契約証書」、「抵当権設定契約証書」その他の書類の提出を</t>
  </si>
  <si>
    <t xml:space="preserve">　  　　　甲に求めることができ、甲はすみやかにこれに応じます。</t>
  </si>
  <si>
    <t xml:space="preserve">　　　④　乙からの要求があった場合には、当該融資金に相当する工事請負契約代金残金について、</t>
  </si>
  <si>
    <t xml:space="preserve">　　　　　準消費貸借契約書を作成し提出するものとします。</t>
  </si>
  <si>
    <t xml:space="preserve">　2.  乙は、甲が前項の手続きを行なったときに限り、契約の目的物を甲に引渡します。</t>
  </si>
  <si>
    <t>第23条(その他の融資利用の場合)</t>
  </si>
  <si>
    <t xml:space="preserve">　　　甲は第22条記載の融資以外に工事請負契約代金の支払いの一部に充当するため、甲自身で</t>
  </si>
  <si>
    <t xml:space="preserve">　　　融資を申込み、実行受けようとするときには、当該融資について甲の責任においてこれを処理</t>
  </si>
  <si>
    <t xml:space="preserve">　　　するものとします。</t>
  </si>
  <si>
    <t>第24条(つなぎ資金の利用)</t>
  </si>
  <si>
    <t xml:space="preserve">  1.  第22条･第23条により工事請負契約代金の一部に充当するため各融資を利用するときに、</t>
  </si>
  <si>
    <t xml:space="preserve">　  　本契約の目的物の引渡時迄に融資実行が間に合わない場合は、つなぎ資金の利用により工事請負</t>
  </si>
  <si>
    <t xml:space="preserve">　　  契約代金の支払いに充当するものとします。</t>
  </si>
  <si>
    <t xml:space="preserve">  2.  乙指定のつなぎ資金を利用する場合、甲は乙の求償債権の保全のため所定の保証委託契約証及び</t>
  </si>
  <si>
    <t xml:space="preserve">　  　担保権設定など必要な書類を乙に差し入れるものとします。</t>
  </si>
  <si>
    <t>第25条(融資否認または減額の場合の解除権)</t>
  </si>
  <si>
    <t xml:space="preserve">　　　工事着工前において、第22条・第23条の各融資の全部またはいずれかが否認され、もしくは</t>
  </si>
  <si>
    <t xml:space="preserve">　　  融資決定額が融資希望額より減額されたため、甲が本契約の解除を希望するときは、金融機関</t>
  </si>
  <si>
    <t xml:space="preserve">　  　からの融資の否認、または融資希望額の減額の通知が甲に到着した日の翌日から7日以内に限り、</t>
  </si>
  <si>
    <t xml:space="preserve">　  　甲は本契約を解除することができます。この場合、乙は、甲が乙にすでに支払った工事請負契約</t>
  </si>
  <si>
    <t xml:space="preserve">　  　代金の一部及び工事請負契約代金以外の負担金の合計額と、乙がすでに要した諸費用との差額を</t>
  </si>
  <si>
    <t xml:space="preserve">　  　甲に無利息にて返還するものとします。</t>
  </si>
  <si>
    <t>第26条(準消費貸借契約の締結)</t>
  </si>
  <si>
    <t xml:space="preserve">  1.  第21条所定の引渡しに関し、甲が乙に工事請負契約代金全額の支払いを完了せず、本契約の</t>
  </si>
  <si>
    <t xml:space="preserve">　  　目的物の引渡しを受ける時には未払金額に関し、乙が要求した場合は、甲・乙間にて、準消費</t>
  </si>
  <si>
    <t xml:space="preserve">　  　貸借契約を締結するものとします。</t>
  </si>
  <si>
    <t xml:space="preserve">  2.  前項の準消費貸借契約の履行を担保する為に、甲は乙からの要求があった場合本契約時点に</t>
  </si>
  <si>
    <t xml:space="preserve"> 　 　おいて連帯保証人となった者以外の連帯保証人を用意する事を予め同意します。</t>
  </si>
  <si>
    <t xml:space="preserve">  3.  本条第1項の履行を担保するため、乙が必要と判断した時には、甲および連帯保証人の不動産を、</t>
  </si>
  <si>
    <t xml:space="preserve">　　  乙のために担保として差し入れる事を予め甲は同意します。</t>
  </si>
  <si>
    <t>第27条(契約不適合責任)</t>
  </si>
  <si>
    <t xml:space="preserve">  1.  本契約の目的物に、種類、品質又は数量に関して本契約の内容に適合しない状態(以下、｢契約</t>
  </si>
  <si>
    <t xml:space="preserve">　  　不適合｣という。但し、乙が第4条2項に行う調整、21条により引渡しに際し行う軽微な修補等</t>
  </si>
  <si>
    <t xml:space="preserve">　　  については、契約の趣旨の範囲内のものとして契約不適合に該当しないものとします。)がある</t>
  </si>
  <si>
    <t xml:space="preserve">　  　ことが判明した場合、甲は乙に対して、本契約の目的物の引渡しを受けた日から、別紙に定める</t>
  </si>
  <si>
    <t xml:space="preserve">　  　保証書の範囲と期間に限り、契約不適合の修補を求めることができるものとします。</t>
  </si>
  <si>
    <t xml:space="preserve">　  　なお、本契約における数量に関して本契約の内容に適合しない状態とは、資金計画書の内容に</t>
  </si>
  <si>
    <t xml:space="preserve">　  　照らし、施工数量又は施工面積等が不足する状態があることをいうものとします。</t>
  </si>
  <si>
    <t xml:space="preserve">  2.  契約不適合がある場合、甲は乙に対して、相当期間を定めて契約不適合の修補を行うよう催告</t>
  </si>
  <si>
    <t xml:space="preserve">　　  するものとします。また、甲は催告において、修補の方法を指定することができます。</t>
  </si>
  <si>
    <t xml:space="preserve">  3.  前項の場合、乙は甲に不相当な負担を課するものでないときは、甲が指定した方法と異なる</t>
  </si>
  <si>
    <t xml:space="preserve">　  　方法で修補することができます。</t>
  </si>
  <si>
    <t xml:space="preserve">  4.  第3項の規定にかかわらず、契約不適合が重要でなく、かつ修補に過分の費用を要する時は、</t>
  </si>
  <si>
    <t xml:space="preserve">　　  甲は修補を求めることはできません。</t>
  </si>
  <si>
    <t xml:space="preserve">  5.  契約不適合がある場合において、以下の各号に該当するときは、甲は、乙に対し、契約不適合</t>
  </si>
  <si>
    <t xml:space="preserve">　  　の程度に応じて請負代金の減額を請求することができるものとします。</t>
  </si>
  <si>
    <t xml:space="preserve">　　　①　乙が、本条第2項の催告を受けたにもかかわらず、正当な理由なくその期間内に修補を行わ</t>
  </si>
  <si>
    <t xml:space="preserve">　　　　　ないとき。</t>
  </si>
  <si>
    <t xml:space="preserve">　　　②　本条第4項に該当するため修補の請求をすることができないとき。</t>
  </si>
  <si>
    <t xml:space="preserve">　　　③　甲･乙にて代金減額の合意に至ったとき。</t>
  </si>
  <si>
    <t xml:space="preserve">  6.  前各項の規定にかかわらず、契約不適合について次に掲げる事由がある場合は、甲は第2項の</t>
  </si>
  <si>
    <t xml:space="preserve">　　  催告を要することなく、直ちに請負代金の減額または乙の故意過失に基づく損害についての</t>
  </si>
  <si>
    <t xml:space="preserve">　  　損害賠償を請求することができるものとします。</t>
  </si>
  <si>
    <t xml:space="preserve">　　　①　修補が不能であるとき。</t>
  </si>
  <si>
    <t xml:space="preserve">　　　②　乙が、正当な理由なく、修補を行うことを拒絶する意思を明確に表示したとき。</t>
  </si>
  <si>
    <t xml:space="preserve">  7.  甲は、乙に対して本条に基づく修補、代金減額または損害賠償の請求をした場合、乙からの</t>
  </si>
  <si>
    <t xml:space="preserve">　  　要請があるときは、当該契約不適合に関し、乙に調査の機会を与えなければなりません。</t>
  </si>
  <si>
    <t xml:space="preserve">　  　この場合の調査費用は、調査個所に甲が主張する契約不適合が存することが確認された場合には</t>
  </si>
  <si>
    <t xml:space="preserve">　  　乙の負担とし、甲が主張する契約不適合が存しないことが確認された場合には甲の負担とします。</t>
  </si>
  <si>
    <t xml:space="preserve">  8.  甲は、甲が適切なメンテナンスを怠ったこと、不可抗力、そのほか保証書の適用除外事項に係る</t>
  </si>
  <si>
    <t xml:space="preserve">　　  不適合については本条に基づく請求をすることができません。</t>
  </si>
  <si>
    <t xml:space="preserve">  9.  甲が本条に基づく催告及び請求を行う場合、書面により、具体的な契約不適合の内容、求める</t>
  </si>
  <si>
    <t xml:space="preserve">　  　修補の内容、減額を求める代金の額の具体的な根拠、損害額の算定の具体的な根拠等を明示</t>
  </si>
  <si>
    <t xml:space="preserve">　  　した書面により、乙の契約不適合責任を問う意思を明確にして通知しなければなりません。</t>
  </si>
  <si>
    <t xml:space="preserve"> 10.  甲は、契約不適合(第1項なお下記にいう数量不足の場合を除く)があることを知った日</t>
  </si>
  <si>
    <t xml:space="preserve">　  　から1年以内に前項の通知をしないときは、その契約不適合を理由として修補の請求、請負</t>
  </si>
  <si>
    <t xml:space="preserve">　  　代金の減額の請求、損害賠償の請求及び本契約の解除をすることができません。但し、乙が、</t>
  </si>
  <si>
    <t xml:space="preserve">　  　その契約不適合を知り、又は重大な過失により知らなかったときはこの限りではありません。</t>
  </si>
  <si>
    <t xml:space="preserve">　  　また、本項の期間内といえども、契約不適合があると知りながらこれを速やかに告げなかった</t>
  </si>
  <si>
    <t xml:space="preserve">　  　ために損害が拡大した場合、乙は拡大した損害については責任を負わないものとします。</t>
  </si>
  <si>
    <t xml:space="preserve"> 11.  造作、装飾、家具などについては、甲が引渡しを受けた時に直ちに乙に修補、取換え又は</t>
  </si>
  <si>
    <t xml:space="preserve">　  　代替品の提供を請求しない限り、前各項の規定にかかわらず、乙は一切の責任を負いません。</t>
  </si>
  <si>
    <t>第28条(履行遅滞)</t>
  </si>
  <si>
    <t xml:space="preserve">  1.  甲は、乙が乙の責に帰すべき事由により契約の目的物の完成を遅滞したときは、乙に対し遅滞</t>
  </si>
  <si>
    <t xml:space="preserve">　  　日数1日につき請負代金の4,000分の1以内の遅延損害金を請求することができます。</t>
  </si>
  <si>
    <t xml:space="preserve">　  　ただし、工期の延長について予め甲の承諾を得た場合もしくはこの契約の定めにより工期が</t>
  </si>
  <si>
    <t xml:space="preserve">　  　延長された場合はその日数、または引渡もしくは入居後の日数は、遅滞日数より控除します。</t>
  </si>
  <si>
    <t xml:space="preserve">  2.  乙は、甲が請負代金その他乙に対する支払を遅滞したときは、遅滞日数1日につき遅滞額</t>
  </si>
  <si>
    <t xml:space="preserve">　  　4,000分の1以内の遅延損害金を請求することができます。この場合、乙は契約の目的物の引渡</t>
  </si>
  <si>
    <t xml:space="preserve">　  　を拒むことができ、このために要する管理費用等は、甲の負担とします。</t>
  </si>
  <si>
    <t>第29条(甲の契約解除)</t>
  </si>
  <si>
    <t xml:space="preserve">  1.  甲は工事の完成前まで、やむを得ない事情がある場合には、書面をもって工事を中止しまたは</t>
  </si>
  <si>
    <t xml:space="preserve">　　  契約を解除することができます。この場合、甲はこれによって生ずる乙の損害を賠償するものと</t>
  </si>
  <si>
    <t xml:space="preserve">　  　します。</t>
  </si>
  <si>
    <t xml:space="preserve">  2.  次の各号の一にあたるときは、甲は書面をもって乙に通知することにより、工事を中止しまたは</t>
  </si>
  <si>
    <t xml:space="preserve">　  　この契約を解除することができます。この場合、甲は、乙に損害の賠償を求めることができます。</t>
  </si>
  <si>
    <t xml:space="preserve">　　　①　乙が、正当な理由なく着工期日を過ぎても工事に着手しないとき。</t>
  </si>
  <si>
    <t xml:space="preserve">　　　②　乙の故意過失により、工程より著しく工期が遅れ、工期内または期限後相当期間内に乙が工事</t>
  </si>
  <si>
    <t xml:space="preserve">　　　　　を完了する見込みがないと認められるとき。</t>
  </si>
  <si>
    <t xml:space="preserve">　　　③　契約不適合がある場合において、乙が正当な理由なく、27条5項1号における補修を行わない</t>
  </si>
  <si>
    <t xml:space="preserve">　    　　場合、または第27条6項に該当する場合で、かつ、契約不適合の程度が著しく重大であり、</t>
  </si>
  <si>
    <t xml:space="preserve">　    　　目的物を除却して再建築することが必要である等、契約を解除しない限りおよそ契約の目的を</t>
  </si>
  <si>
    <t xml:space="preserve">　　    　達することができないと認められるとき。</t>
  </si>
  <si>
    <t xml:space="preserve">　　　④　その他、乙がこの契約に違反し、その違反によって契約の目的を達することができないと認め</t>
  </si>
  <si>
    <t xml:space="preserve">　　　　　られるとき。</t>
  </si>
  <si>
    <t xml:space="preserve">  3.  本条による契約解除の場合は、工事の出来形部分は甲の所有とし、甲乙協議のうえ第31条に</t>
  </si>
  <si>
    <t xml:space="preserve">　  　従い、清算するものとします。</t>
  </si>
  <si>
    <t>第30条(乙の中止または解除権等)</t>
  </si>
  <si>
    <t xml:space="preserve">  1.  次の各号の一にあたるときは、乙は工事を中止し、または本契約を解除することができます。</t>
  </si>
  <si>
    <t xml:space="preserve">      ①  甲が前払または部分払いの支払いを遅延し、乙が相当の期間を定めて催告してもなお支払に</t>
  </si>
  <si>
    <t xml:space="preserve">　    　　応じないとき。</t>
  </si>
  <si>
    <t xml:space="preserve">　　　②　甲乙において意見の相違がみられる場合等、協議を要する場合において、甲が正当な理由</t>
  </si>
  <si>
    <t xml:space="preserve">　　　　　なく協議に応ぜず、その他本契約上の協議を要する場合において、乙が相当の期間を定めて</t>
  </si>
  <si>
    <t xml:space="preserve">　　　　　催告してもなお解決の誠意が認められないとき。</t>
  </si>
  <si>
    <t xml:space="preserve">  2.  次の各号の一にあたるときは、乙は本契約を解除することができます。</t>
  </si>
  <si>
    <t xml:space="preserve">　　　①　甲の故意または過失による工事の遅延、または中止期間が工事期間の3分の1以上</t>
  </si>
  <si>
    <t xml:space="preserve">　　　　　または2ヵ月以上になったとき。</t>
  </si>
  <si>
    <t xml:space="preserve">　　　②　甲が工事内容を著しく減少したため、工事請負契約代金が3分の1以上減少したとき。</t>
  </si>
  <si>
    <t xml:space="preserve">　　　③　甲が本契約に違反し、その違反によって本契約の履行ができなくなったと認められたとき。</t>
  </si>
  <si>
    <t xml:space="preserve">　　　④　甲が銀行取引の停止処分を受け、もしくは仮差押、仮処分、強制執行等の申立がなされたとき。</t>
  </si>
  <si>
    <t xml:space="preserve">　　　⑤　甲が工事請負契約代金の支払能力を欠くことが明らかになったとき。</t>
  </si>
  <si>
    <t xml:space="preserve">　　　⑥　甲が暴力団、暴力団員、もしくはこれらと密接な関係を有する者であることが判明したとき。</t>
  </si>
  <si>
    <t xml:space="preserve">　　　⑦　その他本契約の履行を阻害する事項が発生したとき。</t>
  </si>
  <si>
    <t xml:space="preserve">　3.　本条の中止、解除の場合、乙は遅延損害金を負担せず、乙に損害が生じた場合には甲に対し、</t>
  </si>
  <si>
    <t xml:space="preserve">　　　その損害の賠償を求めることができるとします。</t>
  </si>
  <si>
    <t>第31条(解除後の措置)</t>
  </si>
  <si>
    <t xml:space="preserve">  1.  第29条または第30条により本契約を解除したときは、甲が乙にすでに支払った工事請負契約</t>
  </si>
  <si>
    <t xml:space="preserve">　  　代金の一部及び工事請負契約代金以外の負担金の合計額と、乙がすでに要した請負工事に関する</t>
  </si>
  <si>
    <t xml:space="preserve">　  　費用及び請負工事以外に要した諸経費の合計額との差額を甲・乙にて清算し、甲の過払がある</t>
  </si>
  <si>
    <t xml:space="preserve">　  　ときは、乙は過払金を無利息にて甲に返還し、不足のある場合は甲はその不足額をすみやかに</t>
  </si>
  <si>
    <t xml:space="preserve">　  　乙に支払うものとします。</t>
  </si>
  <si>
    <t xml:space="preserve">　  　但し、29条2項の場合を除き、甲は乙に生じた損害を清算する義務を負います。</t>
  </si>
  <si>
    <t xml:space="preserve">  2.  前項の場合、工事の出来形部分または検査済の工事材料(支給品を含む。)があるときは、乙は</t>
  </si>
  <si>
    <t xml:space="preserve">　  　これを甲に引渡すものとします。</t>
  </si>
  <si>
    <t xml:space="preserve">  3.  本契約を解除したときは、甲・乙協議の上、期間を定めて、各々の所有に属する物について</t>
  </si>
  <si>
    <t xml:space="preserve">　  　引き取り、後片付けなどの処置を行うものとします。</t>
  </si>
  <si>
    <t xml:space="preserve">  4.  前項の処置が遅れ、催告しても正当な理由なくなお行われないときは、相手方は代わってこれを</t>
  </si>
  <si>
    <t xml:space="preserve">　　  行い、その費用を請求することができます。</t>
  </si>
  <si>
    <t>第32条(通知･協議)</t>
  </si>
  <si>
    <t xml:space="preserve">  1.  甲は工事請負契約代金全額を乙に支払う前に、その住所、氏名もしくは名称を変更したときは、</t>
  </si>
  <si>
    <t xml:space="preserve">　  　すみやかにその旨を書面により通知するものとします。</t>
  </si>
  <si>
    <t xml:space="preserve">  2.  乙は次の各号の一に該当する場合には、速やかに甲に通知し協議するものとします。</t>
  </si>
  <si>
    <t xml:space="preserve">　　　①　本契約の目的物の完成に重大な影響をおよぼす恐れのある隠れた事実が発見されまたは発生</t>
  </si>
  <si>
    <t xml:space="preserve">　　　　　したとき。</t>
  </si>
  <si>
    <t xml:space="preserve">　　　②　地盤の不良その他完成した建物の安全を保証しがたい事由が発見され、設計または仕様の変更</t>
  </si>
  <si>
    <t xml:space="preserve">　　　　　を必要とすると考えられるとき。</t>
  </si>
  <si>
    <t xml:space="preserve">　　　③　工事期間に影響すべき重大な事実および事態が生じたとき。</t>
  </si>
  <si>
    <t xml:space="preserve">　　　④　その他、甲の権利義務に影響する重大な事実を知ったとき。</t>
  </si>
  <si>
    <t>第33条(有効期間)</t>
  </si>
  <si>
    <t xml:space="preserve">　　　本契約記載の有効着工期限までに工事の着手ができない場合は、甲･乙間にて工事請負契約代金</t>
  </si>
  <si>
    <t xml:space="preserve">　　　の額の変更を協議するものとします。この場合、これが乙の責めに帰すことのできない事由に</t>
  </si>
  <si>
    <t xml:space="preserve">　　　よるものであるときは、その時点における乙の定める価格または単価に基づき協議するものと</t>
  </si>
  <si>
    <t xml:space="preserve">　　　します。なお、代金変更につき協議が成立しないときは、契約を解除でき、その処理については</t>
  </si>
  <si>
    <t xml:space="preserve">　　　本第31条の規定を準用します。</t>
  </si>
  <si>
    <t>第34条(管轄裁判所)</t>
  </si>
  <si>
    <t xml:space="preserve">　  　本契約について紛争が生じたときは、乙の本店所在地又は工事物件の所在地を管轄する裁判所</t>
  </si>
  <si>
    <t xml:space="preserve">　  　をもって、第一審の専属的合意管轄裁判所とすることとします。</t>
  </si>
  <si>
    <t>第35条(契約外事項)</t>
  </si>
  <si>
    <t xml:space="preserve">　  　この契約に定めのない事項および疑義を生じた事項については、甲乙誠意をもって協議の上、</t>
  </si>
  <si>
    <t xml:space="preserve">　  　定めます。</t>
  </si>
  <si>
    <t>第36条(注意事項)</t>
  </si>
  <si>
    <t xml:space="preserve">　1.　甲は以下の各号についての内容を理解し了承するものとします。</t>
  </si>
  <si>
    <t xml:space="preserve">　　　①　施主直営工事:甲による直営工事(甲指定施工業者による施工を含む)は、不具合が生じた</t>
  </si>
  <si>
    <t xml:space="preserve">　　　　　際に責任の所在が不明確となるため禁止とします。</t>
  </si>
  <si>
    <t xml:space="preserve">　　　②  材料や設備等のお施主様支給はお断りしています。</t>
  </si>
  <si>
    <t xml:space="preserve">　　　③　カーテン工事:エアコンの設置状況によってカーテンレールの形状や位置等に影響すること</t>
  </si>
  <si>
    <t xml:space="preserve"> 　　　 　があるため、甲はカーテンおよびカーテンレールの最終検討はエアコン設置完了後に行うもの</t>
  </si>
  <si>
    <t xml:space="preserve"> 　　　　 とします。</t>
  </si>
  <si>
    <t xml:space="preserve">　　　④　エアコン工事:甲は図面に記載のエアコン設置予定位置以外の場所にエアコンを設置する際は、</t>
  </si>
  <si>
    <t xml:space="preserve">　　　　  気密性能低下の可能性を理解の上行うものとします。</t>
  </si>
  <si>
    <t xml:space="preserve">　　　⑤　家具の搬入:甲は間取りや階段の形状により家具の搬入に支障が生じることに予め同意し、</t>
  </si>
  <si>
    <t xml:space="preserve">　　　 　 搬入経路や支障の有無については引越し前に引越し業者に確認するものとします。</t>
  </si>
  <si>
    <t xml:space="preserve">　　　⑥　無垢材について:甲は内装床、壁材、建具に無垢材を使用した場合、材料の伸縮など により、</t>
  </si>
  <si>
    <t xml:space="preserve">  　　　　そりや割れ、接合部分の幅の隙間が広がる等が発生することを十分理解の上、無垢材を使用</t>
  </si>
  <si>
    <t xml:space="preserve">　　　　　するものとします。</t>
  </si>
  <si>
    <t xml:space="preserve">　　　⑦　見学会の開催について:甲は乙が工事開始からお引渡しまでの期間で建物を使用しての 構造</t>
  </si>
  <si>
    <t xml:space="preserve">　　　　　見学会及び完成見学会の開催、また住宅関連媒体(WEB・雑誌等)への情報（写真･図面･</t>
  </si>
  <si>
    <t xml:space="preserve">　 　　　 本体価格･アンケート等)の掲載に協力するものとします。</t>
  </si>
  <si>
    <t xml:space="preserve">　 　　　 ご来場者様には手袋着用･アンケートの記入を行っています。</t>
  </si>
  <si>
    <t xml:space="preserve">　　　⑧　安全上の問題から現場への立ち入り(気密測定時を含む)はお断りしています。</t>
  </si>
  <si>
    <t xml:space="preserve">　 　　　 ただし上棟後に1回、上棟見学会があります。</t>
  </si>
  <si>
    <t xml:space="preserve">　　　⑨　建物が上棟した後、甲は上棟現場立会い(平日:月曜日、木曜日、金曜日)に協力するもの</t>
  </si>
  <si>
    <t xml:space="preserve">  　　　　とします。</t>
  </si>
  <si>
    <t xml:space="preserve">　　　⑩　建設予定土地において、土地決済から工事着工までの期間に雑草が生えることにより工事に</t>
  </si>
  <si>
    <t xml:space="preserve"> 　    　 支障が生じるため、甲は着工14日前に除草及び撤収しそれらにかかる費用は甲が負担するもの</t>
  </si>
  <si>
    <t xml:space="preserve"> 　     　とします。</t>
  </si>
  <si>
    <t>第37条(個人情報の取り扱いについて)</t>
  </si>
  <si>
    <t xml:space="preserve">　　　甲は、乙が甲の個人情報を下記の目的で利用し、利用目的を達成するために関わる関係業者等</t>
  </si>
  <si>
    <t xml:space="preserve">　　　の第三者に提供することにつき、あらかじめ同意します。</t>
  </si>
  <si>
    <t xml:space="preserve">　　　乙は個人情報の取り扱いに細心の注意を払い、下記の目的以外で第三者に提供しません。</t>
  </si>
  <si>
    <t xml:space="preserve">　　　①　広告宣伝及びマーケティング(郵便･電話･電子メール･Webサイト･SNS等)</t>
  </si>
  <si>
    <t xml:space="preserve">　　　②　不動産･建築に関する業務全般(営業･設計･工事･アフターメンテナンス等)</t>
  </si>
  <si>
    <t xml:space="preserve">　　　③　住宅ローンに関する業務</t>
  </si>
  <si>
    <t xml:space="preserve">　　　④　登記･測量に関する業務</t>
  </si>
  <si>
    <t xml:space="preserve">　　　⑤　住宅用部資材の供給</t>
  </si>
  <si>
    <t xml:space="preserve">　　　⑥　各種セミナー･イベント運営・案内</t>
  </si>
  <si>
    <t>(以下「甲」という。)と受注者：株式会社Gハウス(以下</t>
  </si>
  <si>
    <t>「乙」という。)は、現在、世界的な情勢（木材価格高騰や半導体不足など）に伴い、日本国での著しい</t>
  </si>
  <si>
    <t>建築資材等の減少、不足、遅延、中止等が生じている状況を鑑み、甲乙間の令和</t>
  </si>
  <si>
    <t xml:space="preserve">　乙は、工事材料等の価格高騰、輸入量の減少、輸入の遅延その他経済情勢の変化及びこれらに伴う建築資材</t>
  </si>
  <si>
    <t>等の納品の遅延(以下「対象事象」という。)によって、仕様の変更(品番の変更等を含む)又は追加等の設</t>
  </si>
  <si>
    <t>計・工事の変更を行う必要があるときは、甲に対して、設計・工事の内容の変更を求めることができる。</t>
  </si>
  <si>
    <t>乙は本件契約に定める工期内に工事が完成するよう善良なる管理者の注意をもって努めるものとし、甲は乙が</t>
  </si>
  <si>
    <t>変更契約後ただちに建築資材を発注することに同意する。</t>
  </si>
  <si>
    <t>甲はやむを得ず変更契約後に設計および仕様の変更をする際は変更手数料(発注キャンセル料を含む)300,000</t>
  </si>
  <si>
    <t>円(税別)を負担することに予め同意をする。なお、設計および仕様の変更時期によっては既に建築資材が納</t>
  </si>
  <si>
    <t>品されている場合があり、その場合、甲は上記変更手数料に加えてキャンセルした建築資材の材料費用を負担</t>
  </si>
  <si>
    <t>ることに予め同意する。</t>
  </si>
  <si>
    <t xml:space="preserve">　乙は、第2条の規定に関わらず、世界的な情勢によって、やむを得ず工期内に工事又は業務を完成すること</t>
  </si>
  <si>
    <t>ができないときは、甲に対して、工期の変更(設計業務、監理業務の実施期間の変更を含む。)を求めること</t>
  </si>
  <si>
    <t>ができる。</t>
  </si>
  <si>
    <t xml:space="preserve">　乙は、対象事象により、請負代金が適当でないと認められるときは、甲に対して、請負代金の変更を求める</t>
  </si>
  <si>
    <t>ことができる。</t>
  </si>
  <si>
    <t xml:space="preserve">　甲及び乙は、本合意書に定めのない事項については、本件契約に基づき処理するものとする。</t>
  </si>
  <si>
    <t xml:space="preserve">　以上、本合意書成立を証するため、本書の電磁的記録を作成し、甲および乙が合意の後電子署名を施し、</t>
  </si>
  <si>
    <t>各自その電磁的記録を保管する。</t>
  </si>
  <si>
    <t>甲(発注者)住所</t>
  </si>
  <si>
    <t xml:space="preserve">乙(受注者)住所　</t>
  </si>
  <si>
    <t xml:space="preserve">株式会社　Gハウス　　</t>
  </si>
  <si>
    <t>代表取締役 　趙 晃啓 　様</t>
  </si>
  <si>
    <t>住所</t>
  </si>
  <si>
    <t>太陽光発電システムデータの取得･利用に関する同意書</t>
  </si>
  <si>
    <t>私は、個人情報の取扱いについて、以下の事項を確認のうえ同意いたします。</t>
  </si>
  <si>
    <t>1. 個人情報の利用目的について</t>
  </si>
  <si>
    <t>貴殿の個人情報は以下の目的のために利用いたします。</t>
  </si>
  <si>
    <t>(1) ご提供いただく情報</t>
  </si>
  <si>
    <t>① 情報の範囲：HEMS(ホームエネルギーマネジメントシステム)の管理する情報</t>
  </si>
  <si>
    <t>(発電量、売電量、買電量、充電量、放電量、自家消費電力量、その他接続機器の動作状況など)</t>
  </si>
  <si>
    <t xml:space="preserve"> 毎月の電気料金</t>
  </si>
  <si>
    <t xml:space="preserve">②利用目的：株式会社Gハウスの研究開発および技術力向上、同社顧客への情報提供、
</t>
  </si>
  <si>
    <t xml:space="preserve"> 同社と提携する研究チームへの情報提供、同社ホームページへの掲載</t>
  </si>
  <si>
    <t>(2) 貴殿の個人に関する情報</t>
  </si>
  <si>
    <t>①情報の範囲：住所(市町村まで)、建物面積、間取り、家族構成(人数や働き方など)</t>
  </si>
  <si>
    <t>②利用目的：株式会社Gハウスの研究開発および技術力向上、同社顧客への情報提供、</t>
  </si>
  <si>
    <t>2. 第三者への個人情報の提供に関して</t>
  </si>
  <si>
    <t xml:space="preserve">第三者への情報開示は、上記の｢情報の範囲｣と｢利用目的｣のみについて行います。
</t>
  </si>
  <si>
    <t>その他の個人情報については、あらかじめ本人の同意がある場合又は法律上公的機関への</t>
  </si>
  <si>
    <t>届出・提出が必要な場合を除いて第三への開示や提供はいたしません。</t>
  </si>
  <si>
    <t>インボイス制度に関して</t>
  </si>
  <si>
    <t>太陽光発電申請を行うにあたり、下記内容の項目の登録が必須条件のため</t>
  </si>
  <si>
    <t>(1)は該当する箇所に☑、(2)(3)(4)は該当する場合はご記入ください。</t>
  </si>
  <si>
    <t>(1)どちらか該当する方を☑</t>
  </si>
  <si>
    <t xml:space="preserve">　 　□課税対象事業者である(法人・個人事業主：課税売上高1000万円超)</t>
  </si>
  <si>
    <t xml:space="preserve">　　 □免税事業者である(課税売上高1000万円以下)</t>
  </si>
  <si>
    <t xml:space="preserve">　　 □事業者に該当しない(会社員等の事業主以外)</t>
  </si>
  <si>
    <t>(2)「課税対象事業者」または「免税対象事業者」の方はどちらか該当する方を☑</t>
  </si>
  <si>
    <t xml:space="preserve">     □適格請求書発行事業者</t>
  </si>
  <si>
    <t xml:space="preserve">　 　□非適格請求書発行事業者</t>
  </si>
  <si>
    <t>(3)「課税対象事業者」に該当する方は事業者登録番号を記入。</t>
  </si>
  <si>
    <t xml:space="preserve"> 　　・事業者登録番号：</t>
  </si>
  <si>
    <t>(4)インボイス制度事業者登録の申請手続き中の方は申請した年月日を記入。</t>
  </si>
  <si>
    <t xml:space="preserve">　　 ・申請年月日：</t>
  </si>
  <si>
    <t>土地・建造物の【屋根/屋上】の無償使用に関する同意書</t>
  </si>
  <si>
    <t>（依頼人）</t>
  </si>
  <si>
    <t>（所有者）</t>
  </si>
  <si>
    <t xml:space="preserve">　当方が所有する下記の土地・建造物の【屋根/屋上】について、依頼人が再生可能エネル</t>
  </si>
  <si>
    <t>ー発電設備を設置するために無償使用することに同意し、それを証するために署名捺印い</t>
  </si>
  <si>
    <t>たします。</t>
  </si>
  <si>
    <t>1. 無償使用に同意する土地・建造物</t>
  </si>
  <si>
    <t>所　　在</t>
  </si>
  <si>
    <t>家屋番号</t>
  </si>
  <si>
    <t>種　　類</t>
  </si>
  <si>
    <t>居宅</t>
  </si>
  <si>
    <t>2. 使用目的</t>
  </si>
  <si>
    <t>太陽光発電事業のため</t>
  </si>
  <si>
    <t>3. 同意期間</t>
  </si>
  <si>
    <t>から</t>
  </si>
  <si>
    <t>日まで</t>
  </si>
  <si>
    <t>4. 特記事項</t>
  </si>
  <si>
    <t xml:space="preserve">　依頼人が、電気事業者による再生可能エネルギー電気の趙達に関する特別措置法に</t>
  </si>
  <si>
    <t>基づく事業計画認定の申請の目的以外に使用した場合は、この同意書の効力は消滅す</t>
  </si>
  <si>
    <t>るものとします。</t>
  </si>
  <si>
    <t>工事請負契約に関する一部変更合意書</t>
  </si>
  <si>
    <t>下記契約当事者の発注者・受注者間において締結した</t>
  </si>
  <si>
    <t>請負契約書(以下｢原契約書｣という)に関する契約事項の一部について下記の通り変更する事に合意する。</t>
  </si>
  <si>
    <t>尚、本合意書に定める事項以外については、原契約書の定めを適用するものとする。</t>
  </si>
  <si>
    <t>この契約の証として、本書の電磁的記録を作成し、甲および乙が合意の後電子署名を施し、</t>
  </si>
  <si>
    <t>項目</t>
  </si>
  <si>
    <t>変更前の契約事項</t>
  </si>
  <si>
    <t>変更後の合意事項</t>
  </si>
  <si>
    <t>1　　工事内容</t>
  </si>
  <si>
    <t>原契約書添付の設計図、見積書の通り</t>
  </si>
  <si>
    <t>本合意書添付の設計図、見積書の通り</t>
  </si>
  <si>
    <t>2 　 工事名称</t>
  </si>
  <si>
    <t>注文者(甲)</t>
  </si>
  <si>
    <t>但し、寄託した契約証拠金等の付随的な契約上の地位はそのまま、変更後の原契約に包括承継される。</t>
  </si>
  <si>
    <t>3　　工事場所</t>
  </si>
  <si>
    <t>4　　工事面積</t>
  </si>
  <si>
    <t xml:space="preserve">　　　　　　　　　　　　　　　㎡</t>
  </si>
  <si>
    <t>5　　工期</t>
  </si>
  <si>
    <t>着工</t>
  </si>
  <si>
    <t xml:space="preserve">　　　　　年　　月　　日</t>
  </si>
  <si>
    <t>引渡</t>
  </si>
  <si>
    <t>6　　請負代金</t>
  </si>
  <si>
    <t>原契約書記載の通り</t>
  </si>
  <si>
    <t>(増･減額)</t>
  </si>
  <si>
    <t>円</t>
  </si>
  <si>
    <t>請負代金</t>
  </si>
  <si>
    <t>(消費税込)</t>
  </si>
  <si>
    <t xml:space="preserve">　円</t>
  </si>
  <si>
    <t xml:space="preserve">　　　円</t>
  </si>
  <si>
    <t>7 　 請負代金の      　　　　　    支払い条件</t>
  </si>
  <si>
    <t>金額</t>
  </si>
  <si>
    <t>建築申込金</t>
  </si>
  <si>
    <t>契約金</t>
  </si>
  <si>
    <t>変更部分のみ記載</t>
  </si>
  <si>
    <t>着工金</t>
  </si>
  <si>
    <t>上棟金</t>
  </si>
  <si>
    <t>最終金</t>
  </si>
  <si>
    <t>8　　その他</t>
  </si>
  <si>
    <t xml:space="preserve">　　  　 年　　　月　　　日</t>
  </si>
  <si>
    <t>請負者(乙)</t>
  </si>
  <si>
    <t>代表取締役　趙　晃啓</t>
  </si>
  <si>
    <t>LIFE+</t>
  </si>
  <si>
    <t>の仕様　制約事項一覧</t>
  </si>
  <si>
    <t>←商品名タブにて選択必要</t>
  </si>
  <si>
    <t>標準内容</t>
  </si>
  <si>
    <t>□</t>
  </si>
  <si>
    <t>間取り</t>
  </si>
  <si>
    <t>坪単価</t>
  </si>
  <si>
    <t>住宅ローン</t>
  </si>
  <si>
    <t>仕様</t>
  </si>
  <si>
    <t>長期優良住宅</t>
  </si>
  <si>
    <t>Ua値</t>
  </si>
  <si>
    <t xml:space="preserve">窓　</t>
  </si>
  <si>
    <t>床材</t>
  </si>
  <si>
    <t>換気システム</t>
  </si>
  <si>
    <t>ユニットバス</t>
  </si>
  <si>
    <t xml:space="preserve">エコキュート
タンク</t>
  </si>
  <si>
    <t>点検口</t>
  </si>
  <si>
    <t>大工工事</t>
  </si>
  <si>
    <t>トラブル防止</t>
  </si>
  <si>
    <t>オプション</t>
  </si>
  <si>
    <t>式典</t>
  </si>
  <si>
    <t>施工会社</t>
  </si>
  <si>
    <t>撮影協力</t>
  </si>
  <si>
    <t>お引渡し</t>
  </si>
  <si>
    <t>お引越し</t>
  </si>
  <si>
    <t>補助金</t>
  </si>
  <si>
    <t xml:space="preserve">LINE
メール</t>
  </si>
  <si>
    <t>LACIE</t>
  </si>
  <si>
    <t>【商品を選択】</t>
  </si>
  <si>
    <t>完全自由設計 ※4マス×910mm間隔に柱または壁の設置が必要です。</t>
  </si>
  <si>
    <t>申請業務に進んでいくため、基本設計確定後の変更は出来ません。</t>
  </si>
  <si>
    <t xml:space="preserve">本体工事価格は 70万円(税別)
30坪未満の場合割増計算となり、1坪下がる度に15,000円×坪数＝追加費用が発生します。
3階建ての場合は坪単価＋40,000円UP
下屋の場合は下屋部分㎡×30,000円UP</t>
  </si>
  <si>
    <t xml:space="preserve">例) 28坪の場合、30坪に対して2坪下がる
　30,000円×28坪＝840,000円UP</t>
  </si>
  <si>
    <t>LIFE</t>
  </si>
  <si>
    <t xml:space="preserve">建物価格は「施工面積 × 坪単価」にて算出します。
施工面積は、延床面積に加え、外壁に三方を囲まれたビルトインガレージ、半ビルトインガレージを含み、当社基準により算出します。
また、以下の工事は、施工面積に含まれていない場合でも、別途費用が加算されます。
　① 軒の出・オーバーハング工事　：42,000円／㎡（税別）
　② 下屋工事　　　　　　　　　　：30,000円／㎡（税別）
　③ バルコニー工事・吹抜工事　　：60,000円／㎡（税別）
※対象となる面積は、設計図書に基づき当社が算出します。</t>
  </si>
  <si>
    <t>左記内容の対象となる面積については別紙1の参考写真をご確認下さい。</t>
  </si>
  <si>
    <t xml:space="preserve">住宅ローンの手続きはお施主様自身でお願いします。
当社でしかご用意ができない書類や図面等はお渡しします。</t>
  </si>
  <si>
    <t>※事前審査も同様</t>
  </si>
  <si>
    <t>BASE</t>
  </si>
  <si>
    <t xml:space="preserve">打ち合わせ
期間</t>
  </si>
  <si>
    <t>最大3ヵ月間　(回数：6回)</t>
  </si>
  <si>
    <t xml:space="preserve">打ち合わせ回数6回以下で下記の特典があります。
6回：★10万円相当
5回：★★20万円相当　　 ※初回ヒアリングは除く</t>
  </si>
  <si>
    <t xml:space="preserve">セミオーダー制
当社の設計士がこだわり抜いた【 STYLE BOOK 】からのみ選択できます。</t>
  </si>
  <si>
    <t xml:space="preserve">認定基準として、少なくとも1の階の床面積(階段部分を除く)が40㎡以上かつ床面積の合計75㎡必要です。
また、都市計画法第53条許可の対象となる地域では認定対象外です。</t>
  </si>
  <si>
    <t>詳細は設計打ち合わせにてご確認ください。</t>
  </si>
  <si>
    <t>0.46W/㎡･Kを目安としております。但し、間取りや窓の個数･種類によって数値が変わり、0.46W/㎡･Kを確保できない場合があります。</t>
  </si>
  <si>
    <t xml:space="preserve">施工面積が35坪未満12ヵ所、35～40坪13ヵ所、40～45坪14ヵ所、45～50坪15ヵ所、50坪以上16ヵ所までが標準個数です。
※既製品のみ選定可能とし特注品の選択不可。</t>
  </si>
  <si>
    <t>掃き出し窓(手動シャッター付)H2200は2ヵ所まで</t>
  </si>
  <si>
    <t xml:space="preserve">開き扉H2400㎜標準(各居室・トイレ・脱衣室・ランドリーそれぞれ1ヵ所ずつ)　
※片引き戸2ヵ所まで標準</t>
  </si>
  <si>
    <t>引き戸3枚目以上及び収納扉等、リビング・書斎・洗面室・ファミリーCL・その他の部屋はオプションです。</t>
  </si>
  <si>
    <t xml:space="preserve">無垢床材を使用した場合、伸縮、床鳴り、及び経年劣化による変色が発生
する場合があります。</t>
  </si>
  <si>
    <t>換気システムは全熱交換型第一種換気システム(Panasonic)が標準です。</t>
  </si>
  <si>
    <t>DSDD換気システム(okatomi)はオプションとなり、請負契約までに確定が必要です。請負契約後は変更できません。</t>
  </si>
  <si>
    <t>天井有り</t>
  </si>
  <si>
    <t>天井無しの施工はDSDD換気システムをオプションで採用される場合のみ対応可能です。ご選択いただけるメーカーが限られますのでご注意ください。</t>
  </si>
  <si>
    <t>室外置き</t>
  </si>
  <si>
    <t>室内置きはオプションです。</t>
  </si>
  <si>
    <t>換気システムや配管の定期点検及び不具合が起きた場合に備えて1,2Fに必要な箇所に天井･床下点検口を3～4つ以上設置しています。</t>
  </si>
  <si>
    <t>点検口の個数および位置については間取りプランにより変動します。</t>
  </si>
  <si>
    <t>造作工事はSTYLE BOOKに記載の内容のみ対応しています。</t>
  </si>
  <si>
    <t>記載無き内容については提携リフォーム会社様へご相談ください。</t>
  </si>
  <si>
    <t xml:space="preserve">STYLE BOOKに掲載の商品は、告知無しで変更になる場合があります。
※各メーカーの商品改定及び更新が定期的に行われるため、
契約締結時に交付されたSTYLE BOOKの記載価格・内容が適用されます。</t>
  </si>
  <si>
    <t xml:space="preserve">打ち合わせ中に選定商品が廃番になることもありますのでご注意ください。
SNS等へのデータのUPはご遠慮ください。</t>
  </si>
  <si>
    <t>標準仕様の一部をやめることによる減額(＝マイナスオプション)は対応不可です。</t>
  </si>
  <si>
    <t>地鎮祭および上棟式は省略しています。</t>
  </si>
  <si>
    <t>ご希望の方は鎮め物や上棟札を着工の2週間前までに担当者にお預けください。</t>
  </si>
  <si>
    <t>施工については協力会社に委託する場合があります(協力会社は当社指定の一定の施工技術の基準を超えた会社)。</t>
  </si>
  <si>
    <t>広告媒体（紙面・WEB・SNSなど）への利用を目的とした撮影依頼をする場合がございます。ご協力お願いいたします。</t>
  </si>
  <si>
    <t xml:space="preserve">建物の残代金の全額お支払いを確認後、鍵をお渡しします。
外構工事の完成に関わらず、お支払いをお願いいたします。</t>
  </si>
  <si>
    <t>外構工事をGハウス外構事業部GRAN GARDENにてご契約の方は、引渡し前に着工する場合がございます。GRAN GARDEN以外の業者様による外構工事については、責任の所在が不明確となる可能性があるため、建物のお引渡し後の着工とさせていただきます。</t>
  </si>
  <si>
    <t>お引越しにあたり、階段手摺の取り外しおよび設置が必要となる場合は別途25,000円(税別)発生します。</t>
  </si>
  <si>
    <t>お引越しに伴い必要となる工事は別途費用が発生します。</t>
  </si>
  <si>
    <t>補助金の手続きはお施主様自身でお願いします。</t>
  </si>
  <si>
    <t xml:space="preserve">※当社で代理申請する場合は別途費用が発生します。
　ZEH補助金はGハウスの行程では対応不可です。</t>
  </si>
  <si>
    <t>間違い防止のため、設計･コーディネーター担当へのご要望･ご質問等、ご相談内容をLINEやメールにてお伝えいただくことをお断りしております。打ち合わせの際にまとめて担当者にご相談いただくようにご協力お願いします。</t>
  </si>
  <si>
    <t xml:space="preserve">本体工事価格は 63万円(税別)
30坪未満の場合割増計算となり、1坪下がる度に15,000円×坪数＝追加費用が発生します。
3階建ての場合は坪単価＋40,000円UP
下屋の場合は下屋部分㎡×30,000円UP</t>
  </si>
  <si>
    <t xml:space="preserve">例）28坪の場合、30坪に対して2坪下がる
　30,000円×28坪＝840,000円UP</t>
  </si>
  <si>
    <t xml:space="preserve">STYLE BOOKに掲載の商品は、告知無しで変更になる場合があります。
※各メーカーの商品改定および更新が定期的に行われるため、
契約締結時に交付されたSTYLE BOOKの記載価格・内容が適用されます。</t>
  </si>
  <si>
    <t xml:space="preserve">本体工事価格は,坪55万円(税別)
30坪未満の場合割増計算となり、1坪下がる度に15,000円×坪数＝追加費用が発生します。
3階建ての場合は坪単価＋40,000円UP
下屋の場合は下屋部分㎡×30,000円UP</t>
  </si>
  <si>
    <t>最大3ヵ月間　（回数：6回）</t>
  </si>
  <si>
    <t xml:space="preserve">打ち合わせ回数6回以下で下記の特典があります。
6回：★10万円相当
5回：★★20万円相当　　※初回ヒアリングは除く</t>
  </si>
  <si>
    <t xml:space="preserve">認定基準として、少なくとも1の階の床面積が階段部分を除いて40㎡以上必要です。
また、都市計画法第53条許可の対象となる地域では認定対象外です。</t>
  </si>
  <si>
    <t xml:space="preserve">施工面積が35坪未満10ヵ所、35～40坪11ヵ所、40～45坪12ヵ所、45～50坪13ヵ所、50坪以上14ヵ所までが標準個数です。
※既製品のみ選定可能とし特注品の選択不可。</t>
  </si>
  <si>
    <t xml:space="preserve">掃き出し窓H2200は2ヵ所まで
（手動シャッター2ヵ所まで）</t>
  </si>
  <si>
    <t>換気システムや配管の定期点検及び不具合が起きた場合に備えて1Fに必要な箇所に天井･床下点検口を3～4つ以上設置しています。</t>
  </si>
  <si>
    <t>標準仕様の一部をやめることによる減額（＝マイナスオプション）は対応不可です。</t>
  </si>
  <si>
    <t>施工については協力会社に委託する場合があります（協力会社は当社指定の一定の施工技術の基準を超えた会社）。</t>
  </si>
  <si>
    <t xml:space="preserve">本体工事価格は,坪50万円(税別)
30坪未満の場合割増計算となり、1坪下がる度に15,000円×坪数＝追加費用が発生します。
3階建ての場合は坪単価＋40,000円UP
下屋の場合は下屋部分㎡×30,000円UP</t>
  </si>
  <si>
    <t>別途申請費用および構造計算費用がかかります。</t>
  </si>
  <si>
    <t>地鎮祭及び上棟式は省略しています。</t>
  </si>
  <si>
    <t>LIFE+（キャンペーン)</t>
  </si>
  <si>
    <t>LIFE（キャンペーン）</t>
  </si>
  <si>
    <t xml:space="preserve">※当社で代理申請する場合は別途費用が発生します。
　ZEH補助金はGハウスの行程では対応不可です。
　GX志向型住宅は条件により申請できない場合があります。</t>
  </si>
  <si>
    <t>LIFE+（キャンペーン）</t>
  </si>
  <si>
    <t>YouTube</t>
  </si>
  <si>
    <t>HOURS</t>
  </si>
  <si>
    <t>LIFE　LIMITED</t>
  </si>
  <si>
    <t xml:space="preserve">キャンペーン
適応</t>
  </si>
  <si>
    <t>設備グレードUP（坪単価税別55万円）キャンペーンが対象です。</t>
  </si>
  <si>
    <t>解体工事(古家付き土地の場合)･外構工事･登記手続きを当社にご依頼をいただける方が条件です。</t>
  </si>
  <si>
    <t xml:space="preserve">キャンペーン
適応 </t>
  </si>
  <si>
    <t>エアコン2台(1､2階建)･3台(3階建)をオプション工事にて設置いただける方が条件です。</t>
  </si>
  <si>
    <t xml:space="preserve">　</t>
  </si>
  <si>
    <t xml:space="preserve">キャンペーン
適応  </t>
  </si>
  <si>
    <t>上棟後現場見学･完成後現場立会い･カギお渡し日を平日に行っていただける方が条件です。</t>
  </si>
  <si>
    <t xml:space="preserve">キャンペーン
適応   </t>
  </si>
  <si>
    <t xml:space="preserve">当社の工期に合わせて打ち合わせをしていただける方が条件です。
打ち合わせ回数：最大5回(5回目が全仕様確認日)
打ち合わせ期間：初回ヒアリング打ち合わせから間取り確定まで25日
　　　　　　　　間取り確定から最終打ち合わせまで50日
　　　　　　　　合計打ち合わせ期間は75日です。</t>
  </si>
  <si>
    <t xml:space="preserve">打ち合わせ回数5回以下で下記の特典があります。
5回：★★20万円相当　　※初回ヒアリングは除く
※WEBキャンペーンとの併用は出来ません。</t>
  </si>
  <si>
    <t xml:space="preserve">30坪未満の場合割増計算となり、1坪下がる度に15,000円×坪数＝追加費用が発生します。
3階建ての場合は坪単価＋40,000円UP
下屋の場合は下屋部分㎡×30,000円UP</t>
  </si>
  <si>
    <t>0.46W/㎡･Kを目安としております。但し、間取りや窓の個数・種類によって数値が変わり、0.46W/㎡･Kを確保できない場合があります。</t>
  </si>
  <si>
    <t>換気システムや配管の定期点検および不具合が起きた場合に備えて1Fに必要な箇所に天井･床下点検口を3～4つ以上設置しています。</t>
  </si>
  <si>
    <t xml:space="preserve">本キャンペーン内容に関して、SNS･YouTube･ブログ等あらゆるウェブメディアへの投稿、または知人への情報共有を固く禁じます。
STYLE BOOKに掲載の商品は、告知無しで変更になる場合があります。
※各メーカーの商品改定及び更新が定期的に行われるため、契約締結時に交付されたSTYLE BOOKの記載価格・内容が適用されます。</t>
  </si>
  <si>
    <t xml:space="preserve">本体工事価格は63万円(税別)
30坪未満の場合割増計算となり、1坪下がる度に15,000円×坪数＝追加費用が発生します。
3階建ての場合は坪単価＋40,000円UP
下屋の場合は下屋部分㎡×30,000円UP</t>
  </si>
  <si>
    <t xml:space="preserve">例)28坪の場合、30坪に対して2坪下がる
　30,000円×28坪＝840,000円UP</t>
  </si>
  <si>
    <t xml:space="preserve">掃き出し窓(手動シャッター付)H2200は2ヵ所まで
</t>
  </si>
  <si>
    <t>換気システムや配管の定期点検および不具合が起きた場合に備えて1,2Fに必要な箇所に天井･床下点検口を3～4つ以上設置しています。</t>
  </si>
  <si>
    <t>造作工事は【STYLE BOOK】に記載の内容のみ対応しています。</t>
  </si>
  <si>
    <t>カタログに記載無き内容については提携リフォーム会社様へご相談ください。</t>
  </si>
  <si>
    <t>太陽光パネル</t>
  </si>
  <si>
    <t xml:space="preserve">当社指定の太陽光パネルが6.53Kw付属いたします。　
※6.53Kwに搭載出来ない場合でも減額(＝マイナスオプション)は対応不可です。</t>
  </si>
  <si>
    <t xml:space="preserve">照明器具が(税抜)30万円分付属いたします。　
※(税抜)30万円に到達しない場合でも減額(＝マイナスオプション)は対応不可です。</t>
  </si>
  <si>
    <t xml:space="preserve">家具・家電・
カーテン</t>
  </si>
  <si>
    <t xml:space="preserve">合計(税抜)100万円分プレゼントいたします。
※100万円に到達しない場合でも減額(＝マイナスオプション)は対応不可です。</t>
  </si>
  <si>
    <t>当社で外構工事をご依頼いただけることが条件です。</t>
  </si>
  <si>
    <t>LINE・メール</t>
  </si>
  <si>
    <t>LIFE LIMITEDキャンペーン内容適用の覚書</t>
  </si>
  <si>
    <t>(以下「甲」という。)と受注者：株式会社Ｇハウス</t>
  </si>
  <si>
    <t xml:space="preserve">(以下「乙」という。)において締結した 　</t>
  </si>
  <si>
    <t>日付工事請負契約書</t>
  </si>
  <si>
    <t>(以下｢原契約書｣という)に関し、甲と乙は、甲が下記のすべての要件を厳守することを条件に</t>
  </si>
  <si>
    <t>LIFE LIMITEDキャンペーンを適用することについて、合意する。</t>
  </si>
  <si>
    <t>甲は、甲が本覚書記載の要件を厳守しない場合、本キャンペーンは無効となり原契約書の仕様</t>
  </si>
  <si>
    <t>もしくは契約金額またはその両方が変更される可能性があることについて乙から説明をうけ、</t>
  </si>
  <si>
    <t>そのことを理解したうえで、本覚書を締結する。</t>
  </si>
  <si>
    <t>なお、本合意書に定める事項以外については、原契約書の定めを適用するものとする。</t>
  </si>
  <si>
    <t>この契約の証として、本書の電磁的記録を作成し、甲および乙が合意の後電子署名を施し各自</t>
  </si>
  <si>
    <t>エアコン2台(1､2階建)･3台(3階建)をオプション工事にて設置いただける方。</t>
  </si>
  <si>
    <t>解体工事(古家付き土地の場合)･外構工事･火災保険･登記手続きを当社にご依頼を</t>
  </si>
  <si>
    <t>いただける方。</t>
  </si>
  <si>
    <t>当社の工期に合わせて打ち合わせをしていただける方。</t>
  </si>
  <si>
    <t>●打ち合わせ回数：最大5回　(5回目が全仕様確認日です。)</t>
  </si>
  <si>
    <t>●打ち合わせ期間：初回ヒアリング打ち合わせから間取り確定まで25日、</t>
  </si>
  <si>
    <t xml:space="preserve">　間取り確定から最終打ち合わせまで50日。合計打ち合わせ期間は75日です。</t>
  </si>
  <si>
    <t>※1回の打ち合わせ時間は最大3時間です。</t>
  </si>
  <si>
    <t>※初回ヒアリング打ち合わせはご契約の1週間後です。</t>
  </si>
  <si>
    <t>上棟後現場見学･完成後現場立会い･カギお渡し日を平日に行っていただける方。</t>
  </si>
  <si>
    <t>完成後、1ヵ月間の見学会･YouTube撮影・スチール撮影にご協力いただける方。</t>
  </si>
  <si>
    <t>WEB打ち合わせキャンペーンとの併用は出来ません。</t>
  </si>
  <si>
    <t>※ただし、平日打ち合わせは併用可能です。</t>
  </si>
  <si>
    <t>本キャンペーンの存在及び内容に関して、対話、電話、電子メール、SNS・YouTube・</t>
  </si>
  <si>
    <t>ブログその他方法の如何を問わず、第三者に対し一切口外しない方。</t>
  </si>
  <si>
    <t>乙(受注者)住所</t>
  </si>
  <si>
    <t>LIFE・LIFE+キャンペーン内容適用の覚書</t>
  </si>
  <si>
    <t>LIFE・LIFE+キャンペーンを適用することについて、合意する。</t>
  </si>
  <si>
    <t>LIFE+ LIMITEDキャンペーン内容適用の覚書</t>
  </si>
  <si>
    <t>(以下「乙」という。)は、</t>
  </si>
  <si>
    <t>日付工事請負契約書(以下｢原契約書｣</t>
  </si>
  <si>
    <t>という。)に基づき、甲が下記のすべての要件を厳守する場合に「LIFE+ LIMITEDキャンペーン」を</t>
  </si>
  <si>
    <t>適用することについて合意する。</t>
  </si>
  <si>
    <t>甲は、本覚書記載の要件を厳守しない場合、本キャンペーンが無効となること、または原契約書の</t>
  </si>
  <si>
    <t>仕様および契約金額のいずれか、または両方が変更される可能性があることについて乙から説明を</t>
  </si>
  <si>
    <t>受け、これを理解したうえで本覚書を締結する。</t>
  </si>
  <si>
    <t>本合意書に定める事項以外については、原契約書の定めを適用するものとする。</t>
  </si>
  <si>
    <t>この契約の証として、本書の電磁的記録を作成し、甲および乙が合意の後電子署名を施し、各自</t>
  </si>
  <si>
    <r>
      <t xml:space="preserve">　　【キャンペーンLIFE+坪単価税別55万円適用要項】（</t>
    </r>
    <r>
      <rPr>
        <charset val="128"/>
        <color rgb="FF000000"/>
        <family val="1"/>
        <sz val="9"/>
        <rFont val="MS Mincho"/>
      </rPr>
      <t>坪単価は一律）</t>
    </r>
  </si>
  <si>
    <t>乙の外構事業部「GRAN GARDEN」にて、先行工事から外構工事まで一括で依頼すること。</t>
  </si>
  <si>
    <t>乙にて登記手続き、古家付き土地の場合は解体工事を依頼すること。</t>
  </si>
  <si>
    <t>※他社にて分離発注することは不可とする。</t>
  </si>
  <si>
    <t>乙の工期に合わせて打ち合わせを行うこと。乙の定休日における打ち合わせは不可とする。</t>
  </si>
  <si>
    <t>●打ち合わせ回数は最大5回とし、5回目を全仕様確認日とする。</t>
  </si>
  <si>
    <t>●打ち合わせ期間は、初回ヒアリング打ち合わせから間取り確定まで25日、間取り確定から</t>
  </si>
  <si>
    <t xml:space="preserve">　最終打ち合わせまで50日、合計で75日とする。</t>
  </si>
  <si>
    <t>※1回の打ち合わせ時間は最大3時間とする。</t>
  </si>
  <si>
    <t>※初回ヒアリング打ち合わせは契約後1週間以内に実施する。</t>
  </si>
  <si>
    <t>上棟後の現場見学、完成後の現場立会い、カギのお渡し日を平日に行うこと。</t>
  </si>
  <si>
    <t>完成後、1ヵ月間の見学会、YouTube撮影およびスチール撮影に協力すること。</t>
  </si>
  <si>
    <t>WEB打ち合わせキャンペーン・平日打ち合わせキャンペーンとの併用は不可とする。</t>
  </si>
  <si>
    <t>本キャンペーンの存在および内容について、対話、電話、電子メール、SNS、YouTube、</t>
  </si>
  <si>
    <t>ブログなどいかなる方法においても第三者に一切口外しないことを義務とする。</t>
  </si>
  <si>
    <t>という。)に基づき、甲が下記のすべての要件を厳守する場合に「LIFE LIMITEDキャンペーン」を</t>
  </si>
  <si>
    <r>
      <t xml:space="preserve">　　【キャンペーンLIFE坪単価税別50万円適用要項】（</t>
    </r>
    <r>
      <rPr>
        <charset val="128"/>
        <color rgb="FF000000"/>
        <family val="1"/>
        <sz val="9"/>
        <rFont val="MS Mincho"/>
      </rPr>
      <t>坪単価は一律）</t>
    </r>
  </si>
  <si>
    <t>紹介料支払承諾書</t>
  </si>
  <si>
    <t>(以下「甲」という。)と株式会社Ｇハウス（以下「乙」と</t>
  </si>
  <si>
    <t>いう。）とは、甲が乙に対して紹介したお客様（以下「丙」という）が、乙にて建築工事請負契約を締結し、</t>
  </si>
  <si>
    <t>当該契約に基づく基礎着工が完了した際、乙が甲に対して紹介料を支払うことを以下のとおり定める。</t>
  </si>
  <si>
    <t>第１条（紹介料の支払い）</t>
  </si>
  <si>
    <t>乙は、甲が紹介した丙が乙にて建築工事請負契約を締結し,当該契約に基づく基礎着工が完了した際、次条に</t>
  </si>
  <si>
    <t>基づき、甲に紹介料を支払う。</t>
  </si>
  <si>
    <t>第２条（紹介料支払金額及び支払い方法）</t>
  </si>
  <si>
    <t>２．支払時期は、本承諾書締結後の翌月末までとします。</t>
  </si>
  <si>
    <t xml:space="preserve">　１．支払金額は、1人目の契約時は10万円、2人目は20万円、3人目以降は30万円とする。</t>
  </si>
  <si>
    <t>紹介料について</t>
  </si>
  <si>
    <t xml:space="preserve">　２．支払時期は、丙の基礎着工月の翌月末までとする。</t>
  </si>
  <si>
    <t xml:space="preserve">　３．支払方法は、甲が指定する以下の金融機関口座へ振込にて支払うものとする。</t>
  </si>
  <si>
    <t xml:space="preserve">　金融機関名：</t>
  </si>
  <si>
    <t xml:space="preserve">　　支店・出張所：</t>
  </si>
  <si>
    <t xml:space="preserve">　口座番号：</t>
  </si>
  <si>
    <t xml:space="preserve">　　預金種別：</t>
  </si>
  <si>
    <t xml:space="preserve">　口座名義：</t>
  </si>
  <si>
    <t xml:space="preserve">　　フリガナ：</t>
  </si>
  <si>
    <t>第３条（契約の成立）</t>
  </si>
  <si>
    <t xml:space="preserve">　本契約は、電子契約によって締結するものとし、契約の成立を証するため、本書の電磁的記録を</t>
  </si>
  <si>
    <t xml:space="preserve">　上記承諾書締結の証として本書2通を作成し、甲乙各1通を保有するものとする。</t>
  </si>
  <si>
    <t xml:space="preserve">　作成し、甲および乙が合意の後電子署名を行い、各自で電磁的記録を保管するものとする。</t>
  </si>
  <si>
    <t xml:space="preserve">　上記承諾書締結の証として本書正本１通を作成し、各自記名押印の上、甲が原本、乙が写し</t>
  </si>
  <si>
    <t xml:space="preserve">　をそれぞれ保有する。</t>
  </si>
  <si>
    <t>甲住所：</t>
  </si>
  <si>
    <t>甲氏名：</t>
  </si>
  <si>
    <t>乙住所：</t>
  </si>
  <si>
    <t>乙氏名：</t>
  </si>
  <si>
    <t xml:space="preserve">株式会社Gハウス　代表取締役　趙晃啓　</t>
  </si>
  <si>
    <r>
      <t>LIFE+</t>
    </r>
    <r>
      <rPr>
        <charset val="128"/>
        <color rgb="FF000000"/>
        <sz val="11"/>
        <rFont val="Yu Gothic"/>
      </rPr>
      <t xml:space="preserve">　</t>
    </r>
    <r>
      <rPr>
        <color rgb="FF000000"/>
        <family val="2"/>
        <scheme val="minor"/>
        <sz val="11"/>
        <rFont val="Calibri"/>
      </rPr>
      <t>LIMITED(</t>
    </r>
    <r>
      <rPr>
        <charset val="128"/>
        <color rgb="FF000000"/>
        <family val="3"/>
        <sz val="11"/>
        <rFont val="ＭＳ ゴシック"/>
      </rPr>
      <t>キャンペーン</t>
    </r>
    <r>
      <rPr>
        <color rgb="FF000000"/>
        <family val="2"/>
        <scheme val="minor"/>
        <sz val="11"/>
        <rFont val="Calibri"/>
      </rPr>
      <t>)</t>
    </r>
  </si>
  <si>
    <t>年度末決算キャンペーン（坪単価税別50万円）が対象です。</t>
  </si>
  <si>
    <t>解体工事(古家付き土地の場合)･外構工事･火災保険･登記手続きを当社にご依頼をいただける方が条件です。</t>
  </si>
  <si>
    <t xml:space="preserve">※当社定休日での打ち合わせは不可となります。
打ち合わせ回数5回以下で下記の特典があります。
5回：★★20万円相当　　※初回ヒアリングは除く
※WEBキャンペーンとの併用は出来ません。</t>
  </si>
  <si>
    <t xml:space="preserve">開き扉H2000㎜標準(各居室・トイレ・脱衣室・ランドリーそれぞれ1ヵ所ずつ)　
※片引き戸2ヵ所まで標準</t>
  </si>
  <si>
    <t>建具高さH2400㎜、片引き戸3枚目以上及び収納扉等、リビング・書斎・洗面室・ファミリーCL・その他の部屋はオプションです。</t>
  </si>
  <si>
    <t xml:space="preserve">本キャンペーン内容に関して、SNS･YouTube･ブログ等あらゆるウェブメディアへの投稿、または知人への情報共有を固く禁じます。
STYLE BOOKに掲載の商品は、告知無しで変更になる場合があります。
※各メーカーの商品改定及び更新が定期的に行われるため、打ち合わせスタート時のSTYLE BOOKの内容が適応されます。</t>
  </si>
  <si>
    <t>YouTube･見学会</t>
  </si>
  <si>
    <t>完成後、1ヵ月間の見学会･YouTube撮影のご協力お願いします。</t>
  </si>
  <si>
    <t>最終金のご入金を確認後、鍵をお渡しします。</t>
  </si>
  <si>
    <t xml:space="preserve">鍵のお渡し日は平日にてお願いします。
外構工事の手配はお引渡し後にお願いします。</t>
  </si>
  <si>
    <t xml:space="preserve">※当社で代理申請する場合は別途費用が発生します。
　ZEH補助金はGハウスの行程では対応不可となります。
　GX補助金は条件により申請できない場合があります。</t>
  </si>
  <si>
    <t>※ご契約内容により太陽光売電代金や補助金交付がある場合は、こちらの口座を振込先として登録は</t>
  </si>
  <si>
    <t>□可能</t>
  </si>
  <si>
    <t>□不可</t>
  </si>
  <si>
    <t>子育てグリーン住宅支援事業補助金申請に関する覚書</t>
  </si>
  <si>
    <t xml:space="preserve">　発注者：</t>
  </si>
  <si>
    <t>(以下「甲」という。)と受注者：株式会社Ｇハウス(以下「乙」</t>
  </si>
  <si>
    <t xml:space="preserve">　という。)は、子育てグリーン住宅支援事業補助金(以下｢補助金｣という。)申請手続きについて互いに以下</t>
  </si>
  <si>
    <t xml:space="preserve">　のとおり合意する。</t>
  </si>
  <si>
    <t>第1条(申請手続き)</t>
  </si>
  <si>
    <t>(1)</t>
  </si>
  <si>
    <t>乙は、甲の代わりに補助金交付申請手続きを代行する。甲と乙は、「子育てグリーン住宅支援事業事務局」</t>
  </si>
  <si>
    <t>が発行する「共同事業実施規約」にそれぞれ署名・捺印する。乙は、提携先の設計事務所に対し、本規約</t>
  </si>
  <si>
    <t>の写しを交付し、補助金申請手続きを委託する場合がある。甲は、当該設計事務所または乙から補助金</t>
  </si>
  <si>
    <t>申請手続きに必要な書類の提出を求められた場合、速やかにこれを用意し提出するものとする。</t>
  </si>
  <si>
    <t>（提出期限に間に合わない場合、補助金の交付が受けられない可能性がある。）</t>
  </si>
  <si>
    <t>(2)</t>
  </si>
  <si>
    <t>甲は、乙が申請手続きを行っても、国（国土交通省）の予算枠超過など何らかの事情により申請が要件を</t>
  </si>
  <si>
    <t>満たさず、補助金の交付を受けられない場合があることをあらかじめ承諾する。</t>
  </si>
  <si>
    <t>甲と乙は、いかなる理由で補助金が受けられない場合でも、甲乙間には何らの債権債務も存在しないことを</t>
  </si>
  <si>
    <t>相互に確認する。</t>
  </si>
  <si>
    <t>(3)</t>
  </si>
  <si>
    <t>建築する住宅を本事業のGX志向型住宅補助金の対象とする場合には、乙が指定するGXオプションパック</t>
  </si>
  <si>
    <t>を追加する必要がある。 GXオプションパックを利用した場合でも、本補助金の取得が確約されるもので</t>
  </si>
  <si>
    <t>はないことを甲は承諾する。また、大きな窓を採用した建築計画や間取りにより、補助金の要件基準を</t>
  </si>
  <si>
    <t>満たさない可能性がある。補助金対象か否かは間取り確定し仕様打ち合わせ後に確定するため、補助金</t>
  </si>
  <si>
    <t>取得のための設計変更ができないことについても甲は承諾する。</t>
  </si>
  <si>
    <t>(4)</t>
  </si>
  <si>
    <t>GX志向型住宅の申請要件に該当しない場合には、乙は長期優良住宅またはZEH水準住宅として補助金申請</t>
  </si>
  <si>
    <t>する。各種要件が異なるため、要件に該当しない場合は補助金申請の対象外となる可能性があることを</t>
  </si>
  <si>
    <t>甲は承諾する。</t>
  </si>
  <si>
    <t>第2条(振り込み)</t>
  </si>
  <si>
    <t>補助金が乙に交付された場合、乙は、補助金が乙名義の口座に入金され、かつ甲より新居の住民票の写し</t>
  </si>
  <si>
    <t>を受領した日から起算して20日以内に、交付申請手数料（税込20万円）および振込手数料を差し引いた</t>
  </si>
  <si>
    <t>残額を、紹介料支払承諾書に記載された甲指定の口座へ振込むものとする。</t>
  </si>
  <si>
    <t>第3条(規定外事項)</t>
  </si>
  <si>
    <t>甲および乙は、本覚書に定めのない事項については、本件契約に基づき処理するものとする。また、</t>
  </si>
  <si>
    <t>将来的に本事業の後継として国等により実施される補助金制度においても、補助金制度の趣旨や申請内容</t>
  </si>
  <si>
    <t>に大きな相違がない限り、本覚書の内容を適用するものとする。</t>
  </si>
  <si>
    <t xml:space="preserve">　以上、本覚書の成立を証するため、本電子契約書を作成し、甲乙双方が電子署名を施し、各自これを電磁的</t>
  </si>
  <si>
    <t xml:space="preserve">　記録として保管する。</t>
  </si>
  <si>
    <t>株式会社Gハウス　代表取締役　趙晃啓</t>
  </si>
  <si>
    <t>解体工事承諾書</t>
  </si>
  <si>
    <t>代表取締役 　趙 晃啓 様</t>
  </si>
  <si>
    <t>私は、下記建築物の建築確認申請許可前の解体工事について、</t>
  </si>
  <si>
    <t>以下の事項を確認のうえ承諾いたします。</t>
  </si>
  <si>
    <t>1．解体する建造物</t>
  </si>
  <si>
    <t>所在地：</t>
  </si>
  <si>
    <t>家屋番号：</t>
  </si>
  <si>
    <t>種類：</t>
  </si>
  <si>
    <t>構造：</t>
  </si>
  <si>
    <t>床面積：</t>
  </si>
  <si>
    <t>2．特記事項</t>
  </si>
  <si>
    <t>確認申請時に法的な制限等による新築予定の建築図面の変更や、</t>
  </si>
  <si>
    <t>工期の遅れが発生する可能性があることを承知し、この場合に</t>
  </si>
  <si>
    <t>異議申し立て、契約解除および損害賠償請求をしません。</t>
  </si>
  <si>
    <t>株 式 会 社  G ハ ウ ス</t>
  </si>
  <si>
    <t>営業担当：</t>
  </si>
  <si>
    <t>銀行振込のご案内</t>
  </si>
  <si>
    <t xml:space="preserve">　拝啓　　日頃は格別のお引き立てをいただき誠にありがとうございます。</t>
  </si>
  <si>
    <t xml:space="preserve">　標記の件、下記の通りご案内申し上げます。</t>
  </si>
  <si>
    <t xml:space="preserve">　甚だお手数ですが、ご送金のお手配を</t>
  </si>
  <si>
    <t>までにお願い申し上げます。</t>
  </si>
  <si>
    <t>尚、お振込は下記の合計にてお願い致します。（振込手数料お客様ご負担でお願い致します）</t>
  </si>
  <si>
    <r>
      <t>また、</t>
    </r>
    <r>
      <rPr>
        <b/>
        <charset val="128"/>
        <color theme="1"/>
        <family val="1"/>
        <sz val="11"/>
        <rFont val="ＭＳ 明朝"/>
      </rPr>
      <t>金融機関発行の振込金受付書（控）が領収証となりますので、ご了承頂きますよう</t>
    </r>
  </si>
  <si>
    <t>お願い申し上げます。</t>
  </si>
  <si>
    <t>敬具</t>
  </si>
  <si>
    <t>内訳</t>
  </si>
  <si>
    <t>入金予定日</t>
  </si>
  <si>
    <t>ご契約金</t>
  </si>
  <si>
    <t>合計金額</t>
  </si>
  <si>
    <t>【お振込み先】</t>
  </si>
  <si>
    <t>銀行/支店名</t>
  </si>
  <si>
    <t>口座番号</t>
  </si>
  <si>
    <t>口座名義人</t>
  </si>
  <si>
    <t>三井住友銀行/関目支店</t>
  </si>
  <si>
    <t>(普通)6599766</t>
  </si>
  <si>
    <t>【振込の際のお願い】</t>
  </si>
  <si>
    <r>
      <t>①入金確認を確実に行うため、お振込の際、</t>
    </r>
    <r>
      <rPr>
        <b/>
        <u/>
        <charset val="128"/>
        <color theme="1"/>
        <family val="1"/>
        <sz val="12"/>
        <rFont val="ＭＳ 明朝"/>
      </rPr>
      <t>営業担当に「お振込日」をお知らせください。</t>
    </r>
  </si>
  <si>
    <r>
      <t>②お振込の際、</t>
    </r>
    <r>
      <rPr>
        <b/>
        <u/>
        <charset val="128"/>
        <color theme="1"/>
        <family val="1"/>
        <sz val="12"/>
        <rFont val="ＭＳ 明朝"/>
      </rPr>
      <t>振込名義を主たるご契約者様(代表者1名)に統一ください</t>
    </r>
    <r>
      <rPr>
        <u/>
        <charset val="128"/>
        <color theme="1"/>
        <family val="1"/>
        <sz val="12"/>
        <rFont val="ＭＳ 明朝"/>
      </rPr>
      <t xml:space="preserve">。　　　　　　　　　　</t>
    </r>
  </si>
  <si>
    <t xml:space="preserve">　口座がどなた名義でも振込の際、振込名義は変更可能です。</t>
  </si>
  <si>
    <t>下記の各入金予定日</t>
  </si>
  <si>
    <r>
      <t>②お振込の際、</t>
    </r>
    <r>
      <rPr>
        <b/>
        <u/>
        <charset val="128"/>
        <color theme="1"/>
        <family val="1"/>
        <sz val="12"/>
        <rFont val="ＭＳ 明朝"/>
      </rPr>
      <t>振込名義を主たるご契約者様(代表者1名)に統一ください</t>
    </r>
    <r>
      <rPr>
        <u/>
        <charset val="128"/>
        <color theme="1"/>
        <family val="1"/>
        <sz val="12"/>
        <rFont val="ＭＳ 明朝"/>
      </rPr>
      <t>。</t>
    </r>
  </si>
  <si>
    <t xml:space="preserve">※iedench NX蓄電池を採用される場合、
こちらのＵＲＬからダウンロードして、
お客様にサインをもらう</t>
  </si>
  <si>
    <t>部材明細書</t>
  </si>
  <si>
    <t>https://drive.google.com/open?id=1k28Of_cBzy7cpO7yXsV_d3xwIkYlHet6&amp;authuser=my%40g-house.osaka.jp&amp;usp=drive_fs</t>
  </si>
  <si>
    <t>名  称</t>
  </si>
  <si>
    <t>数 量</t>
  </si>
  <si>
    <t>呼称</t>
  </si>
  <si>
    <t>単)NER108-435w [30-BF-8.E]</t>
  </si>
  <si>
    <t>NER108M435E-ND(D)</t>
  </si>
  <si>
    <t>枚</t>
  </si>
  <si>
    <t>NER)屋外集中型PCS 5.5kW</t>
  </si>
  <si>
    <t>SPSS-55E-NX</t>
  </si>
  <si>
    <t>台</t>
  </si>
  <si>
    <t>NER)電力検出ﾕﾆｯﾄ</t>
  </si>
  <si>
    <t>SPW277-NX</t>
  </si>
  <si>
    <t>ｾｯﾄ</t>
  </si>
  <si>
    <t>NER)一括制御ﾘﾓｺﾝ</t>
  </si>
  <si>
    <t>SPUR-1MB-NX</t>
  </si>
  <si>
    <t>片端ｹｰﾌﾞﾙ(組) HCV 30m(3.5SQ MC4)</t>
  </si>
  <si>
    <t>組</t>
  </si>
  <si>
    <t>栄信)ｻﾝﾛｯｸGripⅡ端部30㎜ｾｯﾄ</t>
  </si>
  <si>
    <t xml:space="preserve">ESG2E30A </t>
  </si>
  <si>
    <t>栄信)ｻﾝﾛｯｸGripⅡ中間30-36㎜ｾｯﾄ</t>
  </si>
  <si>
    <t xml:space="preserve">ESG2M01A </t>
  </si>
  <si>
    <t>ﾐﾙｴｺmini</t>
  </si>
  <si>
    <t xml:space="preserve">MIRUECO mini </t>
  </si>
  <si>
    <t>住友電工蓄電池</t>
  </si>
  <si>
    <t>POWER DEPO H 12.8kWh</t>
  </si>
  <si>
    <t>変更･追加工事代金支払い約定書</t>
  </si>
  <si>
    <t>株式会社　Ｇハウス　殿</t>
  </si>
  <si>
    <t>次の変更・追加工事について完成時に支払うことを約定します。</t>
  </si>
  <si>
    <t>No</t>
  </si>
  <si>
    <t>名　　　　　　称</t>
  </si>
  <si>
    <t>変更後・追加代金</t>
  </si>
  <si>
    <t>お客様確認</t>
  </si>
  <si>
    <t>総計(税別)</t>
  </si>
  <si>
    <t>本契約より差額分(税込)</t>
  </si>
  <si>
    <t>追加工事契約書</t>
  </si>
  <si>
    <t>の施工について、次の変更・追加について追加工事請負契約を締結し、契約成立を</t>
  </si>
  <si>
    <t>証するため、本書の電磁的記録を作成し、甲および乙が合意の後電子署名を施し、</t>
  </si>
  <si>
    <t xml:space="preserve">1. 変更内容　</t>
  </si>
  <si>
    <t>別紙のとおり</t>
  </si>
  <si>
    <t>2. 変更金額</t>
  </si>
  <si>
    <t>3. 支払い条件</t>
  </si>
  <si>
    <t>完成引渡し時</t>
  </si>
  <si>
    <t>なし</t>
  </si>
  <si>
    <t>最終精算書</t>
  </si>
  <si>
    <t>〒535-0022　大阪府大阪市旭区新森2-23-12</t>
  </si>
  <si>
    <t xml:space="preserve">　株式会社　Gハウス</t>
  </si>
  <si>
    <t>■下記の通り、精算申し上げます</t>
  </si>
  <si>
    <t>工事№</t>
  </si>
  <si>
    <t>■工事代金の部　Ａ</t>
  </si>
  <si>
    <t>項          目</t>
  </si>
  <si>
    <t>金額(税込)</t>
  </si>
  <si>
    <t>工事請負金額総額</t>
  </si>
  <si>
    <t>変更契約(イ)</t>
  </si>
  <si>
    <t>追加契約</t>
  </si>
  <si>
    <t>小　計（ロ）</t>
  </si>
  <si>
    <t>合　計①</t>
  </si>
  <si>
    <t>（イ）+（ロ）</t>
  </si>
  <si>
    <t>入金済</t>
  </si>
  <si>
    <t>建築申し込み</t>
  </si>
  <si>
    <t xml:space="preserve">総　合　計　②　</t>
  </si>
  <si>
    <t>差引残金　Ａ＝①-②</t>
  </si>
  <si>
    <t>■契約書印紙代　B</t>
  </si>
  <si>
    <t>変更契約時</t>
  </si>
  <si>
    <t>太陽光契約時</t>
  </si>
  <si>
    <t>合　計</t>
  </si>
  <si>
    <t>総　合　計　④</t>
  </si>
  <si>
    <t>差引残金　B＝③-④</t>
  </si>
  <si>
    <t>残金</t>
  </si>
  <si>
    <t>最終精算額（A+B+C）</t>
  </si>
  <si>
    <t>お支払方法</t>
  </si>
  <si>
    <t>下記振込下さい</t>
  </si>
  <si>
    <t>お振込先：</t>
  </si>
  <si>
    <t xml:space="preserve">　三井住友銀行　関目支店　(普通)6599766　　カ）ジーハウス</t>
  </si>
  <si>
    <t xml:space="preserve">　　　　　</t>
  </si>
  <si>
    <t>※入金確認の都合上、「何時頃入金されたのか」を担当営業までお知らせください</t>
  </si>
  <si>
    <t>※融資金代理受領の関係上、返金が生じる場合は、以下返金口座をご記入下さい</t>
  </si>
  <si>
    <t>金融機関名</t>
  </si>
  <si>
    <t>支店名</t>
  </si>
  <si>
    <t>名義人</t>
  </si>
  <si>
    <t>紹 介 料 支 払 依 頼 書</t>
  </si>
  <si>
    <t>所属長</t>
  </si>
  <si>
    <t>下記ご紹介者様の紹介により建築工事請負契約を締結した物件の</t>
  </si>
  <si>
    <t>基礎着工が完了しましたので、紹介料の振込を依頼します。</t>
  </si>
  <si>
    <t xml:space="preserve">　 ＊</t>
  </si>
  <si>
    <t>特に指定の無い場合、基礎着工日翌月末日迄に振込みます。</t>
  </si>
  <si>
    <t>振込手数料は当社負担です。</t>
  </si>
  <si>
    <t xml:space="preserve"> 　＊</t>
  </si>
  <si>
    <t>現金での支払いはしません。</t>
  </si>
  <si>
    <t>以下添付</t>
  </si>
  <si>
    <t>○</t>
  </si>
  <si>
    <t>(所　属)</t>
  </si>
  <si>
    <t>営業部</t>
  </si>
  <si>
    <t>(担当者)</t>
  </si>
  <si>
    <t xml:space="preserve">　㊞</t>
  </si>
  <si>
    <t>振込理由</t>
  </si>
  <si>
    <t>紹介者様名</t>
  </si>
  <si>
    <t>契約者様名</t>
  </si>
  <si>
    <t>基礎着工日</t>
  </si>
  <si>
    <t>＜備考＞</t>
  </si>
  <si>
    <t>支払金額(税込)</t>
  </si>
  <si>
    <t>振込先</t>
  </si>
  <si>
    <t>紹介料支払承諾書記載の口座</t>
  </si>
  <si>
    <t xml:space="preserve">　1件目は10万円</t>
  </si>
  <si>
    <t xml:space="preserve">　2件目は20万円</t>
  </si>
  <si>
    <t>(税込・振込手数料当社負担)</t>
  </si>
  <si>
    <t xml:space="preserve">　3件目以降は30万円</t>
  </si>
  <si>
    <t>振込み依頼書</t>
  </si>
  <si>
    <t>殿</t>
  </si>
  <si>
    <t>下記の指定口座に振り込みをお願いいたします。</t>
  </si>
  <si>
    <t>住所：</t>
  </si>
  <si>
    <t>お名前：</t>
  </si>
  <si>
    <t>電話番号：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</si>
</sst>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_);[Red](0)"/>
    <numFmt numFmtId="165" formatCode="[$-F800]dddd, mmmm dd, yyyy"/>
    <numFmt numFmtId="166" formatCode="0_);(0)"/>
    <numFmt numFmtId="167" formatCode="[DBNum3]ggge&quot;年&quot;m&quot;月&quot;d&quot;日&quot;"/>
    <numFmt numFmtId="168" formatCode="yyyy&quot;年&quot;m&quot;月&quot;d&quot;日&quot;;@"/>
    <numFmt numFmtId="169" formatCode="[$-411]ggge&quot;年&quot;m&quot;月&quot;d&quot;日&quot;;@"/>
    <numFmt numFmtId="170" formatCode="#"/>
    <numFmt numFmtId="171" formatCode="#,##0_);(#,##0)"/>
    <numFmt numFmtId="172" formatCode="&quot;¥&quot;#,##0;&quot;¥&quot;-#,##0"/>
    <numFmt numFmtId="173" formatCode="&quot;¥&quot;#,##0;[Red]&quot;¥&quot;-#,##0"/>
    <numFmt numFmtId="174" formatCode="&quot;¥&quot;#,##0_);(&quot;¥&quot;#,##0)"/>
    <numFmt numFmtId="175" formatCode="#,##0;&quot;▲ &quot;#,##0"/>
  </numFmts>
  <fonts count="86" x14ac:knownFonts="1">
    <font>
      <color theme="1"/>
      <family val="2"/>
      <scheme val="minor"/>
      <sz val="11"/>
      <name val="Calibri"/>
    </font>
    <font>
      <charset val="128"/>
      <color rgb="FF000000"/>
      <family val="1"/>
      <sz val="11"/>
      <name val="ＭＳ 明朝"/>
    </font>
    <font>
      <b/>
      <charset val="128"/>
      <color theme="1"/>
      <family val="1"/>
      <sz val="14"/>
      <name val="ＭＳ 明朝"/>
    </font>
    <font>
      <charset val="128"/>
      <color theme="1"/>
      <family val="1"/>
      <sz val="11"/>
      <name val="ＭＳ 明朝"/>
    </font>
    <font>
      <charset val="128"/>
      <family val="1"/>
      <sz val="11"/>
      <name val="ＭＳ 明朝"/>
    </font>
    <font>
      <charset val="128"/>
      <color rgb="FFFF0000"/>
      <family val="1"/>
      <sz val="11"/>
      <name val="ＭＳ 明朝"/>
    </font>
    <font>
      <charset val="128"/>
      <color theme="1"/>
      <family val="1"/>
      <sz val="9"/>
      <name val="ＭＳ 明朝"/>
    </font>
    <font>
      <charset val="128"/>
      <color rgb="FF000000"/>
      <family val="1"/>
      <sz val="9"/>
      <name val="ＭＳ 明朝"/>
    </font>
    <font>
      <charset val="128"/>
      <color theme="1"/>
      <family val="1"/>
      <sz val="12"/>
      <name val="ＭＳ 明朝"/>
    </font>
    <font>
      <charset val="128"/>
      <color theme="1"/>
      <family val="1"/>
      <sz val="10"/>
      <name val="ＭＳ 明朝"/>
    </font>
    <font>
      <b/>
      <charset val="128"/>
      <color theme="1"/>
      <family val="1"/>
      <sz val="12"/>
      <name val="ＭＳ 明朝"/>
    </font>
    <font>
      <b/>
      <charset val="128"/>
      <color rgb="FFFF0000"/>
      <family val="1"/>
      <sz val="24"/>
      <name val="ＭＳ 明朝"/>
    </font>
    <font>
      <b/>
      <charset val="128"/>
      <color theme="1"/>
      <family val="1"/>
      <sz val="24"/>
      <name val="MS PMincho"/>
    </font>
    <font>
      <charset val="128"/>
      <color theme="1"/>
      <family val="1"/>
      <sz val="10"/>
      <name val="MS PMincho"/>
    </font>
    <font>
      <b/>
      <charset val="128"/>
      <color theme="1"/>
      <family val="1"/>
      <sz val="24"/>
      <name val="ＭＳ 明朝"/>
    </font>
    <font>
      <charset val="128"/>
      <family val="1"/>
      <sz val="12"/>
      <name val="ＭＳ 明朝"/>
    </font>
    <font>
      <b/>
      <charset val="128"/>
      <color rgb="FFFF0000"/>
      <family val="1"/>
      <sz val="18"/>
      <name val="MS PMincho"/>
    </font>
    <font>
      <color rgb="FF000000"/>
      <scheme val="minor"/>
      <sz val="11"/>
      <name val="Calibri"/>
    </font>
    <font>
      <u/>
      <charset val="128"/>
      <color theme="1"/>
      <family val="1"/>
      <sz val="10"/>
      <name val="ＭＳ 明朝"/>
    </font>
    <font>
      <b/>
      <charset val="128"/>
      <color rgb="FFFF0000"/>
      <family val="1"/>
      <sz val="24"/>
      <name val="MS PMincho"/>
    </font>
    <font>
      <charset val="128"/>
      <family val="1"/>
      <sz val="10"/>
      <name val="ＭＳ 明朝"/>
    </font>
    <font>
      <b/>
      <charset val="128"/>
      <color theme="1"/>
      <family val="1"/>
      <sz val="10"/>
      <name val="ＭＳ 明朝"/>
    </font>
    <font>
      <charset val="128"/>
      <color rgb="FFFF0000"/>
      <family val="1"/>
      <sz val="10"/>
      <name val="ＭＳ 明朝"/>
    </font>
    <font>
      <charset val="128"/>
      <color theme="1"/>
      <family val="1"/>
      <sz val="9"/>
      <name val="MS PMincho"/>
    </font>
    <font>
      <charset val="128"/>
      <family val="1"/>
      <sz val="9"/>
      <name val="ＭＳ 明朝"/>
    </font>
    <font>
      <charset val="128"/>
      <color rgb="FF00B050"/>
      <family val="1"/>
      <sz val="10"/>
      <name val="ＭＳ 明朝"/>
    </font>
    <font>
      <charset val="128"/>
      <color rgb="FF000000"/>
      <family val="1"/>
      <sz val="10"/>
      <name val="ＭＳ 明朝"/>
    </font>
    <font>
      <charset val="128"/>
      <color theme="1"/>
      <family val="1"/>
      <sz val="9"/>
      <name val="游明朝"/>
    </font>
    <font>
      <charset val="128"/>
      <color theme="1"/>
      <family val="1"/>
      <sz val="10"/>
      <name val="游明朝"/>
    </font>
    <font>
      <b/>
      <charset val="128"/>
      <family val="1"/>
      <sz val="22"/>
      <name val="ＭＳ 明朝"/>
    </font>
    <font>
      <b/>
      <charset val="128"/>
      <family val="1"/>
      <sz val="24"/>
      <name val="ＭＳ 明朝"/>
    </font>
    <font>
      <b/>
      <charset val="128"/>
      <family val="1"/>
      <sz val="18"/>
      <name val="ＭＳ 明朝"/>
    </font>
    <font>
      <b/>
      <charset val="128"/>
      <family val="1"/>
      <sz val="16"/>
      <name val="ＭＳ 明朝"/>
    </font>
    <font>
      <charset val="128"/>
      <color theme="0" tint="-0.1499984740745262"/>
      <family val="1"/>
      <sz val="11"/>
      <name val="ＭＳ 明朝"/>
    </font>
    <font>
      <b/>
      <charset val="128"/>
      <family val="1"/>
      <sz val="11"/>
      <name val="ＭＳ 明朝"/>
    </font>
    <font>
      <b/>
      <charset val="128"/>
      <family val="1"/>
      <sz val="20"/>
      <name val="ＭＳ 明朝"/>
    </font>
    <font>
      <b/>
      <charset val="128"/>
      <family val="1"/>
      <sz val="12"/>
      <name val="ＭＳ 明朝"/>
    </font>
    <font>
      <b/>
      <charset val="128"/>
      <color theme="1"/>
      <family val="1"/>
      <sz val="11"/>
      <name val="ＭＳ 明朝"/>
    </font>
    <font>
      <u/>
      <charset val="128"/>
      <family val="1"/>
      <sz val="9"/>
      <name val="ＭＳ 明朝"/>
    </font>
    <font>
      <charset val="128"/>
      <family val="1"/>
      <sz val="8"/>
      <name val="ＭＳ 明朝"/>
    </font>
    <font>
      <b/>
      <charset val="128"/>
      <family val="1"/>
      <sz val="14"/>
      <name val="ＭＳ 明朝"/>
    </font>
    <font>
      <charset val="128"/>
      <family val="1"/>
      <sz val="20"/>
      <name val="ＭＳ 明朝"/>
    </font>
    <font>
      <u/>
      <charset val="128"/>
      <family val="1"/>
      <sz val="20"/>
      <name val="ＭＳ 明朝"/>
    </font>
    <font>
      <charset val="128"/>
      <family val="1"/>
      <sz val="13"/>
      <name val="ＭＳ 明朝"/>
    </font>
    <font>
      <u/>
      <charset val="128"/>
      <family val="1"/>
      <sz val="14"/>
      <name val="ＭＳ 明朝"/>
    </font>
    <font>
      <charset val="128"/>
      <family val="1"/>
      <sz val="14"/>
      <name val="ＭＳ 明朝"/>
    </font>
    <font>
      <charset val="128"/>
      <family val="1"/>
      <sz val="7"/>
      <name val="ＭＳ 明朝"/>
    </font>
    <font>
      <charset val="128"/>
      <family val="1"/>
      <sz val="16"/>
      <name val="ＭＳ 明朝"/>
    </font>
    <font>
      <charset val="128"/>
      <family val="1"/>
      <sz val="18"/>
      <name val="ＭＳ 明朝"/>
    </font>
    <font>
      <charset val="128"/>
      <color rgb="FF000000"/>
      <family val="1"/>
      <sz val="12"/>
      <name val="ＭＳ 明朝"/>
    </font>
    <font>
      <b/>
      <charset val="128"/>
      <color theme="1"/>
      <family val="1"/>
      <sz val="16"/>
      <name val="ＭＳ 明朝"/>
    </font>
    <font>
      <charset val="128"/>
      <family val="1"/>
      <sz val="6"/>
      <name val="ＭＳ 明朝"/>
    </font>
    <font>
      <charset val="128"/>
      <color theme="1"/>
      <family val="1"/>
      <sz val="6"/>
      <name val="ＭＳ 明朝"/>
    </font>
    <font>
      <b/>
      <charset val="128"/>
      <family val="1"/>
      <sz val="10"/>
      <name val="ＭＳ 明朝"/>
    </font>
    <font>
      <charset val="128"/>
      <color theme="2" tint="-0.1499984740745262"/>
      <family val="1"/>
      <sz val="11"/>
      <name val="ＭＳ 明朝"/>
    </font>
    <font>
      <charset val="128"/>
      <color theme="1"/>
      <family val="1"/>
      <sz val="8"/>
      <name val="ＭＳ 明朝"/>
    </font>
    <font>
      <color rgb="FF000000"/>
      <family val="2"/>
      <scheme val="minor"/>
      <sz val="12"/>
      <name val="Calibri"/>
    </font>
    <font>
      <color rgb="FFFF0000"/>
      <family val="2"/>
      <scheme val="minor"/>
      <sz val="20"/>
      <name val="Calibri"/>
    </font>
    <font>
      <charset val="128"/>
      <color theme="0" tint="-0.1499984740745262"/>
      <family val="1"/>
      <sz val="12"/>
      <name val="ＭＳ 明朝"/>
    </font>
    <font>
      <charset val="128"/>
      <color theme="1"/>
      <family val="1"/>
      <sz val="13"/>
      <name val="ＭＳ 明朝"/>
    </font>
    <font>
      <charset val="128"/>
      <color rgb="FF000000"/>
      <family val="3"/>
      <sz val="11"/>
      <name val="ＭＳ ゴシック"/>
    </font>
    <font>
      <color rgb="FF000000"/>
      <family val="2"/>
      <scheme val="minor"/>
      <sz val="11"/>
      <name val="Calibri"/>
    </font>
    <font>
      <charset val="128"/>
      <color rgb="FF000000"/>
      <family val="1"/>
      <sz val="13"/>
      <name val="ＭＳ 明朝"/>
    </font>
    <font>
      <u/>
      <charset val="128"/>
      <color theme="1"/>
      <family val="1"/>
      <sz val="13"/>
      <name val="ＭＳ 明朝"/>
    </font>
    <font>
      <u/>
      <charset val="128"/>
      <color theme="1"/>
      <family val="1"/>
      <sz val="12"/>
      <name val="ＭＳ 明朝"/>
    </font>
    <font>
      <charset val="128"/>
      <color rgb="FF000000"/>
      <family val="3"/>
      <sz val="11"/>
      <name val="ＭＳ Ｐゴシック"/>
    </font>
    <font>
      <charset val="128"/>
      <color theme="1"/>
      <family val="1"/>
      <sz val="11"/>
      <name val="MS Mincho"/>
    </font>
    <font>
      <b/>
      <charset val="128"/>
      <color theme="1"/>
      <family val="1"/>
      <sz val="16"/>
      <name val="MS Mincho"/>
    </font>
    <font>
      <charset val="128"/>
      <color rgb="FF000000"/>
      <family val="1"/>
      <sz val="11"/>
      <name val="MS Mincho"/>
    </font>
    <font>
      <charset val="128"/>
      <color rgb="FFFF0000"/>
      <family val="1"/>
      <sz val="11"/>
      <name val="MS Mincho"/>
    </font>
    <font>
      <family val="2"/>
      <sz val="11"/>
      <name val="Calibri"/>
    </font>
    <font>
      <charset val="128"/>
      <color theme="0" tint="-0.1499984740745262"/>
      <family val="1"/>
      <sz val="11"/>
      <name val="MS Mincho"/>
    </font>
    <font>
      <charset val="128"/>
      <color rgb="FF000000"/>
      <family val="3"/>
      <scheme val="minor"/>
      <sz val="11"/>
      <name val="Calibri"/>
    </font>
    <font>
      <charset val="128"/>
      <color theme="2" tint="-0.249977111117893"/>
      <family val="1"/>
      <sz val="10"/>
      <name val="ＭＳ 明朝"/>
    </font>
    <font>
      <charset val="128"/>
      <color theme="0" tint="-0.499984740745262"/>
      <family val="1"/>
      <sz val="10"/>
      <name val="ＭＳ 明朝"/>
    </font>
    <font>
      <u/>
      <charset val="128"/>
      <color theme="1"/>
      <family val="1"/>
      <sz val="16"/>
      <name val="ＭＳ 明朝"/>
    </font>
    <font>
      <charset val="128"/>
      <color theme="1"/>
      <family val="1"/>
      <sz val="14"/>
      <name val="ＭＳ 明朝"/>
    </font>
    <font>
      <charset val="128"/>
      <color rgb="FFFF0000"/>
      <family val="1"/>
      <sz val="18"/>
      <name val="ＭＳ 明朝"/>
    </font>
    <font>
      <b/>
      <charset val="128"/>
      <color theme="1"/>
      <family val="1"/>
      <sz val="26"/>
      <name val="ＭＳ 明朝"/>
    </font>
    <font>
      <u/>
      <color theme="10"/>
      <family val="2"/>
      <scheme val="minor"/>
      <sz val="18"/>
      <name val="Calibri"/>
    </font>
    <font>
      <charset val="128"/>
      <color theme="1"/>
      <family val="1"/>
      <sz val="18"/>
      <name val="ＭＳ 明朝"/>
    </font>
    <font>
      <b/>
      <charset val="128"/>
      <color indexed="9"/>
      <family val="1"/>
      <sz val="18"/>
      <name val="ＭＳ 明朝"/>
    </font>
    <font>
      <charset val="128"/>
      <color rgb="FF000000"/>
      <family val="1"/>
      <sz val="14"/>
      <name val="ＭＳ 明朝"/>
    </font>
    <font>
      <charset val="128"/>
      <color theme="2" tint="-0.3499862666707358"/>
      <family val="1"/>
      <sz val="11"/>
      <name val="ＭＳ 明朝"/>
    </font>
    <font>
      <charset val="128"/>
      <color theme="3"/>
      <family val="3"/>
      <sz val="10"/>
      <name val="游ゴシック"/>
    </font>
    <font>
      <charset val="128"/>
      <color theme="2" tint="-0.249977111117893"/>
      <family val="3"/>
      <sz val="10"/>
      <name val="游ゴシック"/>
    </font>
  </fonts>
  <fills count="11">
    <fill>
      <patternFill patternType="none"/>
    </fill>
    <fill>
      <patternFill patternType="gray125"/>
    </fill>
    <fill>
      <patternFill patternType="solid">
        <fgColor rgb="FFFFC000"/>
        <bgColor rgb="FFFFC000"/>
      </patternFill>
    </fill>
    <fill>
      <patternFill patternType="solid">
        <fgColor rgb="FFFDE9D9"/>
        <bgColor rgb="FFFDE9D9"/>
      </patternFill>
    </fill>
    <fill>
      <patternFill patternType="solid">
        <fgColor rgb="FFFFFF00"/>
        <bgColor rgb="FFFFFF00"/>
      </patternFill>
    </fill>
    <fill>
      <patternFill patternType="solid">
        <fgColor rgb="FF7F7F7F"/>
        <bgColor rgb="FF7F7F7F"/>
      </patternFill>
    </fill>
    <fill>
      <patternFill patternType="solid">
        <fgColor rgb="FFFFC000"/>
        <bgColor rgb="FFFDE9D9"/>
      </patternFill>
    </fill>
    <fill>
      <patternFill patternType="solid">
        <fgColor theme="0"/>
        <bgColor theme="0"/>
      </patternFill>
    </fill>
    <fill>
      <patternFill patternType="solid">
        <fgColor theme="0"/>
        <bgColor indexed="64"/>
      </patternFill>
    </fill>
    <fill>
      <patternFill patternType="solid">
        <fgColor theme="0"/>
        <bgColor rgb="FFFFFF99"/>
      </patternFill>
    </fill>
    <fill>
      <patternFill patternType="solid">
        <fgColor indexed="8"/>
        <bgColor indexed="64"/>
      </patternFill>
    </fill>
  </fills>
  <borders count="23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hair">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hair">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hair">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thin">
        <color indexed="64"/>
      </bottom>
      <diagonal/>
    </border>
    <border>
      <left/>
      <right style="thin">
        <color rgb="FF000000"/>
      </right>
      <top/>
      <bottom/>
      <diagonal/>
    </border>
    <border>
      <left/>
      <right style="thin">
        <color indexed="64"/>
      </right>
      <top style="thin">
        <color rgb="FF000000"/>
      </top>
      <bottom/>
      <diagonal/>
    </border>
    <border>
      <left/>
      <right style="thin">
        <color indexed="64"/>
      </right>
      <top/>
      <bottom/>
      <diagonal/>
    </border>
    <border>
      <left/>
      <right/>
      <top style="thin">
        <color indexed="64"/>
      </top>
      <bottom style="thin">
        <color indexed="64"/>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right/>
      <top/>
      <bottom style="dotted"/>
      <diagonal/>
    </border>
    <border>
      <left/>
      <right/>
      <top/>
      <bottom style="dotted">
        <color rgb="FF000000"/>
      </bottom>
      <diagonal/>
    </border>
    <border>
      <left/>
      <right/>
      <top style="dotted">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hair">
        <color rgb="FF000000"/>
      </left>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hair">
        <color rgb="FF000000"/>
      </bottom>
      <diagonal/>
    </border>
    <border>
      <left style="hair">
        <color rgb="FF000000"/>
      </left>
      <right/>
      <top/>
      <bottom style="hair">
        <color rgb="FF000000"/>
      </bottom>
      <diagonal/>
    </border>
    <border>
      <left/>
      <right style="thin">
        <color rgb="FF000000"/>
      </right>
      <top/>
      <bottom style="hair">
        <color rgb="FF000000"/>
      </bottom>
      <diagonal/>
    </border>
    <border>
      <left/>
      <right/>
      <top style="hair">
        <color rgb="FF000000"/>
      </top>
      <bottom style="hair">
        <color rgb="FF000000"/>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rgb="FF000000"/>
      </top>
      <bottom style="hair">
        <color rgb="FF000000"/>
      </bottom>
      <diagonal/>
    </border>
    <border>
      <left style="hair">
        <color rgb="FF000000"/>
      </left>
      <right/>
      <top/>
      <bottom style="thin">
        <color rgb="FF000000"/>
      </bottom>
      <diagonal/>
    </border>
    <border>
      <left/>
      <right/>
      <top style="hair">
        <color rgb="FF000000"/>
      </top>
      <bottom style="thin">
        <color rgb="FF000000"/>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rgb="FF000000"/>
      </right>
      <top style="thin">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rgb="FF000000"/>
      </top>
      <bottom/>
      <diagonal/>
    </border>
    <border>
      <left style="thin">
        <color indexed="64"/>
      </left>
      <right/>
      <top/>
      <bottom/>
      <diagonal/>
    </border>
    <border>
      <left/>
      <right style="thin">
        <color rgb="FF000000"/>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style="thin">
        <color indexed="64"/>
      </right>
      <top/>
      <bottom style="thin">
        <color rgb="FF000000"/>
      </bottom>
      <diagonal/>
    </border>
    <border>
      <left style="thin">
        <color indexed="64"/>
      </left>
      <right/>
      <top/>
      <bottom style="thin">
        <color rgb="FF00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top/>
      <bottom style="medium">
        <color indexed="64"/>
      </bottom>
      <diagonal/>
    </border>
    <border>
      <left/>
      <right/>
      <top style="medium">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000000"/>
      </right>
      <top style="thin">
        <color indexed="64"/>
      </top>
      <bottom/>
      <diagonal/>
    </border>
    <border>
      <left style="thin">
        <color rgb="FF000000"/>
      </left>
      <right/>
      <top style="thin">
        <color indexed="64"/>
      </top>
      <bottom/>
      <diagonal/>
    </border>
    <border>
      <left style="hair">
        <color rgb="FF000000"/>
      </left>
      <right/>
      <top style="thin">
        <color indexed="64"/>
      </top>
      <bottom/>
      <diagonal/>
    </border>
    <border>
      <left style="thin">
        <color rgb="FF000000"/>
      </left>
      <right/>
      <top style="thin">
        <color indexed="64"/>
      </top>
      <bottom style="hair">
        <color rgb="FF000000"/>
      </bottom>
      <diagonal/>
    </border>
    <border>
      <left/>
      <right/>
      <top style="thin">
        <color indexed="64"/>
      </top>
      <bottom style="hair">
        <color rgb="FF000000"/>
      </bottom>
      <diagonal/>
    </border>
    <border>
      <left/>
      <right style="hair">
        <color rgb="FF000000"/>
      </right>
      <top style="thin">
        <color indexed="64"/>
      </top>
      <bottom style="hair">
        <color rgb="FF000000"/>
      </bottom>
      <diagonal/>
    </border>
    <border>
      <left/>
      <right style="thin">
        <color indexed="64"/>
      </right>
      <top style="thin">
        <color indexed="64"/>
      </top>
      <bottom style="hair">
        <color rgb="FF000000"/>
      </bottom>
      <diagonal/>
    </border>
    <border>
      <left style="thin">
        <color indexed="64"/>
      </left>
      <right/>
      <top/>
      <bottom style="hair">
        <color rgb="FF000000"/>
      </bottom>
      <diagonal/>
    </border>
    <border>
      <left/>
      <right style="hair">
        <color rgb="FF000000"/>
      </right>
      <top style="hair">
        <color rgb="FF000000"/>
      </top>
      <bottom style="hair">
        <color rgb="FF000000"/>
      </bottom>
      <diagonal/>
    </border>
    <border>
      <left style="thin">
        <color indexed="64"/>
      </left>
      <right/>
      <top style="hair">
        <color rgb="FF000000"/>
      </top>
      <bottom/>
      <diagonal/>
    </border>
    <border>
      <left style="hair">
        <color rgb="FF000000"/>
      </left>
      <right/>
      <top style="hair">
        <color rgb="FF000000"/>
      </top>
      <bottom style="hair">
        <color rgb="FF000000"/>
      </bottom>
      <diagonal/>
    </border>
    <border>
      <left style="hair">
        <color rgb="FF000000"/>
      </left>
      <right/>
      <top/>
      <bottom style="thin">
        <color indexed="64"/>
      </bottom>
      <diagonal/>
    </border>
    <border>
      <left style="thin">
        <color rgb="FF000000"/>
      </left>
      <right/>
      <top style="hair">
        <color rgb="FF000000"/>
      </top>
      <bottom style="thin">
        <color indexed="64"/>
      </bottom>
      <diagonal/>
    </border>
    <border>
      <left/>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top style="hair">
        <color rgb="FF000000"/>
      </top>
      <bottom style="thin">
        <color indexed="64"/>
      </bottom>
      <diagonal/>
    </border>
    <border>
      <left/>
      <right style="thin">
        <color indexed="64"/>
      </right>
      <top style="hair">
        <color rgb="FF000000"/>
      </top>
      <bottom style="thin">
        <color indexed="64"/>
      </bottom>
      <diagonal/>
    </border>
    <border>
      <left style="thin">
        <color indexed="64"/>
      </left>
      <right/>
      <top style="thin">
        <color indexed="64"/>
      </top>
      <bottom style="hair">
        <color rgb="FF000000"/>
      </bottom>
      <diagonal/>
    </border>
    <border>
      <left/>
      <right style="thin">
        <color rgb="FF000000"/>
      </right>
      <top style="thin">
        <color indexed="64"/>
      </top>
      <bottom style="hair">
        <color rgb="FF000000"/>
      </bottom>
      <diagonal/>
    </border>
    <border>
      <left style="thin">
        <color indexed="64"/>
      </left>
      <right/>
      <top style="hair">
        <color rgb="FF000000"/>
      </top>
      <bottom style="hair">
        <color rgb="FF000000"/>
      </bottom>
      <diagonal/>
    </border>
    <border>
      <left style="thin">
        <color indexed="64"/>
      </left>
      <right/>
      <top style="hair">
        <color rgb="FF000000"/>
      </top>
      <bottom style="thin">
        <color indexed="64"/>
      </bottom>
      <diagonal/>
    </border>
    <border>
      <left/>
      <right style="thin">
        <color rgb="FF000000"/>
      </right>
      <top style="hair">
        <color rgb="FF000000"/>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bottom/>
      <diagonal/>
    </border>
    <border>
      <left/>
      <right style="thin">
        <color indexed="64"/>
      </right>
      <top/>
      <bottom style="hair">
        <color rgb="FF000000"/>
      </bottom>
      <diagonal/>
    </border>
    <border>
      <left style="thin">
        <color indexed="64"/>
      </left>
      <right style="thin">
        <color rgb="FF000000"/>
      </right>
      <top/>
      <bottom style="thin">
        <color indexed="64"/>
      </bottom>
      <diagonal/>
    </border>
    <border>
      <left/>
      <right/>
      <top style="dotted">
        <color indexed="64"/>
      </top>
      <bottom style="dott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rgb="FF000000"/>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rgb="FF000000"/>
      </left>
      <right/>
      <top/>
      <bottom/>
      <diagonal/>
    </border>
    <border>
      <left style="medium">
        <color rgb="FF000000"/>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rgb="FF000000"/>
      </left>
      <right/>
      <top style="thin">
        <color indexed="64"/>
      </top>
      <bottom style="thin">
        <color indexed="64"/>
      </bottom>
      <diagonal/>
    </border>
    <border>
      <left style="medium">
        <color indexed="64"/>
      </left>
      <right style="medium">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style="medium">
        <color rgb="FF000000"/>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rgb="FF000000"/>
      </left>
      <right/>
      <top/>
      <bottom style="thin">
        <color indexed="64"/>
      </bottom>
      <diagonal/>
    </border>
    <border>
      <left style="medium">
        <color rgb="FF000000"/>
      </left>
      <right/>
      <top style="thin">
        <color indexed="64"/>
      </top>
      <bottom/>
      <diagonal/>
    </border>
    <border>
      <left style="medium">
        <color rgb="FF000000"/>
      </left>
      <right style="medium">
        <color indexed="64"/>
      </right>
      <top style="thin">
        <color rgb="FF000000"/>
      </top>
      <bottom style="thin">
        <color rgb="FF000000"/>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thin">
        <color rgb="FF000000"/>
      </top>
      <bottom style="thin">
        <color indexed="64"/>
      </bottom>
      <diagonal/>
    </border>
    <border>
      <left style="medium">
        <color rgb="FF000000"/>
      </left>
      <right style="medium">
        <color rgb="FF000000"/>
      </right>
      <top style="thin">
        <color indexed="64"/>
      </top>
      <bottom style="thin">
        <color rgb="FF000000"/>
      </bottom>
      <diagonal/>
    </border>
    <border>
      <left style="medium">
        <color rgb="FF000000"/>
      </left>
      <right style="medium">
        <color rgb="FF000000"/>
      </right>
      <top style="thin">
        <color indexed="64"/>
      </top>
      <bottom style="medium">
        <color indexed="64"/>
      </bottom>
      <diagonal/>
    </border>
    <border>
      <left style="medium">
        <color indexed="64"/>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style="thin">
        <color indexed="64"/>
      </bottom>
      <diagonal/>
    </border>
    <border>
      <left style="medium">
        <color rgb="FF000000"/>
      </left>
      <right/>
      <top style="thin">
        <color indexed="64"/>
      </top>
      <bottom style="medium">
        <color indexed="64"/>
      </bottom>
      <diagonal/>
    </border>
    <border>
      <left/>
      <right/>
      <top style="hair">
        <color indexed="64"/>
      </top>
      <bottom/>
      <diagonal/>
    </border>
    <border>
      <left style="medium">
        <color rgb="FF000000"/>
      </left>
      <right style="medium">
        <color indexed="64"/>
      </right>
      <top style="medium">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bottom style="hair">
        <color rgb="FF333333"/>
      </bottom>
      <diagonal/>
    </border>
    <border>
      <left/>
      <right/>
      <top style="hair">
        <color rgb="FF333333"/>
      </top>
      <bottom style="hair">
        <color rgb="FF333333"/>
      </bottom>
      <diagonal/>
    </border>
    <border>
      <left/>
      <right/>
      <top style="hair">
        <color rgb="FF333333"/>
      </top>
      <bottom/>
      <diagonal/>
    </border>
    <border>
      <left/>
      <right style="hair">
        <color rgb="FF000000"/>
      </right>
      <top style="thin">
        <color rgb="FF000000"/>
      </top>
      <bottom style="thin">
        <color rgb="FF000000"/>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64"/>
      </right>
      <top/>
      <bottom/>
      <diagonal/>
    </border>
    <border>
      <left style="hair">
        <color indexed="64"/>
      </left>
      <right/>
      <top style="hair">
        <color indexed="64"/>
      </top>
      <bottom style="hair">
        <color indexed="64"/>
      </bottom>
      <diagonal/>
    </border>
    <border>
      <left style="thin">
        <color indexed="64"/>
      </left>
      <right style="hair">
        <color indexed="64"/>
      </right>
      <top/>
      <bottom style="hair">
        <color indexed="64"/>
      </bottom>
      <diagonal/>
    </border>
    <border>
      <left/>
      <right style="thin">
        <color indexed="64"/>
      </right>
      <top style="hair">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double">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right style="thin">
        <color indexed="64"/>
      </right>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s>
  <cellStyleXfs count="1">
    <xf numFmtId="0" fontId="0" fillId="0" borderId="0"/>
  </cellStyleXfs>
  <cellXfs count="143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2" borderId="1" xfId="0" applyFont="1" applyFill="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vertical="center"/>
    </xf>
    <xf numFmtId="0" fontId="3" fillId="3" borderId="5" xfId="0" applyFont="1" applyFill="1" applyBorder="1" applyAlignment="1">
      <alignment horizontal="left" vertical="center"/>
    </xf>
    <xf numFmtId="0" fontId="4" fillId="0" borderId="6" xfId="0" applyFont="1" applyBorder="1" applyAlignment="1">
      <alignment vertical="center"/>
    </xf>
    <xf numFmtId="0" fontId="4" fillId="0" borderId="7" xfId="0" applyFont="1" applyBorder="1" applyAlignment="1">
      <alignment vertical="center"/>
    </xf>
    <xf numFmtId="0" fontId="5" fillId="0" borderId="8" xfId="0" applyFont="1" applyBorder="1" applyAlignment="1">
      <alignment horizontal="center" vertical="center" wrapText="1"/>
    </xf>
    <xf numFmtId="0" fontId="3" fillId="0" borderId="9" xfId="0" applyFont="1" applyBorder="1" applyAlignment="1">
      <alignment vertical="center"/>
    </xf>
    <xf numFmtId="0" fontId="3" fillId="3" borderId="10" xfId="0" applyFont="1" applyFill="1" applyBorder="1" applyAlignment="1">
      <alignment horizontal="lef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8" xfId="0" applyFont="1" applyBorder="1" applyAlignment="1">
      <alignment vertical="center"/>
    </xf>
    <xf numFmtId="0" fontId="3" fillId="3" borderId="13" xfId="0" applyFont="1" applyFill="1" applyBorder="1" applyAlignment="1">
      <alignment vertical="center"/>
    </xf>
    <xf numFmtId="0" fontId="6" fillId="3" borderId="10" xfId="0" applyFont="1" applyFill="1" applyBorder="1" applyAlignment="1">
      <alignment horizontal="left" vertical="center"/>
    </xf>
    <xf numFmtId="0" fontId="5" fillId="0" borderId="0" xfId="0" applyFont="1" applyAlignment="1">
      <alignment vertical="center"/>
    </xf>
    <xf numFmtId="0" fontId="3" fillId="4" borderId="9" xfId="0" applyFont="1" applyFill="1" applyBorder="1" applyAlignment="1">
      <alignment vertical="center"/>
    </xf>
    <xf numFmtId="0" fontId="3" fillId="3" borderId="10" xfId="0" applyFont="1" applyFill="1" applyBorder="1" applyAlignment="1">
      <alignment vertical="center"/>
    </xf>
    <xf numFmtId="0" fontId="3" fillId="5" borderId="13" xfId="0" applyFont="1" applyFill="1" applyBorder="1" applyAlignment="1">
      <alignment vertical="center"/>
    </xf>
    <xf numFmtId="0" fontId="6" fillId="0" borderId="0" xfId="0" applyFont="1" applyAlignment="1">
      <alignment vertical="center"/>
    </xf>
    <xf numFmtId="164" fontId="3" fillId="3" borderId="13" xfId="0" applyNumberFormat="1" applyFont="1" applyFill="1" applyBorder="1" applyAlignment="1">
      <alignment vertical="center"/>
    </xf>
    <xf numFmtId="0" fontId="7" fillId="0" borderId="0" xfId="0" applyFont="1" applyAlignment="1">
      <alignment vertical="center"/>
    </xf>
    <xf numFmtId="164" fontId="3" fillId="3" borderId="11" xfId="0" applyNumberFormat="1" applyFont="1" applyFill="1" applyBorder="1" applyAlignment="1">
      <alignment vertical="center"/>
    </xf>
    <xf numFmtId="0" fontId="3"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3" fillId="3" borderId="11" xfId="0" applyFont="1" applyFill="1" applyBorder="1" applyAlignment="1">
      <alignment horizontal="left" vertical="center"/>
    </xf>
    <xf numFmtId="0" fontId="8" fillId="6" borderId="17" xfId="0" applyFont="1" applyFill="1" applyBorder="1" applyAlignment="1">
      <alignment horizontal="center" vertical="center" textRotation="255"/>
    </xf>
    <xf numFmtId="0" fontId="3" fillId="3" borderId="18" xfId="0" applyFont="1" applyFill="1" applyBorder="1" applyAlignment="1">
      <alignment horizontal="left" vertical="center"/>
    </xf>
    <xf numFmtId="0" fontId="3" fillId="3" borderId="19" xfId="0" applyFont="1" applyFill="1" applyBorder="1" applyAlignment="1">
      <alignment horizontal="left" vertical="center"/>
    </xf>
    <xf numFmtId="0" fontId="3" fillId="3" borderId="20" xfId="0" applyFont="1" applyFill="1" applyBorder="1" applyAlignment="1">
      <alignment horizontal="left" vertical="center"/>
    </xf>
    <xf numFmtId="0" fontId="3" fillId="0" borderId="0" xfId="0" applyFont="1" applyAlignment="1">
      <alignment horizontal="center" vertical="center"/>
    </xf>
    <xf numFmtId="0" fontId="8" fillId="6" borderId="21" xfId="0" applyFont="1" applyFill="1" applyBorder="1" applyAlignment="1">
      <alignment horizontal="center" vertical="center" textRotation="255"/>
    </xf>
    <xf numFmtId="0" fontId="3" fillId="3" borderId="22" xfId="0" applyFont="1" applyFill="1" applyBorder="1" applyAlignment="1">
      <alignment horizontal="left" vertical="center"/>
    </xf>
    <xf numFmtId="0" fontId="3" fillId="3" borderId="23" xfId="0" applyFont="1" applyFill="1" applyBorder="1" applyAlignment="1">
      <alignment horizontal="left" vertical="center"/>
    </xf>
    <xf numFmtId="165" fontId="3" fillId="3" borderId="10" xfId="0" applyNumberFormat="1" applyFont="1" applyFill="1" applyBorder="1" applyAlignment="1">
      <alignment horizontal="left" vertical="center"/>
    </xf>
    <xf numFmtId="165" fontId="3" fillId="3" borderId="11" xfId="0" applyNumberFormat="1" applyFont="1" applyFill="1" applyBorder="1" applyAlignment="1">
      <alignment horizontal="left" vertical="center"/>
    </xf>
    <xf numFmtId="165" fontId="3" fillId="3" borderId="23" xfId="0" applyNumberFormat="1" applyFont="1" applyFill="1" applyBorder="1" applyAlignment="1">
      <alignment horizontal="left" vertical="center"/>
    </xf>
    <xf numFmtId="38" fontId="3" fillId="3" borderId="10" xfId="0" applyNumberFormat="1" applyFont="1" applyFill="1" applyBorder="1" applyAlignment="1">
      <alignment horizontal="left" vertical="center"/>
    </xf>
    <xf numFmtId="38" fontId="3" fillId="3" borderId="11" xfId="0" applyNumberFormat="1" applyFont="1" applyFill="1" applyBorder="1" applyAlignment="1">
      <alignment horizontal="left" vertical="center"/>
    </xf>
    <xf numFmtId="38" fontId="3" fillId="3" borderId="23" xfId="0" applyNumberFormat="1" applyFont="1" applyFill="1" applyBorder="1" applyAlignment="1">
      <alignment horizontal="left" vertical="center"/>
    </xf>
    <xf numFmtId="38" fontId="3" fillId="3" borderId="22" xfId="0" applyNumberFormat="1" applyFont="1" applyFill="1" applyBorder="1" applyAlignment="1">
      <alignment horizontal="left" vertical="center"/>
    </xf>
    <xf numFmtId="0" fontId="9" fillId="0" borderId="14" xfId="0" applyFont="1" applyBorder="1" applyAlignment="1">
      <alignment vertical="center"/>
    </xf>
    <xf numFmtId="3" fontId="3" fillId="3" borderId="10" xfId="0" applyNumberFormat="1" applyFont="1" applyFill="1" applyBorder="1" applyAlignment="1">
      <alignment horizontal="left" vertical="center"/>
    </xf>
    <xf numFmtId="3" fontId="3" fillId="3" borderId="22" xfId="0" applyNumberFormat="1" applyFont="1" applyFill="1" applyBorder="1" applyAlignment="1">
      <alignment horizontal="left" vertical="center"/>
    </xf>
    <xf numFmtId="3" fontId="3" fillId="3" borderId="11" xfId="0" applyNumberFormat="1" applyFont="1" applyFill="1" applyBorder="1" applyAlignment="1">
      <alignment horizontal="left" vertical="center"/>
    </xf>
    <xf numFmtId="3" fontId="3" fillId="3" borderId="23" xfId="0" applyNumberFormat="1" applyFont="1" applyFill="1" applyBorder="1" applyAlignment="1">
      <alignment horizontal="left" vertical="center"/>
    </xf>
    <xf numFmtId="0" fontId="8" fillId="6" borderId="24" xfId="0" applyFont="1" applyFill="1" applyBorder="1" applyAlignment="1">
      <alignment horizontal="center" vertical="center" textRotation="255"/>
    </xf>
    <xf numFmtId="0" fontId="3" fillId="3" borderId="25" xfId="0" applyFont="1" applyFill="1" applyBorder="1" applyAlignment="1">
      <alignment horizontal="left" vertical="center"/>
    </xf>
    <xf numFmtId="0" fontId="3" fillId="3" borderId="26" xfId="0" applyFont="1" applyFill="1" applyBorder="1" applyAlignment="1">
      <alignment horizontal="left" vertical="center"/>
    </xf>
    <xf numFmtId="0" fontId="3" fillId="3" borderId="27" xfId="0" applyFont="1" applyFill="1" applyBorder="1" applyAlignment="1">
      <alignment horizontal="left" vertical="center"/>
    </xf>
    <xf numFmtId="166" fontId="3" fillId="3" borderId="10" xfId="0" applyNumberFormat="1" applyFont="1" applyFill="1" applyBorder="1" applyAlignment="1">
      <alignment horizontal="left" vertical="center"/>
    </xf>
    <xf numFmtId="166" fontId="4" fillId="0" borderId="11" xfId="0" applyNumberFormat="1" applyFont="1" applyBorder="1" applyAlignment="1">
      <alignment vertical="center"/>
    </xf>
    <xf numFmtId="166" fontId="4" fillId="0" borderId="6" xfId="0" applyNumberFormat="1" applyFont="1" applyBorder="1" applyAlignment="1">
      <alignment vertical="center"/>
    </xf>
    <xf numFmtId="166" fontId="4" fillId="0" borderId="7" xfId="0" applyNumberFormat="1" applyFont="1" applyBorder="1" applyAlignment="1">
      <alignment vertical="center"/>
    </xf>
    <xf numFmtId="0" fontId="3" fillId="5" borderId="10" xfId="0" applyFont="1" applyFill="1" applyBorder="1" applyAlignment="1">
      <alignment horizontal="left" vertical="center"/>
    </xf>
    <xf numFmtId="0" fontId="3" fillId="0" borderId="28" xfId="0" applyFont="1" applyBorder="1" applyAlignment="1">
      <alignment vertical="center"/>
    </xf>
    <xf numFmtId="0" fontId="3" fillId="3" borderId="29" xfId="0" applyFont="1" applyFill="1" applyBorder="1" applyAlignment="1">
      <alignment horizontal="left" vertical="center"/>
    </xf>
    <xf numFmtId="0" fontId="3" fillId="5" borderId="30" xfId="0" applyFont="1" applyFill="1" applyBorder="1" applyAlignment="1">
      <alignment vertical="center"/>
    </xf>
    <xf numFmtId="164" fontId="3" fillId="3" borderId="30" xfId="0" applyNumberFormat="1" applyFont="1" applyFill="1" applyBorder="1" applyAlignment="1">
      <alignment vertical="center"/>
    </xf>
    <xf numFmtId="0" fontId="9" fillId="0" borderId="10" xfId="0" applyFont="1" applyBorder="1" applyAlignment="1">
      <alignment vertical="center"/>
    </xf>
    <xf numFmtId="0" fontId="6" fillId="0" borderId="14" xfId="0" applyFont="1" applyBorder="1" applyAlignment="1">
      <alignment vertical="center"/>
    </xf>
    <xf numFmtId="0" fontId="10" fillId="0" borderId="0" xfId="0" applyFont="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xf>
    <xf numFmtId="0" fontId="9" fillId="0" borderId="0" xfId="0" applyFont="1" applyAlignment="1">
      <alignment vertical="center"/>
    </xf>
    <xf numFmtId="164" fontId="3" fillId="7" borderId="0" xfId="0" applyNumberFormat="1" applyFont="1" applyFill="1" applyAlignment="1">
      <alignment horizontal="right" vertical="center"/>
    </xf>
    <xf numFmtId="0" fontId="8" fillId="7" borderId="0" xfId="0" applyFont="1" applyFill="1" applyAlignment="1">
      <alignment vertical="center"/>
    </xf>
    <xf numFmtId="164" fontId="3" fillId="7" borderId="0" xfId="0" applyNumberFormat="1" applyFont="1" applyFill="1" applyAlignment="1">
      <alignment vertical="center"/>
    </xf>
    <xf numFmtId="0" fontId="14" fillId="0" borderId="0" xfId="0" applyFont="1" applyAlignment="1">
      <alignment vertical="center" wrapText="1"/>
    </xf>
    <xf numFmtId="0" fontId="15" fillId="0" borderId="6" xfId="0" applyFont="1" applyBorder="1" applyAlignment="1">
      <alignment horizontal="center" vertical="center"/>
    </xf>
    <xf numFmtId="0" fontId="15" fillId="0" borderId="6" xfId="0" applyFont="1" applyBorder="1" applyAlignment="1">
      <alignment vertical="center"/>
    </xf>
    <xf numFmtId="0" fontId="9" fillId="0" borderId="6" xfId="0" applyFont="1" applyBorder="1" applyAlignment="1">
      <alignment vertical="center"/>
    </xf>
    <xf numFmtId="0" fontId="15" fillId="0" borderId="15" xfId="0" applyFont="1" applyBorder="1" applyAlignment="1">
      <alignment horizontal="center" vertical="center"/>
    </xf>
    <xf numFmtId="0" fontId="15" fillId="0" borderId="15" xfId="0" applyFont="1" applyBorder="1" applyAlignment="1">
      <alignment vertical="center"/>
    </xf>
    <xf numFmtId="0" fontId="9" fillId="0" borderId="15" xfId="0" applyFont="1" applyBorder="1" applyAlignment="1">
      <alignment vertical="center"/>
    </xf>
    <xf numFmtId="0" fontId="8" fillId="0" borderId="0" xfId="0" applyFont="1" applyAlignment="1">
      <alignment vertical="center"/>
    </xf>
    <xf numFmtId="0" fontId="16" fillId="0" borderId="0" xfId="0" applyFont="1" applyAlignment="1">
      <alignment horizontal="center" vertical="top" wrapText="1"/>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horizontal="center" vertical="center" wrapText="1"/>
    </xf>
    <xf numFmtId="0" fontId="20" fillId="0" borderId="6" xfId="0" applyFont="1" applyBorder="1" applyAlignment="1">
      <alignment horizontal="center" vertical="center" shrinkToFit="1"/>
    </xf>
    <xf numFmtId="0" fontId="9" fillId="0" borderId="31" xfId="0" applyFont="1" applyBorder="1" applyAlignment="1">
      <alignment vertical="center"/>
    </xf>
    <xf numFmtId="0" fontId="9" fillId="0" borderId="29" xfId="0" applyFont="1" applyBorder="1" applyAlignment="1">
      <alignment horizontal="center" vertical="center"/>
    </xf>
    <xf numFmtId="0" fontId="9" fillId="0" borderId="16" xfId="0" applyFont="1" applyBorder="1" applyAlignment="1">
      <alignment vertical="center"/>
    </xf>
    <xf numFmtId="0" fontId="9" fillId="0" borderId="8" xfId="0" applyFont="1" applyBorder="1" applyAlignment="1">
      <alignment horizontal="center" vertical="center"/>
    </xf>
    <xf numFmtId="0" fontId="9" fillId="0" borderId="32" xfId="0" applyFont="1" applyBorder="1" applyAlignment="1">
      <alignment vertical="center"/>
    </xf>
    <xf numFmtId="0" fontId="9" fillId="0" borderId="8" xfId="0" applyFont="1" applyBorder="1" applyAlignment="1">
      <alignment vertical="center"/>
    </xf>
    <xf numFmtId="0" fontId="9" fillId="0" borderId="5" xfId="0" applyFont="1" applyBorder="1" applyAlignment="1">
      <alignment vertical="center"/>
    </xf>
    <xf numFmtId="0" fontId="9" fillId="0" borderId="7" xfId="0" applyFont="1" applyBorder="1" applyAlignment="1">
      <alignment vertical="center"/>
    </xf>
    <xf numFmtId="0" fontId="21" fillId="0" borderId="0" xfId="0" applyFont="1" applyAlignment="1">
      <alignment vertical="center"/>
    </xf>
    <xf numFmtId="0" fontId="20" fillId="0" borderId="15" xfId="0" applyFont="1" applyBorder="1" applyAlignment="1">
      <alignment horizontal="left" vertical="center"/>
    </xf>
    <xf numFmtId="0" fontId="9" fillId="0" borderId="5" xfId="0" applyFont="1" applyBorder="1" applyAlignment="1">
      <alignment horizontal="center" vertical="center"/>
    </xf>
    <xf numFmtId="0" fontId="20" fillId="0" borderId="6" xfId="0" applyFont="1" applyBorder="1" applyAlignment="1">
      <alignment horizontal="center" vertical="center"/>
    </xf>
    <xf numFmtId="0" fontId="20" fillId="0" borderId="6" xfId="0" applyFont="1" applyBorder="1" applyAlignment="1">
      <alignment vertical="center"/>
    </xf>
    <xf numFmtId="0" fontId="9" fillId="0" borderId="29" xfId="0" applyFont="1" applyBorder="1" applyAlignment="1">
      <alignment vertical="center"/>
    </xf>
    <xf numFmtId="0" fontId="22" fillId="0" borderId="15" xfId="0" applyFont="1" applyBorder="1" applyAlignment="1">
      <alignment vertical="center"/>
    </xf>
    <xf numFmtId="0" fontId="6" fillId="0" borderId="29" xfId="0" applyFont="1" applyBorder="1" applyAlignment="1">
      <alignment vertical="center"/>
    </xf>
    <xf numFmtId="0" fontId="6" fillId="0" borderId="15" xfId="0" applyFont="1" applyBorder="1" applyAlignment="1">
      <alignment vertical="center"/>
    </xf>
    <xf numFmtId="0" fontId="6" fillId="0" borderId="8" xfId="0" applyFont="1" applyBorder="1" applyAlignment="1">
      <alignment vertical="center"/>
    </xf>
    <xf numFmtId="0" fontId="6" fillId="0" borderId="0" xfId="0" applyFont="1" applyAlignment="1">
      <alignment horizontal="center" vertical="center"/>
    </xf>
    <xf numFmtId="0" fontId="6" fillId="0" borderId="5" xfId="0" applyFont="1" applyBorder="1" applyAlignment="1">
      <alignment vertical="center"/>
    </xf>
    <xf numFmtId="0" fontId="6" fillId="0" borderId="6" xfId="0" applyFont="1" applyBorder="1" applyAlignment="1">
      <alignment vertical="center"/>
    </xf>
    <xf numFmtId="0" fontId="9" fillId="0" borderId="0" xfId="0" applyFont="1" applyAlignment="1">
      <alignment horizontal="center"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23" fillId="0" borderId="0" xfId="0" applyFont="1" applyAlignment="1">
      <alignment vertical="center"/>
    </xf>
    <xf numFmtId="0" fontId="6" fillId="0" borderId="32" xfId="0" applyFont="1" applyBorder="1" applyAlignment="1">
      <alignment vertical="center"/>
    </xf>
    <xf numFmtId="0" fontId="24" fillId="0" borderId="0" xfId="0" applyFont="1" applyAlignment="1">
      <alignment vertical="center"/>
    </xf>
    <xf numFmtId="0" fontId="6" fillId="0" borderId="7" xfId="0" applyFont="1" applyBorder="1" applyAlignment="1">
      <alignment vertical="center"/>
    </xf>
    <xf numFmtId="0" fontId="22" fillId="0" borderId="0" xfId="0" applyFont="1" applyAlignment="1">
      <alignment vertical="center"/>
    </xf>
    <xf numFmtId="0" fontId="9" fillId="0" borderId="33" xfId="0" applyFont="1" applyBorder="1" applyAlignment="1">
      <alignment vertical="center"/>
    </xf>
    <xf numFmtId="0" fontId="9" fillId="0" borderId="34" xfId="0" applyFont="1" applyBorder="1" applyAlignment="1">
      <alignment vertical="center"/>
    </xf>
    <xf numFmtId="0" fontId="9" fillId="0" borderId="0" xfId="0" applyFont="1"/>
    <xf numFmtId="0" fontId="9" fillId="0" borderId="6" xfId="0" applyFont="1" applyBorder="1" applyAlignment="1">
      <alignment horizontal="center"/>
    </xf>
    <xf numFmtId="0" fontId="9" fillId="0" borderId="6" xfId="0" applyFont="1" applyBorder="1"/>
    <xf numFmtId="0" fontId="9" fillId="0" borderId="31" xfId="0" applyFont="1" applyBorder="1" applyAlignment="1">
      <alignment horizontal="left"/>
    </xf>
    <xf numFmtId="0" fontId="4" fillId="8" borderId="31" xfId="0" applyFont="1" applyFill="1" applyBorder="1" applyAlignment="1">
      <alignment vertical="center"/>
    </xf>
    <xf numFmtId="0" fontId="8" fillId="0" borderId="31" xfId="0" applyFont="1" applyBorder="1" applyAlignment="1">
      <alignment horizontal="right"/>
    </xf>
    <xf numFmtId="0" fontId="9" fillId="0" borderId="31" xfId="0" applyFont="1" applyBorder="1"/>
    <xf numFmtId="0" fontId="13" fillId="0" borderId="0" xfId="0" applyFont="1"/>
    <xf numFmtId="0" fontId="9" fillId="0" borderId="11" xfId="0" applyFont="1" applyBorder="1" applyAlignment="1">
      <alignment horizontal="center"/>
    </xf>
    <xf numFmtId="0" fontId="6" fillId="0" borderId="0" xfId="0" applyFont="1"/>
    <xf numFmtId="0" fontId="9" fillId="0" borderId="0" xfId="0" applyFont="1" applyAlignment="1">
      <alignment horizontal="right"/>
    </xf>
    <xf numFmtId="0" fontId="3" fillId="0" borderId="6" xfId="0" applyFont="1" applyBorder="1" applyAlignment="1">
      <alignment horizontal="left" shrinkToFit="1"/>
    </xf>
    <xf numFmtId="0" fontId="3" fillId="0" borderId="0" xfId="0" applyFont="1" applyAlignment="1">
      <alignment shrinkToFit="1"/>
    </xf>
    <xf numFmtId="0" fontId="9" fillId="0" borderId="11" xfId="0" applyFont="1" applyBorder="1"/>
    <xf numFmtId="0" fontId="9" fillId="0" borderId="11" xfId="0" applyFont="1" applyBorder="1" applyAlignment="1">
      <alignment horizontal="left"/>
    </xf>
    <xf numFmtId="0" fontId="9" fillId="0" borderId="26" xfId="0" applyFont="1" applyBorder="1" applyAlignment="1">
      <alignment horizontal="left"/>
    </xf>
    <xf numFmtId="0" fontId="9" fillId="0" borderId="35" xfId="0" applyFont="1" applyBorder="1" applyAlignment="1">
      <alignment horizontal="left"/>
    </xf>
    <xf numFmtId="0" fontId="9" fillId="0" borderId="0" xfId="0" applyFont="1" applyAlignment="1">
      <alignment horizontal="center"/>
    </xf>
    <xf numFmtId="0" fontId="4" fillId="0" borderId="0" xfId="0" applyFont="1" applyAlignment="1">
      <alignment vertical="center"/>
    </xf>
    <xf numFmtId="0" fontId="25" fillId="0" borderId="0" xfId="0" applyFont="1" applyAlignment="1">
      <alignment horizontal="center"/>
    </xf>
    <xf numFmtId="0" fontId="8" fillId="0" borderId="0" xfId="0" applyFont="1" applyAlignment="1">
      <alignment horizontal="right"/>
    </xf>
    <xf numFmtId="164" fontId="9" fillId="0" borderId="0" xfId="0" applyNumberFormat="1" applyFont="1" applyAlignment="1">
      <alignment horizontal="right" vertical="center"/>
    </xf>
    <xf numFmtId="164" fontId="9" fillId="0" borderId="0" xfId="0" applyNumberFormat="1" applyFont="1" applyAlignment="1">
      <alignment vertical="center"/>
    </xf>
    <xf numFmtId="0" fontId="4" fillId="0" borderId="6" xfId="0" applyFont="1" applyBorder="1"/>
    <xf numFmtId="0" fontId="1" fillId="0" borderId="0" xfId="0" applyFont="1"/>
    <xf numFmtId="0" fontId="9" fillId="0" borderId="15" xfId="0" applyFont="1" applyBorder="1" applyAlignment="1">
      <alignment horizontal="left" vertical="center"/>
    </xf>
    <xf numFmtId="0" fontId="9" fillId="0" borderId="8" xfId="0" applyFont="1" applyBorder="1" applyAlignment="1">
      <alignment horizontal="left" vertical="top" wrapText="1"/>
    </xf>
    <xf numFmtId="0" fontId="9" fillId="0" borderId="36" xfId="0" applyFont="1" applyBorder="1" applyAlignment="1">
      <alignment horizontal="left"/>
    </xf>
    <xf numFmtId="0" fontId="9" fillId="0" borderId="31" xfId="0" applyFont="1" applyBorder="1" applyAlignment="1">
      <alignment horizontal="center"/>
    </xf>
    <xf numFmtId="0" fontId="1" fillId="0" borderId="31" xfId="0" applyFont="1" applyBorder="1" applyAlignment="1">
      <alignment vertical="center"/>
    </xf>
    <xf numFmtId="0" fontId="9" fillId="0" borderId="37" xfId="0" applyFont="1" applyBorder="1"/>
    <xf numFmtId="0" fontId="9" fillId="0" borderId="35" xfId="0" applyFont="1" applyBorder="1" applyAlignment="1">
      <alignment horizontal="center"/>
    </xf>
    <xf numFmtId="0" fontId="9" fillId="0" borderId="31" xfId="0" applyFont="1" applyBorder="1" applyAlignment="1">
      <alignment horizontal="right"/>
    </xf>
    <xf numFmtId="0" fontId="1" fillId="0" borderId="31" xfId="0" applyFont="1" applyBorder="1"/>
    <xf numFmtId="0" fontId="25" fillId="7" borderId="6" xfId="0" applyFont="1" applyFill="1" applyBorder="1" applyAlignment="1">
      <alignment horizontal="center" vertical="center"/>
    </xf>
    <xf numFmtId="0" fontId="25" fillId="0" borderId="6" xfId="0" applyFont="1" applyBorder="1" applyAlignment="1">
      <alignment vertical="center"/>
    </xf>
    <xf numFmtId="0" fontId="25" fillId="0" borderId="6" xfId="0" applyFont="1" applyBorder="1" applyAlignment="1">
      <alignment horizontal="center" vertical="center"/>
    </xf>
    <xf numFmtId="0" fontId="26" fillId="0" borderId="0" xfId="0" applyFont="1" applyAlignment="1">
      <alignment horizontal="left" vertical="center"/>
    </xf>
    <xf numFmtId="0" fontId="9" fillId="0" borderId="29"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vertical="center" wrapText="1"/>
    </xf>
    <xf numFmtId="0" fontId="9" fillId="0" borderId="8" xfId="0" applyFont="1" applyBorder="1" applyAlignment="1">
      <alignment horizontal="left" vertical="center" wrapText="1"/>
    </xf>
    <xf numFmtId="0" fontId="9" fillId="0" borderId="8" xfId="0" applyFont="1" applyBorder="1" applyAlignment="1">
      <alignment horizontal="left" vertical="center"/>
    </xf>
    <xf numFmtId="0" fontId="9" fillId="0" borderId="0" xfId="0" applyFont="1" applyAlignment="1">
      <alignment horizontal="left" vertical="center"/>
    </xf>
    <xf numFmtId="0" fontId="27" fillId="0" borderId="0" xfId="0" applyFont="1" applyAlignment="1">
      <alignment vertical="center"/>
    </xf>
    <xf numFmtId="0" fontId="28"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29" fillId="0" borderId="0" xfId="0" applyFont="1" applyAlignment="1">
      <alignment horizontal="center" vertical="center" shrinkToFit="1"/>
    </xf>
    <xf numFmtId="0" fontId="30" fillId="0" borderId="0" xfId="0" applyFont="1" applyAlignment="1">
      <alignment horizontal="center" vertical="center"/>
    </xf>
    <xf numFmtId="0" fontId="31" fillId="0" borderId="0" xfId="0" applyFont="1" applyAlignment="1">
      <alignment horizontal="center" vertical="center"/>
    </xf>
    <xf numFmtId="0" fontId="4" fillId="0" borderId="0" xfId="0" applyFont="1" applyAlignment="1">
      <alignment horizontal="center" vertical="center"/>
    </xf>
    <xf numFmtId="0" fontId="32" fillId="0" borderId="0" xfId="0" applyFont="1" applyAlignment="1">
      <alignment horizontal="center" vertical="center"/>
    </xf>
    <xf numFmtId="0" fontId="4" fillId="0" borderId="38" xfId="0" applyFont="1" applyBorder="1" applyAlignment="1">
      <alignment vertical="center"/>
    </xf>
    <xf numFmtId="0" fontId="15" fillId="0" borderId="38" xfId="0" applyFont="1" applyBorder="1" applyAlignment="1">
      <alignment horizontal="left" vertical="center" shrinkToFit="1"/>
    </xf>
    <xf numFmtId="0" fontId="15" fillId="0" borderId="38" xfId="0" applyFont="1" applyBorder="1" applyAlignment="1">
      <alignment vertical="center" shrinkToFit="1"/>
    </xf>
    <xf numFmtId="0" fontId="15" fillId="0" borderId="38" xfId="0" applyFont="1" applyBorder="1" applyAlignment="1">
      <alignment vertical="center"/>
    </xf>
    <xf numFmtId="0" fontId="4" fillId="0" borderId="38" xfId="0" applyFont="1" applyBorder="1" applyAlignment="1">
      <alignment horizontal="left" vertical="center"/>
    </xf>
    <xf numFmtId="0" fontId="4" fillId="0" borderId="0" xfId="0" applyFont="1" applyAlignment="1">
      <alignment horizontal="left" vertical="center" shrinkToFit="1"/>
    </xf>
    <xf numFmtId="164" fontId="4" fillId="0" borderId="0" xfId="0" applyNumberFormat="1" applyFont="1" applyAlignment="1">
      <alignment horizontal="right" vertical="center" shrinkToFit="1"/>
    </xf>
    <xf numFmtId="0" fontId="4" fillId="0" borderId="39" xfId="0" applyFont="1" applyBorder="1" applyAlignment="1">
      <alignment vertical="center"/>
    </xf>
    <xf numFmtId="0" fontId="15" fillId="0" borderId="39" xfId="0" applyFont="1" applyBorder="1" applyAlignment="1">
      <alignment horizontal="left" vertical="center" shrinkToFit="1"/>
    </xf>
    <xf numFmtId="0" fontId="15" fillId="0" borderId="0" xfId="0" applyFont="1" applyAlignment="1">
      <alignment vertical="center"/>
    </xf>
    <xf numFmtId="0" fontId="4" fillId="0" borderId="40" xfId="0" applyFont="1" applyBorder="1" applyAlignment="1">
      <alignment vertical="center"/>
    </xf>
    <xf numFmtId="0" fontId="15" fillId="0" borderId="39" xfId="0" applyFont="1" applyBorder="1" applyAlignment="1">
      <alignment horizontal="left" vertical="center"/>
    </xf>
    <xf numFmtId="0" fontId="33" fillId="0" borderId="38" xfId="0" applyFont="1" applyBorder="1" applyAlignment="1">
      <alignment vertical="center"/>
    </xf>
    <xf numFmtId="0" fontId="33" fillId="0" borderId="0" xfId="0" applyFont="1" applyAlignment="1">
      <alignment vertical="center"/>
    </xf>
    <xf numFmtId="0" fontId="15" fillId="0" borderId="39" xfId="0" applyFont="1" applyBorder="1" applyAlignment="1">
      <alignment vertical="center" shrinkToFit="1"/>
    </xf>
    <xf numFmtId="0" fontId="33" fillId="0" borderId="40" xfId="0" applyFont="1" applyBorder="1" applyAlignment="1">
      <alignment vertical="center"/>
    </xf>
    <xf numFmtId="0" fontId="15" fillId="0" borderId="39" xfId="0" applyFont="1" applyBorder="1" applyAlignment="1">
      <alignment vertical="center"/>
    </xf>
    <xf numFmtId="0" fontId="20" fillId="0" borderId="29" xfId="0" applyFont="1" applyBorder="1" applyAlignment="1">
      <alignment horizontal="center" vertical="center"/>
    </xf>
    <xf numFmtId="0" fontId="4" fillId="0" borderId="15" xfId="0" applyFont="1" applyBorder="1" applyAlignment="1">
      <alignment horizontal="center" vertical="center" shrinkToFit="1"/>
    </xf>
    <xf numFmtId="0" fontId="4" fillId="0" borderId="41" xfId="0" applyFont="1" applyBorder="1" applyAlignment="1">
      <alignment vertical="center"/>
    </xf>
    <xf numFmtId="0" fontId="4" fillId="0" borderId="42" xfId="0" applyFont="1" applyBorder="1" applyAlignment="1">
      <alignment vertical="center"/>
    </xf>
    <xf numFmtId="0" fontId="20" fillId="0" borderId="43" xfId="0" applyFont="1" applyBorder="1" applyAlignment="1">
      <alignment vertical="center"/>
    </xf>
    <xf numFmtId="0" fontId="20" fillId="0" borderId="41" xfId="0" applyFont="1" applyBorder="1" applyAlignment="1">
      <alignment vertical="center"/>
    </xf>
    <xf numFmtId="0" fontId="20" fillId="0" borderId="42" xfId="0" applyFont="1" applyBorder="1" applyAlignment="1">
      <alignment vertical="center"/>
    </xf>
    <xf numFmtId="0" fontId="20" fillId="0" borderId="0" xfId="0" applyFont="1" applyAlignment="1">
      <alignment vertical="center"/>
    </xf>
    <xf numFmtId="0" fontId="4" fillId="0" borderId="5" xfId="0" applyFont="1" applyBorder="1" applyAlignment="1">
      <alignment vertical="center"/>
    </xf>
    <xf numFmtId="0" fontId="20" fillId="0" borderId="5" xfId="0" applyFont="1" applyBorder="1" applyAlignment="1">
      <alignment horizontal="center" vertical="center"/>
    </xf>
    <xf numFmtId="0" fontId="4" fillId="0" borderId="31" xfId="0" applyFont="1" applyBorder="1" applyAlignment="1">
      <alignment vertical="center"/>
    </xf>
    <xf numFmtId="0" fontId="4" fillId="0" borderId="44" xfId="0" applyFont="1" applyBorder="1" applyAlignment="1">
      <alignment vertical="center"/>
    </xf>
    <xf numFmtId="0" fontId="20" fillId="0" borderId="45" xfId="0" applyFont="1" applyBorder="1" applyAlignment="1">
      <alignment horizontal="center" vertical="center"/>
    </xf>
    <xf numFmtId="0" fontId="20" fillId="0" borderId="31" xfId="0" applyFont="1" applyBorder="1" applyAlignment="1">
      <alignment horizontal="center" vertical="center"/>
    </xf>
    <xf numFmtId="0" fontId="20" fillId="0" borderId="44" xfId="0" applyFont="1" applyBorder="1" applyAlignment="1">
      <alignment horizontal="center" vertical="center"/>
    </xf>
    <xf numFmtId="0" fontId="20" fillId="0" borderId="0" xfId="0" applyFont="1" applyAlignment="1">
      <alignment horizontal="center" vertical="center"/>
    </xf>
    <xf numFmtId="0" fontId="4" fillId="0" borderId="32"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20" fillId="0" borderId="15" xfId="0" applyFont="1" applyBorder="1" applyAlignment="1">
      <alignment horizontal="center" vertical="center"/>
    </xf>
    <xf numFmtId="0" fontId="20" fillId="0" borderId="15" xfId="0" applyFont="1" applyBorder="1" applyAlignment="1">
      <alignment horizontal="right" vertical="center"/>
    </xf>
    <xf numFmtId="0" fontId="20" fillId="0" borderId="16" xfId="0" applyFont="1" applyBorder="1" applyAlignment="1">
      <alignment horizontal="center" vertical="center"/>
    </xf>
    <xf numFmtId="0" fontId="20" fillId="0" borderId="6" xfId="0" applyFont="1" applyBorder="1" applyAlignment="1">
      <alignment horizontal="right" vertical="center"/>
    </xf>
    <xf numFmtId="0" fontId="20" fillId="0" borderId="46" xfId="0" applyFont="1" applyBorder="1" applyAlignment="1">
      <alignment horizontal="center" vertical="center"/>
    </xf>
    <xf numFmtId="0" fontId="4" fillId="0" borderId="15" xfId="0" applyFont="1" applyBorder="1" applyAlignment="1">
      <alignment horizontal="right" vertical="center"/>
    </xf>
    <xf numFmtId="0" fontId="20" fillId="0" borderId="47" xfId="0" applyFont="1" applyBorder="1" applyAlignment="1">
      <alignment horizontal="center" vertical="center"/>
    </xf>
    <xf numFmtId="0" fontId="4" fillId="0" borderId="48" xfId="0" applyFont="1" applyBorder="1" applyAlignment="1">
      <alignment vertical="center"/>
    </xf>
    <xf numFmtId="0" fontId="24" fillId="0" borderId="49" xfId="0" applyFont="1" applyBorder="1" applyAlignment="1">
      <alignment horizontal="center" vertical="center"/>
    </xf>
    <xf numFmtId="0" fontId="24" fillId="0" borderId="50" xfId="0" applyFont="1" applyBorder="1" applyAlignment="1">
      <alignment horizontal="center" vertical="center"/>
    </xf>
    <xf numFmtId="0" fontId="24" fillId="0" borderId="51" xfId="0" applyFont="1" applyBorder="1" applyAlignment="1">
      <alignment horizontal="center" vertical="center"/>
    </xf>
    <xf numFmtId="0" fontId="24" fillId="0" borderId="0" xfId="0" applyFont="1" applyAlignment="1">
      <alignment horizontal="center" vertical="center"/>
    </xf>
    <xf numFmtId="0" fontId="4" fillId="0" borderId="4" xfId="0" applyFont="1" applyBorder="1" applyAlignment="1">
      <alignment vertical="center"/>
    </xf>
    <xf numFmtId="0" fontId="4" fillId="0" borderId="52" xfId="0" applyFont="1" applyBorder="1" applyAlignment="1">
      <alignment vertical="center"/>
    </xf>
    <xf numFmtId="0" fontId="4" fillId="0" borderId="53" xfId="0" applyFont="1" applyBorder="1" applyAlignment="1">
      <alignment vertical="center"/>
    </xf>
    <xf numFmtId="0" fontId="4" fillId="0" borderId="54" xfId="0" applyFont="1" applyBorder="1" applyAlignment="1">
      <alignment vertical="center"/>
    </xf>
    <xf numFmtId="0" fontId="20" fillId="0" borderId="9" xfId="0" applyFont="1" applyBorder="1" applyAlignment="1">
      <alignment horizontal="center" vertical="center"/>
    </xf>
    <xf numFmtId="0" fontId="4" fillId="0" borderId="55" xfId="0" applyFont="1" applyBorder="1" applyAlignment="1">
      <alignment vertical="center"/>
    </xf>
    <xf numFmtId="0" fontId="4" fillId="0" borderId="56" xfId="0" applyFont="1" applyBorder="1" applyAlignment="1">
      <alignment horizontal="center" vertical="center"/>
    </xf>
    <xf numFmtId="0" fontId="4" fillId="0" borderId="57" xfId="0" applyFont="1" applyBorder="1" applyAlignment="1">
      <alignment horizontal="center" vertical="center"/>
    </xf>
    <xf numFmtId="0" fontId="4" fillId="0" borderId="58" xfId="0" applyFont="1" applyBorder="1" applyAlignment="1">
      <alignment horizontal="center" vertical="center"/>
    </xf>
    <xf numFmtId="0" fontId="20" fillId="0" borderId="28" xfId="0" applyFont="1" applyBorder="1" applyAlignment="1">
      <alignment horizontal="center" vertical="center"/>
    </xf>
    <xf numFmtId="0" fontId="20" fillId="0" borderId="59" xfId="0" applyFont="1" applyBorder="1" applyAlignment="1">
      <alignment horizontal="right" vertical="center"/>
    </xf>
    <xf numFmtId="0" fontId="4" fillId="0" borderId="59" xfId="0" applyFont="1" applyBorder="1" applyAlignment="1">
      <alignment vertical="center"/>
    </xf>
    <xf numFmtId="0" fontId="20" fillId="0" borderId="60" xfId="0" applyFont="1" applyBorder="1" applyAlignment="1">
      <alignment horizontal="center" vertical="center"/>
    </xf>
    <xf numFmtId="0" fontId="4" fillId="0" borderId="59" xfId="0" applyFont="1" applyBorder="1" applyAlignment="1">
      <alignment horizontal="right" vertical="center"/>
    </xf>
    <xf numFmtId="0" fontId="4" fillId="0" borderId="61" xfId="0" applyFont="1" applyBorder="1" applyAlignment="1">
      <alignment vertical="center"/>
    </xf>
    <xf numFmtId="0" fontId="24" fillId="0" borderId="62" xfId="0" applyFont="1" applyBorder="1" applyAlignment="1">
      <alignment horizontal="center" vertical="center"/>
    </xf>
    <xf numFmtId="0" fontId="24" fillId="0" borderId="63" xfId="0" applyFont="1" applyBorder="1" applyAlignment="1">
      <alignment horizontal="center" vertical="center"/>
    </xf>
    <xf numFmtId="0" fontId="24" fillId="0" borderId="64"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center" vertical="center"/>
    </xf>
    <xf numFmtId="0" fontId="4" fillId="0" borderId="64" xfId="0" applyFont="1" applyBorder="1" applyAlignment="1">
      <alignment horizontal="center" vertical="center"/>
    </xf>
    <xf numFmtId="2" fontId="4" fillId="0" borderId="59" xfId="0" applyNumberFormat="1" applyFont="1" applyBorder="1" applyAlignment="1">
      <alignment horizontal="right" vertical="center"/>
    </xf>
    <xf numFmtId="2" fontId="4" fillId="0" borderId="61" xfId="0" applyNumberFormat="1" applyFont="1" applyBorder="1" applyAlignment="1">
      <alignment horizontal="right" vertical="center"/>
    </xf>
    <xf numFmtId="0" fontId="20" fillId="0" borderId="65" xfId="0" applyFont="1" applyBorder="1" applyAlignment="1">
      <alignment horizontal="center" vertical="center"/>
    </xf>
    <xf numFmtId="0" fontId="20" fillId="0" borderId="62" xfId="0" applyFont="1" applyBorder="1" applyAlignment="1">
      <alignment horizontal="center" vertical="center"/>
    </xf>
    <xf numFmtId="0" fontId="20" fillId="0" borderId="63" xfId="0" applyFont="1" applyBorder="1" applyAlignment="1">
      <alignment horizontal="center" vertical="center"/>
    </xf>
    <xf numFmtId="0" fontId="20" fillId="0" borderId="64" xfId="0" applyFont="1" applyBorder="1" applyAlignment="1">
      <alignment horizontal="center" vertical="center"/>
    </xf>
    <xf numFmtId="2" fontId="4" fillId="0" borderId="52" xfId="0" applyNumberFormat="1" applyFont="1" applyBorder="1" applyAlignment="1">
      <alignment horizontal="right" vertical="center"/>
    </xf>
    <xf numFmtId="2" fontId="4" fillId="0" borderId="54" xfId="0" applyNumberFormat="1" applyFont="1" applyBorder="1" applyAlignment="1">
      <alignment horizontal="right" vertical="center"/>
    </xf>
    <xf numFmtId="0" fontId="4" fillId="0" borderId="66" xfId="0" applyFont="1" applyBorder="1" applyAlignment="1">
      <alignment vertical="center"/>
    </xf>
    <xf numFmtId="0" fontId="20" fillId="0" borderId="14" xfId="0" applyFont="1" applyBorder="1" applyAlignment="1">
      <alignment horizontal="center" vertical="center"/>
    </xf>
    <xf numFmtId="0" fontId="4" fillId="0" borderId="67" xfId="0" applyFont="1" applyBorder="1" applyAlignment="1">
      <alignment vertical="center"/>
    </xf>
    <xf numFmtId="0" fontId="20" fillId="0" borderId="68" xfId="0" applyFont="1" applyBorder="1" applyAlignment="1">
      <alignment horizontal="center" vertical="center"/>
    </xf>
    <xf numFmtId="0" fontId="20" fillId="0" borderId="69" xfId="0" applyFont="1" applyBorder="1" applyAlignment="1">
      <alignment horizontal="center" vertical="center"/>
    </xf>
    <xf numFmtId="0" fontId="20" fillId="0" borderId="70" xfId="0" applyFont="1" applyBorder="1" applyAlignment="1">
      <alignment horizontal="center" vertical="center"/>
    </xf>
    <xf numFmtId="0" fontId="20" fillId="0" borderId="47" xfId="0" applyFont="1" applyBorder="1" applyAlignment="1">
      <alignment horizontal="left" vertical="center"/>
    </xf>
    <xf numFmtId="0" fontId="4" fillId="0" borderId="71" xfId="0" applyFont="1" applyBorder="1" applyAlignment="1">
      <alignment vertical="center"/>
    </xf>
    <xf numFmtId="38" fontId="15" fillId="0" borderId="29" xfId="0" applyNumberFormat="1" applyFont="1" applyBorder="1" applyAlignment="1">
      <alignment vertical="center"/>
    </xf>
    <xf numFmtId="0" fontId="15" fillId="0" borderId="15" xfId="0" applyFont="1" applyBorder="1" applyAlignment="1">
      <alignment horizontal="right" vertical="center"/>
    </xf>
    <xf numFmtId="38" fontId="15" fillId="0" borderId="48" xfId="0" applyNumberFormat="1" applyFont="1" applyBorder="1" applyAlignment="1">
      <alignment horizontal="right" vertical="center"/>
    </xf>
    <xf numFmtId="0" fontId="15" fillId="0" borderId="16" xfId="0" applyFont="1" applyBorder="1" applyAlignment="1">
      <alignment horizontal="center" vertical="center"/>
    </xf>
    <xf numFmtId="0" fontId="20" fillId="0" borderId="9" xfId="0" applyFont="1" applyBorder="1" applyAlignment="1">
      <alignment horizontal="left" vertical="center"/>
    </xf>
    <xf numFmtId="0" fontId="4" fillId="0" borderId="72" xfId="0" applyFont="1" applyBorder="1" applyAlignment="1">
      <alignment vertical="center"/>
    </xf>
    <xf numFmtId="0" fontId="15" fillId="0" borderId="9" xfId="0" applyFont="1" applyBorder="1" applyAlignment="1">
      <alignment vertical="center"/>
    </xf>
    <xf numFmtId="0" fontId="15" fillId="0" borderId="55" xfId="0" applyFont="1" applyBorder="1" applyAlignment="1">
      <alignment horizontal="right" vertical="center"/>
    </xf>
    <xf numFmtId="3" fontId="15" fillId="0" borderId="55" xfId="0" applyNumberFormat="1" applyFont="1" applyBorder="1" applyAlignment="1">
      <alignment horizontal="right" vertical="center"/>
    </xf>
    <xf numFmtId="0" fontId="15" fillId="0" borderId="72" xfId="0" applyFont="1" applyBorder="1" applyAlignment="1">
      <alignment horizontal="center" vertical="center"/>
    </xf>
    <xf numFmtId="0" fontId="20" fillId="0" borderId="55" xfId="0" applyFont="1" applyBorder="1" applyAlignment="1">
      <alignment horizontal="center" vertical="center"/>
    </xf>
    <xf numFmtId="0" fontId="20" fillId="0" borderId="72" xfId="0" applyFont="1" applyBorder="1" applyAlignment="1">
      <alignment horizontal="center" vertical="center"/>
    </xf>
    <xf numFmtId="0" fontId="20" fillId="0" borderId="14" xfId="0" applyFont="1" applyBorder="1" applyAlignment="1">
      <alignment horizontal="left" vertical="center"/>
    </xf>
    <xf numFmtId="0" fontId="4" fillId="0" borderId="73" xfId="0" applyFont="1" applyBorder="1" applyAlignment="1">
      <alignment vertical="center"/>
    </xf>
    <xf numFmtId="0" fontId="15" fillId="0" borderId="14" xfId="0" applyFont="1" applyBorder="1" applyAlignment="1">
      <alignment vertical="center"/>
    </xf>
    <xf numFmtId="0" fontId="15" fillId="0" borderId="67" xfId="0" applyFont="1" applyBorder="1" applyAlignment="1">
      <alignment horizontal="right" vertical="center"/>
    </xf>
    <xf numFmtId="3" fontId="15" fillId="0" borderId="67" xfId="0" applyNumberFormat="1" applyFont="1" applyBorder="1" applyAlignment="1">
      <alignment horizontal="right" vertical="center"/>
    </xf>
    <xf numFmtId="0" fontId="15" fillId="0" borderId="73" xfId="0" applyFont="1" applyBorder="1" applyAlignment="1">
      <alignment horizontal="center" vertical="center"/>
    </xf>
    <xf numFmtId="0" fontId="20" fillId="0" borderId="7" xfId="0" applyFont="1" applyBorder="1" applyAlignment="1">
      <alignment horizontal="center" vertical="center"/>
    </xf>
    <xf numFmtId="0" fontId="20" fillId="0" borderId="10" xfId="0" applyFont="1" applyBorder="1" applyAlignment="1">
      <alignment horizontal="center" vertical="center"/>
    </xf>
    <xf numFmtId="0" fontId="20" fillId="0" borderId="26" xfId="0" applyFont="1" applyBorder="1" applyAlignment="1">
      <alignment horizontal="center" vertical="center"/>
    </xf>
    <xf numFmtId="0" fontId="4" fillId="0" borderId="26" xfId="0" applyFont="1" applyBorder="1" applyAlignment="1">
      <alignment vertical="center"/>
    </xf>
    <xf numFmtId="0" fontId="20" fillId="0" borderId="74" xfId="0" applyFont="1" applyBorder="1" applyAlignment="1">
      <alignment horizontal="center" vertical="center"/>
    </xf>
    <xf numFmtId="0" fontId="4" fillId="0" borderId="74" xfId="0" applyFont="1" applyBorder="1" applyAlignment="1">
      <alignment vertical="center"/>
    </xf>
    <xf numFmtId="0" fontId="20" fillId="0" borderId="22" xfId="0" applyFont="1" applyBorder="1" applyAlignment="1">
      <alignment horizontal="center" vertical="center"/>
    </xf>
    <xf numFmtId="0" fontId="20" fillId="0" borderId="11" xfId="0" applyFont="1" applyBorder="1" applyAlignment="1">
      <alignment horizontal="center" vertical="center"/>
    </xf>
    <xf numFmtId="0" fontId="20" fillId="0" borderId="23" xfId="0" applyFont="1" applyBorder="1" applyAlignment="1">
      <alignment horizontal="center" vertical="center"/>
    </xf>
    <xf numFmtId="0" fontId="20" fillId="0" borderId="75" xfId="0" applyFont="1" applyBorder="1" applyAlignment="1">
      <alignment horizontal="center" vertical="center" textRotation="255"/>
    </xf>
    <xf numFmtId="0" fontId="20" fillId="0" borderId="4" xfId="0" applyFont="1" applyBorder="1" applyAlignment="1">
      <alignment horizontal="center" vertical="center"/>
    </xf>
    <xf numFmtId="0" fontId="20" fillId="0" borderId="52" xfId="0" applyFont="1" applyBorder="1" applyAlignment="1">
      <alignment horizontal="left" vertical="center"/>
    </xf>
    <xf numFmtId="3" fontId="15" fillId="0" borderId="4" xfId="0" applyNumberFormat="1" applyFont="1" applyBorder="1" applyAlignment="1">
      <alignment vertical="center"/>
    </xf>
    <xf numFmtId="0" fontId="15" fillId="0" borderId="0" xfId="0" applyFont="1" applyAlignment="1">
      <alignment horizontal="right" vertical="center"/>
    </xf>
    <xf numFmtId="38" fontId="15" fillId="0" borderId="52" xfId="0" applyNumberFormat="1" applyFont="1" applyBorder="1" applyAlignment="1">
      <alignment horizontal="right" vertical="center"/>
    </xf>
    <xf numFmtId="0" fontId="15" fillId="0" borderId="32" xfId="0" applyFont="1" applyBorder="1" applyAlignment="1">
      <alignment horizontal="center" vertical="center"/>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0" borderId="58" xfId="0" applyFont="1" applyBorder="1" applyAlignment="1">
      <alignment horizontal="center" vertical="center" shrinkToFit="1"/>
    </xf>
    <xf numFmtId="0" fontId="20" fillId="0" borderId="0" xfId="0" applyFont="1" applyAlignment="1">
      <alignment horizontal="center" vertical="center" shrinkToFit="1"/>
    </xf>
    <xf numFmtId="0" fontId="4" fillId="0" borderId="75" xfId="0" applyFont="1" applyBorder="1" applyAlignment="1">
      <alignment vertical="center"/>
    </xf>
    <xf numFmtId="0" fontId="20" fillId="0" borderId="55" xfId="0" applyFont="1" applyBorder="1" applyAlignment="1">
      <alignment horizontal="left" vertical="center"/>
    </xf>
    <xf numFmtId="3" fontId="15" fillId="0" borderId="9" xfId="0" applyNumberFormat="1" applyFont="1" applyBorder="1" applyAlignment="1">
      <alignment vertical="center"/>
    </xf>
    <xf numFmtId="0" fontId="4" fillId="0" borderId="62" xfId="0" applyFont="1" applyBorder="1" applyAlignment="1">
      <alignment horizontal="center" vertical="center" shrinkToFit="1"/>
    </xf>
    <xf numFmtId="0" fontId="4" fillId="0" borderId="63" xfId="0" applyFont="1" applyBorder="1" applyAlignment="1">
      <alignment horizontal="center" vertical="center" shrinkToFit="1"/>
    </xf>
    <xf numFmtId="0" fontId="4" fillId="0" borderId="64" xfId="0" applyFont="1" applyBorder="1" applyAlignment="1">
      <alignment horizontal="center" vertical="center" shrinkToFit="1"/>
    </xf>
    <xf numFmtId="0" fontId="15" fillId="0" borderId="9" xfId="0" applyFont="1" applyBorder="1" applyAlignment="1">
      <alignment horizontal="center" vertical="center"/>
    </xf>
    <xf numFmtId="0" fontId="15" fillId="0" borderId="62" xfId="0" applyFont="1" applyBorder="1" applyAlignment="1">
      <alignment horizontal="center" vertical="center" shrinkToFit="1"/>
    </xf>
    <xf numFmtId="0" fontId="15" fillId="0" borderId="63" xfId="0" applyFont="1" applyBorder="1" applyAlignment="1">
      <alignment horizontal="center" vertical="center" shrinkToFit="1"/>
    </xf>
    <xf numFmtId="0" fontId="15" fillId="0" borderId="64" xfId="0" applyFont="1" applyBorder="1" applyAlignment="1">
      <alignment horizontal="center" vertical="center" shrinkToFit="1"/>
    </xf>
    <xf numFmtId="0" fontId="4" fillId="0" borderId="30" xfId="0" applyFont="1" applyBorder="1" applyAlignment="1">
      <alignment vertical="center"/>
    </xf>
    <xf numFmtId="0" fontId="15" fillId="0" borderId="67" xfId="0" applyFont="1" applyBorder="1" applyAlignment="1">
      <alignment vertical="center"/>
    </xf>
    <xf numFmtId="0" fontId="15" fillId="0" borderId="45" xfId="0" applyFont="1" applyBorder="1" applyAlignment="1">
      <alignment vertical="center"/>
    </xf>
    <xf numFmtId="0" fontId="15" fillId="0" borderId="31" xfId="0" applyFont="1" applyBorder="1" applyAlignment="1">
      <alignment vertical="center"/>
    </xf>
    <xf numFmtId="0" fontId="15" fillId="0" borderId="44" xfId="0" applyFont="1" applyBorder="1" applyAlignment="1">
      <alignment vertical="center"/>
    </xf>
    <xf numFmtId="0" fontId="20" fillId="0" borderId="0" xfId="0" applyFont="1" applyAlignment="1">
      <alignment horizontal="center" vertical="center" textRotation="255"/>
    </xf>
    <xf numFmtId="0" fontId="20" fillId="0" borderId="0" xfId="0" applyFont="1" applyAlignment="1">
      <alignment horizontal="left" vertical="center"/>
    </xf>
    <xf numFmtId="0" fontId="34" fillId="0" borderId="0" xfId="0" applyFont="1" applyAlignment="1">
      <alignment vertical="center"/>
    </xf>
    <xf numFmtId="0" fontId="20" fillId="7" borderId="0" xfId="0" applyFont="1" applyFill="1" applyAlignment="1">
      <alignment vertical="center"/>
    </xf>
    <xf numFmtId="0" fontId="20" fillId="0" borderId="39" xfId="0" applyFont="1" applyBorder="1" applyAlignment="1">
      <alignment vertical="center"/>
    </xf>
    <xf numFmtId="0" fontId="20" fillId="7" borderId="39" xfId="0" applyFont="1" applyFill="1" applyBorder="1" applyAlignment="1">
      <alignment vertical="center"/>
    </xf>
    <xf numFmtId="0" fontId="20" fillId="0" borderId="39" xfId="0" applyFont="1" applyBorder="1" applyAlignment="1">
      <alignment horizontal="center" vertical="center"/>
    </xf>
    <xf numFmtId="0" fontId="20" fillId="0" borderId="38" xfId="0" applyFont="1" applyBorder="1" applyAlignment="1">
      <alignment horizontal="center" vertical="center"/>
    </xf>
    <xf numFmtId="0" fontId="35" fillId="0" borderId="0" xfId="0" applyFont="1" applyAlignment="1">
      <alignment horizontal="center" vertical="center"/>
    </xf>
    <xf numFmtId="0" fontId="4" fillId="0" borderId="0" xfId="0" applyFont="1" applyAlignment="1">
      <alignment vertical="center" textRotation="255"/>
    </xf>
    <xf numFmtId="0" fontId="36" fillId="0" borderId="0" xfId="0" applyFont="1" applyAlignment="1">
      <alignment vertical="center"/>
    </xf>
    <xf numFmtId="0" fontId="37" fillId="0" borderId="0" xfId="0" applyFont="1" applyAlignment="1">
      <alignment horizontal="left" vertical="center"/>
    </xf>
    <xf numFmtId="0" fontId="5" fillId="0" borderId="0" xfId="0" applyFont="1" applyAlignment="1">
      <alignment horizontal="center" vertical="center"/>
    </xf>
    <xf numFmtId="0" fontId="24" fillId="0" borderId="10" xfId="0" applyFont="1" applyBorder="1" applyAlignment="1">
      <alignment horizontal="center" vertical="center"/>
    </xf>
    <xf numFmtId="0" fontId="24" fillId="0" borderId="74" xfId="0" applyFont="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24" fillId="0" borderId="76" xfId="0" applyFont="1" applyBorder="1" applyAlignment="1">
      <alignment horizontal="center" vertical="center" textRotation="255"/>
    </xf>
    <xf numFmtId="0" fontId="24" fillId="0" borderId="29" xfId="0" applyFont="1" applyBorder="1" applyAlignment="1">
      <alignment horizontal="center" vertical="center"/>
    </xf>
    <xf numFmtId="0" fontId="24" fillId="0" borderId="29" xfId="0" applyFont="1" applyBorder="1" applyAlignment="1">
      <alignment horizontal="left" vertical="top" wrapText="1"/>
    </xf>
    <xf numFmtId="0" fontId="24" fillId="0" borderId="74" xfId="0" applyFont="1" applyBorder="1" applyAlignment="1">
      <alignment horizontal="left" vertical="top" wrapText="1"/>
    </xf>
    <xf numFmtId="0" fontId="4" fillId="0" borderId="74" xfId="0" applyFont="1" applyBorder="1" applyAlignment="1">
      <alignment horizontal="center" vertical="center"/>
    </xf>
    <xf numFmtId="0" fontId="4" fillId="0" borderId="32" xfId="0" applyFont="1" applyBorder="1" applyAlignment="1">
      <alignment vertical="center"/>
    </xf>
    <xf numFmtId="0" fontId="24" fillId="0" borderId="29" xfId="0" applyFont="1" applyBorder="1" applyAlignment="1">
      <alignment horizontal="center" vertical="center" wrapText="1"/>
    </xf>
    <xf numFmtId="0" fontId="24" fillId="0" borderId="0" xfId="0" applyFont="1" applyAlignment="1">
      <alignment vertical="top"/>
    </xf>
    <xf numFmtId="0" fontId="24" fillId="0" borderId="22" xfId="0" applyFont="1" applyBorder="1" applyAlignment="1">
      <alignment horizontal="center" vertical="center"/>
    </xf>
    <xf numFmtId="0" fontId="24" fillId="0" borderId="12" xfId="0" applyFont="1" applyBorder="1" applyAlignment="1">
      <alignment horizontal="center" vertical="center"/>
    </xf>
    <xf numFmtId="0" fontId="4" fillId="0" borderId="77" xfId="0" applyFont="1" applyBorder="1" applyAlignment="1">
      <alignment horizontal="center" vertical="center"/>
    </xf>
    <xf numFmtId="0" fontId="4" fillId="0" borderId="16" xfId="0" applyFont="1" applyBorder="1" applyAlignment="1">
      <alignment horizontal="center" vertical="center"/>
    </xf>
    <xf numFmtId="0" fontId="4" fillId="0" borderId="78" xfId="0" applyFont="1" applyBorder="1" applyAlignment="1">
      <alignment horizontal="center" vertical="center"/>
    </xf>
    <xf numFmtId="0" fontId="4" fillId="0" borderId="45" xfId="0" applyFont="1" applyBorder="1" applyAlignment="1">
      <alignment horizontal="center" vertical="center"/>
    </xf>
    <xf numFmtId="0" fontId="4" fillId="0" borderId="79" xfId="0" applyFont="1" applyBorder="1" applyAlignment="1">
      <alignment horizontal="center" vertical="center"/>
    </xf>
    <xf numFmtId="0" fontId="4" fillId="0" borderId="43" xfId="0" applyFont="1" applyBorder="1" applyAlignment="1">
      <alignment horizontal="center" vertical="center"/>
    </xf>
    <xf numFmtId="0" fontId="4" fillId="0" borderId="42" xfId="0" applyFont="1" applyBorder="1" applyAlignment="1">
      <alignment horizontal="center" vertical="center"/>
    </xf>
    <xf numFmtId="0" fontId="4" fillId="0" borderId="34" xfId="0" applyFont="1" applyBorder="1" applyAlignment="1">
      <alignment horizontal="center" vertical="center"/>
    </xf>
    <xf numFmtId="0" fontId="24" fillId="0" borderId="29" xfId="0" applyFont="1" applyBorder="1" applyAlignment="1">
      <alignment horizontal="center" vertical="top" wrapText="1"/>
    </xf>
    <xf numFmtId="0" fontId="24" fillId="0" borderId="29" xfId="0" applyFont="1" applyBorder="1" applyAlignment="1">
      <alignment vertical="center"/>
    </xf>
    <xf numFmtId="0" fontId="24" fillId="0" borderId="16" xfId="0" applyFont="1" applyBorder="1" applyAlignment="1">
      <alignment vertical="center"/>
    </xf>
    <xf numFmtId="0" fontId="24" fillId="0" borderId="8" xfId="0" applyFont="1" applyBorder="1" applyAlignment="1">
      <alignment vertical="center"/>
    </xf>
    <xf numFmtId="0" fontId="24" fillId="0" borderId="32" xfId="0" applyFont="1" applyBorder="1" applyAlignment="1">
      <alignment vertical="center"/>
    </xf>
    <xf numFmtId="0" fontId="4" fillId="0" borderId="44" xfId="0" applyFont="1" applyBorder="1" applyAlignment="1">
      <alignment horizontal="center" vertical="center"/>
    </xf>
    <xf numFmtId="0" fontId="24" fillId="0" borderId="6" xfId="0" applyFont="1" applyBorder="1" applyAlignment="1">
      <alignment horizontal="center" vertical="center" textRotation="255"/>
    </xf>
    <xf numFmtId="0" fontId="24" fillId="0" borderId="6" xfId="0" applyFont="1" applyBorder="1" applyAlignment="1">
      <alignment horizontal="center" vertical="center" wrapText="1"/>
    </xf>
    <xf numFmtId="0" fontId="24" fillId="0" borderId="6" xfId="0" applyFont="1" applyBorder="1" applyAlignment="1">
      <alignment horizontal="left" vertical="top" wrapText="1"/>
    </xf>
    <xf numFmtId="0" fontId="24" fillId="0" borderId="0" xfId="0" applyFont="1" applyAlignment="1">
      <alignment horizontal="left" vertical="top" wrapText="1"/>
    </xf>
    <xf numFmtId="0" fontId="24" fillId="0" borderId="11" xfId="0" applyFont="1" applyBorder="1" applyAlignment="1">
      <alignment horizontal="center" vertical="center"/>
    </xf>
    <xf numFmtId="0" fontId="24" fillId="0" borderId="15" xfId="0" applyFont="1" applyBorder="1" applyAlignment="1">
      <alignment horizontal="center" vertical="center" wrapText="1"/>
    </xf>
    <xf numFmtId="0" fontId="24" fillId="0" borderId="29" xfId="0" applyFont="1" applyBorder="1" applyAlignment="1">
      <alignment horizontal="left"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0" xfId="0" applyFont="1" applyAlignment="1">
      <alignment horizontal="center" vertical="center" wrapText="1"/>
    </xf>
    <xf numFmtId="0" fontId="4" fillId="0" borderId="32" xfId="0" applyFont="1" applyBorder="1" applyAlignment="1">
      <alignment horizontal="center" vertical="center" wrapText="1"/>
    </xf>
    <xf numFmtId="0" fontId="24" fillId="0" borderId="10" xfId="0" applyFont="1" applyBorder="1" applyAlignment="1">
      <alignment vertical="center" wrapText="1"/>
    </xf>
    <xf numFmtId="0" fontId="24" fillId="0" borderId="11" xfId="0" applyFont="1" applyBorder="1" applyAlignment="1">
      <alignment vertical="center" wrapText="1"/>
    </xf>
    <xf numFmtId="0" fontId="24" fillId="0" borderId="10" xfId="0" applyFont="1" applyBorder="1" applyAlignment="1">
      <alignment vertical="top"/>
    </xf>
    <xf numFmtId="0" fontId="24" fillId="0" borderId="11" xfId="0" applyFont="1" applyBorder="1" applyAlignment="1">
      <alignment vertical="top"/>
    </xf>
    <xf numFmtId="0" fontId="24" fillId="0" borderId="29" xfId="0" applyFont="1" applyBorder="1" applyAlignment="1">
      <alignment horizontal="center"/>
    </xf>
    <xf numFmtId="0" fontId="24" fillId="0" borderId="8" xfId="0" applyFont="1" applyBorder="1" applyAlignment="1">
      <alignment vertical="top"/>
    </xf>
    <xf numFmtId="0" fontId="24" fillId="0" borderId="8" xfId="0" applyFont="1" applyBorder="1" applyAlignment="1">
      <alignment horizontal="center" vertical="center"/>
    </xf>
    <xf numFmtId="0" fontId="24" fillId="0" borderId="32" xfId="0" applyFont="1" applyBorder="1" applyAlignment="1">
      <alignment horizontal="center" vertical="center"/>
    </xf>
    <xf numFmtId="0" fontId="24" fillId="0" borderId="5" xfId="0" applyFont="1" applyBorder="1" applyAlignment="1">
      <alignment horizontal="center" vertical="center"/>
    </xf>
    <xf numFmtId="0" fontId="24" fillId="0" borderId="7" xfId="0" applyFont="1" applyBorder="1" applyAlignment="1">
      <alignment horizontal="center" vertical="center"/>
    </xf>
    <xf numFmtId="0" fontId="24" fillId="0" borderId="15" xfId="0" applyFont="1" applyBorder="1" applyAlignment="1">
      <alignment vertical="center"/>
    </xf>
    <xf numFmtId="0" fontId="24" fillId="0" borderId="29" xfId="0" applyFont="1" applyBorder="1" applyAlignment="1">
      <alignment vertical="top"/>
    </xf>
    <xf numFmtId="0" fontId="24" fillId="0" borderId="15" xfId="0" applyFont="1" applyBorder="1" applyAlignment="1">
      <alignment vertical="top"/>
    </xf>
    <xf numFmtId="0" fontId="24" fillId="0" borderId="6" xfId="0" applyFont="1" applyBorder="1" applyAlignment="1">
      <alignment vertical="center"/>
    </xf>
    <xf numFmtId="0" fontId="24" fillId="0" borderId="5" xfId="0" applyFont="1" applyBorder="1" applyAlignment="1">
      <alignment vertical="top"/>
    </xf>
    <xf numFmtId="0" fontId="24" fillId="0" borderId="6" xfId="0" applyFont="1" applyBorder="1" applyAlignment="1">
      <alignment vertical="top"/>
    </xf>
    <xf numFmtId="0" fontId="24" fillId="0" borderId="10" xfId="0" applyFont="1" applyBorder="1" applyAlignment="1">
      <alignment horizontal="left" vertical="top" wrapText="1"/>
    </xf>
    <xf numFmtId="0" fontId="24" fillId="0" borderId="43" xfId="0" applyFont="1" applyBorder="1" applyAlignment="1">
      <alignment horizontal="center" vertical="center"/>
    </xf>
    <xf numFmtId="0" fontId="24" fillId="0" borderId="43" xfId="0" applyFont="1" applyBorder="1" applyAlignment="1">
      <alignment vertical="center"/>
    </xf>
    <xf numFmtId="0" fontId="24" fillId="0" borderId="42" xfId="0" applyFont="1" applyBorder="1" applyAlignment="1">
      <alignment vertical="center"/>
    </xf>
    <xf numFmtId="0" fontId="24" fillId="0" borderId="11" xfId="0" applyFont="1" applyBorder="1" applyAlignment="1">
      <alignment horizontal="left" vertical="top" wrapText="1"/>
    </xf>
    <xf numFmtId="0" fontId="4" fillId="0" borderId="78" xfId="0" applyFont="1" applyBorder="1" applyAlignment="1">
      <alignment vertical="center"/>
    </xf>
    <xf numFmtId="0" fontId="4" fillId="0" borderId="34" xfId="0" applyFont="1" applyBorder="1" applyAlignment="1">
      <alignment vertical="center"/>
    </xf>
    <xf numFmtId="0" fontId="24" fillId="0" borderId="78" xfId="0" applyFont="1" applyBorder="1" applyAlignment="1">
      <alignment vertical="center"/>
    </xf>
    <xf numFmtId="0" fontId="24" fillId="0" borderId="34" xfId="0" applyFont="1" applyBorder="1" applyAlignment="1">
      <alignment vertical="center"/>
    </xf>
    <xf numFmtId="0" fontId="24" fillId="0" borderId="15" xfId="0" applyFont="1" applyBorder="1" applyAlignment="1">
      <alignment horizontal="left" vertical="top" wrapText="1"/>
    </xf>
    <xf numFmtId="0" fontId="4" fillId="0" borderId="45" xfId="0" applyFont="1" applyBorder="1" applyAlignment="1">
      <alignment vertical="center"/>
    </xf>
    <xf numFmtId="0" fontId="24" fillId="0" borderId="45" xfId="0" applyFont="1" applyBorder="1" applyAlignment="1">
      <alignment vertical="center"/>
    </xf>
    <xf numFmtId="0" fontId="24" fillId="0" borderId="44" xfId="0" applyFont="1" applyBorder="1" applyAlignment="1">
      <alignment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24" fillId="0" borderId="15" xfId="0" applyFont="1" applyBorder="1" applyAlignment="1">
      <alignment vertical="center" wrapText="1"/>
    </xf>
    <xf numFmtId="0" fontId="24" fillId="0" borderId="0" xfId="0" applyFont="1" applyAlignment="1">
      <alignment vertical="center" wrapText="1"/>
    </xf>
    <xf numFmtId="0" fontId="24" fillId="0" borderId="36" xfId="0" applyFont="1" applyBorder="1" applyAlignment="1">
      <alignment vertical="center"/>
    </xf>
    <xf numFmtId="0" fontId="24" fillId="0" borderId="31" xfId="0" applyFont="1" applyBorder="1" applyAlignment="1">
      <alignment vertical="center"/>
    </xf>
    <xf numFmtId="0" fontId="24" fillId="0" borderId="31" xfId="0" applyFont="1" applyBorder="1" applyAlignment="1">
      <alignment vertical="center" wrapText="1"/>
    </xf>
    <xf numFmtId="0" fontId="24" fillId="0" borderId="31" xfId="0" applyFont="1" applyBorder="1" applyAlignment="1">
      <alignment horizontal="left" vertical="top" wrapText="1"/>
    </xf>
    <xf numFmtId="0" fontId="4" fillId="0" borderId="79" xfId="0" applyFont="1" applyBorder="1" applyAlignment="1">
      <alignment vertical="center"/>
    </xf>
    <xf numFmtId="0" fontId="24" fillId="0" borderId="80" xfId="0" applyFont="1" applyBorder="1" applyAlignment="1">
      <alignment horizontal="center" vertical="center"/>
    </xf>
    <xf numFmtId="0" fontId="24" fillId="0" borderId="35" xfId="0" applyFont="1" applyBorder="1" applyAlignment="1">
      <alignment horizontal="center" vertical="center"/>
    </xf>
    <xf numFmtId="0" fontId="24" fillId="0" borderId="41" xfId="0" applyFont="1" applyBorder="1" applyAlignment="1">
      <alignment horizontal="center" vertical="center"/>
    </xf>
    <xf numFmtId="0" fontId="24" fillId="0" borderId="42" xfId="0" applyFont="1" applyBorder="1" applyAlignment="1">
      <alignment horizontal="center" vertical="center"/>
    </xf>
    <xf numFmtId="0" fontId="24" fillId="0" borderId="33" xfId="0" applyFont="1" applyBorder="1" applyAlignment="1">
      <alignment horizontal="center" vertical="center"/>
    </xf>
    <xf numFmtId="0" fontId="24" fillId="0" borderId="81" xfId="0" applyFont="1" applyBorder="1" applyAlignment="1">
      <alignment horizontal="center" vertical="center" textRotation="255"/>
    </xf>
    <xf numFmtId="0" fontId="24" fillId="0" borderId="8" xfId="0" applyFont="1" applyBorder="1" applyAlignment="1">
      <alignment horizontal="center" vertical="center" wrapText="1"/>
    </xf>
    <xf numFmtId="0" fontId="24" fillId="0" borderId="13" xfId="0" applyFont="1" applyBorder="1" applyAlignment="1">
      <alignment horizontal="center" vertical="center" wrapText="1"/>
    </xf>
    <xf numFmtId="0" fontId="4" fillId="0" borderId="13" xfId="0" applyFont="1" applyBorder="1" applyAlignment="1">
      <alignment vertical="center"/>
    </xf>
    <xf numFmtId="0" fontId="24" fillId="0" borderId="13" xfId="0" applyFont="1" applyBorder="1" applyAlignment="1">
      <alignment horizontal="left" vertical="center" wrapText="1"/>
    </xf>
    <xf numFmtId="0" fontId="24" fillId="0" borderId="82" xfId="0" applyFont="1" applyBorder="1" applyAlignment="1">
      <alignment horizontal="left" vertical="center" wrapText="1"/>
    </xf>
    <xf numFmtId="0" fontId="4" fillId="0" borderId="77" xfId="0" applyFont="1" applyBorder="1" applyAlignment="1">
      <alignment horizontal="center" vertical="center" wrapText="1"/>
    </xf>
    <xf numFmtId="0" fontId="24" fillId="0" borderId="75" xfId="0" applyFont="1" applyBorder="1" applyAlignment="1">
      <alignment horizontal="center" vertical="center" textRotation="255"/>
    </xf>
    <xf numFmtId="0" fontId="4" fillId="0" borderId="7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3" xfId="0" applyFont="1" applyBorder="1" applyAlignment="1">
      <alignment horizontal="center" vertical="center"/>
    </xf>
    <xf numFmtId="0" fontId="24" fillId="0" borderId="13" xfId="0" applyFont="1" applyBorder="1" applyAlignment="1">
      <alignment horizontal="left" vertical="center"/>
    </xf>
    <xf numFmtId="0" fontId="4" fillId="0" borderId="76" xfId="0" applyFont="1" applyBorder="1" applyAlignment="1">
      <alignment horizontal="center" vertical="center" wrapText="1"/>
    </xf>
    <xf numFmtId="0" fontId="24" fillId="0" borderId="76" xfId="0" applyFont="1" applyBorder="1" applyAlignment="1">
      <alignment horizontal="left" vertical="center" wrapText="1"/>
    </xf>
    <xf numFmtId="0" fontId="24" fillId="0" borderId="76" xfId="0" applyFont="1" applyBorder="1" applyAlignment="1">
      <alignment horizontal="left" vertical="center"/>
    </xf>
    <xf numFmtId="0" fontId="24" fillId="0" borderId="83"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15" xfId="0" applyFont="1" applyBorder="1" applyAlignment="1">
      <alignment horizontal="left" vertical="center"/>
    </xf>
    <xf numFmtId="0" fontId="24" fillId="0" borderId="33" xfId="0" applyFont="1" applyBorder="1" applyAlignment="1">
      <alignment horizontal="left" vertical="center"/>
    </xf>
    <xf numFmtId="0" fontId="24" fillId="0" borderId="77" xfId="0" applyFont="1" applyBorder="1" applyAlignment="1">
      <alignment horizontal="left" vertical="center" wrapText="1"/>
    </xf>
    <xf numFmtId="0" fontId="24" fillId="0" borderId="32" xfId="0" applyFont="1" applyBorder="1" applyAlignment="1">
      <alignment horizontal="center" vertical="center" wrapText="1"/>
    </xf>
    <xf numFmtId="0" fontId="24" fillId="0" borderId="8" xfId="0" applyFont="1" applyBorder="1" applyAlignment="1">
      <alignment horizontal="left" vertical="center"/>
    </xf>
    <xf numFmtId="0" fontId="24" fillId="0" borderId="0" xfId="0" applyFont="1" applyAlignment="1">
      <alignment horizontal="left" vertical="center"/>
    </xf>
    <xf numFmtId="0" fontId="24" fillId="0" borderId="34" xfId="0" applyFont="1" applyBorder="1" applyAlignment="1">
      <alignment horizontal="left" vertical="center"/>
    </xf>
    <xf numFmtId="0" fontId="24" fillId="0" borderId="78" xfId="0" applyFont="1" applyBorder="1" applyAlignment="1">
      <alignment horizontal="left" vertical="center"/>
    </xf>
    <xf numFmtId="0" fontId="24" fillId="0" borderId="5"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5" xfId="0" applyFont="1" applyBorder="1" applyAlignment="1">
      <alignment horizontal="left" vertical="center"/>
    </xf>
    <xf numFmtId="0" fontId="24" fillId="0" borderId="6" xfId="0" applyFont="1" applyBorder="1" applyAlignment="1">
      <alignment horizontal="left" vertical="center"/>
    </xf>
    <xf numFmtId="0" fontId="24" fillId="0" borderId="84" xfId="0" applyFont="1" applyBorder="1" applyAlignment="1">
      <alignment horizontal="left" vertical="center"/>
    </xf>
    <xf numFmtId="0" fontId="24" fillId="0" borderId="29" xfId="0" applyFont="1" applyBorder="1" applyAlignment="1">
      <alignment horizontal="left"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24" fillId="0" borderId="30" xfId="0" applyFont="1" applyBorder="1" applyAlignment="1">
      <alignment horizontal="center" vertical="center" textRotation="255"/>
    </xf>
    <xf numFmtId="0" fontId="4" fillId="0" borderId="85" xfId="0" applyFont="1" applyBorder="1" applyAlignment="1">
      <alignment horizontal="center" vertical="center" wrapText="1"/>
    </xf>
    <xf numFmtId="0" fontId="24" fillId="0" borderId="0" xfId="0" applyFont="1" applyAlignment="1">
      <alignment horizontal="center" vertical="center" textRotation="255"/>
    </xf>
    <xf numFmtId="0" fontId="24" fillId="0" borderId="0" xfId="0" applyFont="1" applyAlignment="1">
      <alignment horizontal="left" vertic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77" xfId="0" applyFont="1" applyBorder="1" applyAlignment="1">
      <alignment horizontal="center" vertical="center"/>
    </xf>
    <xf numFmtId="0" fontId="4" fillId="0" borderId="16" xfId="0" applyFont="1" applyBorder="1" applyAlignment="1">
      <alignment vertical="center" wrapText="1"/>
    </xf>
    <xf numFmtId="0" fontId="24" fillId="0" borderId="74" xfId="0" applyFont="1" applyBorder="1" applyAlignment="1">
      <alignment horizontal="left" vertical="center" wrapText="1"/>
    </xf>
    <xf numFmtId="0" fontId="4" fillId="0" borderId="8" xfId="0" applyFont="1" applyBorder="1" applyAlignment="1">
      <alignment vertical="center" wrapText="1"/>
    </xf>
    <xf numFmtId="0" fontId="4" fillId="0" borderId="32" xfId="0" applyFont="1" applyBorder="1" applyAlignment="1">
      <alignment vertical="center" wrapText="1"/>
    </xf>
    <xf numFmtId="0" fontId="24" fillId="0" borderId="15" xfId="0" applyFont="1" applyBorder="1" applyAlignment="1">
      <alignment horizontal="left" vertical="center" wrapText="1"/>
    </xf>
    <xf numFmtId="0" fontId="24" fillId="0" borderId="33" xfId="0" applyFont="1" applyBorder="1" applyAlignment="1">
      <alignment horizontal="left" vertical="center" wrapText="1"/>
    </xf>
    <xf numFmtId="0" fontId="24" fillId="0" borderId="43" xfId="0" applyFont="1" applyBorder="1" applyAlignment="1">
      <alignment horizontal="left" vertical="center" wrapText="1"/>
    </xf>
    <xf numFmtId="0" fontId="24" fillId="0" borderId="41" xfId="0" applyFont="1" applyBorder="1" applyAlignment="1">
      <alignment horizontal="left" vertical="center" wrapText="1"/>
    </xf>
    <xf numFmtId="0" fontId="24" fillId="0" borderId="42" xfId="0" applyFont="1" applyBorder="1" applyAlignment="1">
      <alignment horizontal="left" vertical="center" wrapText="1"/>
    </xf>
    <xf numFmtId="0" fontId="24" fillId="0" borderId="8" xfId="0" applyFont="1" applyBorder="1" applyAlignment="1">
      <alignment horizontal="left" vertical="center" wrapText="1"/>
    </xf>
    <xf numFmtId="0" fontId="24" fillId="0" borderId="34" xfId="0" applyFont="1" applyBorder="1" applyAlignment="1">
      <alignment horizontal="left" vertical="center" wrapText="1"/>
    </xf>
    <xf numFmtId="0" fontId="24" fillId="0" borderId="78" xfId="0" applyFont="1" applyBorder="1" applyAlignment="1">
      <alignment horizontal="lef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24" fillId="0" borderId="5" xfId="0" applyFont="1" applyBorder="1" applyAlignment="1">
      <alignment horizontal="left" vertical="center" wrapText="1"/>
    </xf>
    <xf numFmtId="0" fontId="24" fillId="0" borderId="6" xfId="0" applyFont="1" applyBorder="1" applyAlignment="1">
      <alignment horizontal="left" vertical="center" wrapText="1"/>
    </xf>
    <xf numFmtId="0" fontId="24" fillId="0" borderId="84" xfId="0" applyFont="1" applyBorder="1" applyAlignment="1">
      <alignment horizontal="left" vertical="center" wrapText="1"/>
    </xf>
    <xf numFmtId="0" fontId="24" fillId="0" borderId="45" xfId="0" applyFont="1" applyBorder="1" applyAlignment="1">
      <alignment horizontal="left" vertical="center" wrapText="1"/>
    </xf>
    <xf numFmtId="0" fontId="24" fillId="0" borderId="31" xfId="0" applyFont="1" applyBorder="1" applyAlignment="1">
      <alignment horizontal="left" vertical="center" wrapText="1"/>
    </xf>
    <xf numFmtId="0" fontId="24" fillId="0" borderId="44" xfId="0" applyFont="1" applyBorder="1" applyAlignment="1">
      <alignment horizontal="left" vertical="center" wrapText="1"/>
    </xf>
    <xf numFmtId="0" fontId="32" fillId="0" borderId="0" xfId="0" applyFont="1" applyAlignment="1">
      <alignment vertical="center"/>
    </xf>
    <xf numFmtId="0" fontId="24" fillId="0" borderId="16" xfId="0" applyFont="1" applyBorder="1" applyAlignment="1">
      <alignment horizontal="left" vertical="center"/>
    </xf>
    <xf numFmtId="0" fontId="24" fillId="0" borderId="7" xfId="0" applyFont="1" applyBorder="1" applyAlignment="1">
      <alignment horizontal="left" vertical="center"/>
    </xf>
    <xf numFmtId="0" fontId="24" fillId="0" borderId="31" xfId="0" applyFont="1" applyBorder="1" applyAlignment="1">
      <alignment horizontal="left" vertical="center"/>
    </xf>
    <xf numFmtId="0" fontId="24" fillId="0" borderId="79" xfId="0" applyFont="1" applyBorder="1" applyAlignment="1">
      <alignment horizontal="left" vertical="center"/>
    </xf>
    <xf numFmtId="0" fontId="24" fillId="0" borderId="32" xfId="0" applyFont="1" applyBorder="1" applyAlignment="1">
      <alignment horizontal="left" vertical="center"/>
    </xf>
    <xf numFmtId="0" fontId="38" fillId="0" borderId="31" xfId="0" applyFont="1" applyBorder="1" applyAlignment="1">
      <alignment horizontal="left" vertical="center"/>
    </xf>
    <xf numFmtId="0" fontId="24" fillId="0" borderId="0" xfId="0" applyFont="1" applyAlignment="1">
      <alignment horizontal="left" vertical="center" shrinkToFit="1"/>
    </xf>
    <xf numFmtId="0" fontId="24" fillId="0" borderId="8" xfId="0" applyFont="1" applyBorder="1" applyAlignment="1">
      <alignment horizontal="left" vertical="center" shrinkToFit="1"/>
    </xf>
    <xf numFmtId="0" fontId="24" fillId="0" borderId="15" xfId="0" applyFont="1" applyBorder="1" applyAlignment="1">
      <alignment horizontal="left" vertical="center" shrinkToFit="1"/>
    </xf>
    <xf numFmtId="0" fontId="24" fillId="0" borderId="0" xfId="0" applyFont="1" applyAlignment="1">
      <alignment vertical="center" shrinkToFit="1"/>
    </xf>
    <xf numFmtId="49" fontId="29" fillId="0" borderId="0" xfId="0" applyNumberFormat="1" applyFont="1" applyAlignment="1">
      <alignment horizontal="center" vertical="center"/>
    </xf>
    <xf numFmtId="49" fontId="4" fillId="0" borderId="0" xfId="0" applyNumberFormat="1" applyFont="1" applyAlignment="1">
      <alignment horizontal="center" vertical="center"/>
    </xf>
    <xf numFmtId="0" fontId="20" fillId="0" borderId="0" xfId="0" applyFont="1" applyAlignment="1">
      <alignment vertical="center" shrinkToFit="1"/>
    </xf>
    <xf numFmtId="0" fontId="20" fillId="0" borderId="0" xfId="0" applyFont="1" applyAlignment="1">
      <alignment horizontal="left" vertical="center" shrinkToFit="1"/>
    </xf>
    <xf numFmtId="164" fontId="4" fillId="0" borderId="0" xfId="0" applyNumberFormat="1" applyFont="1" applyAlignment="1">
      <alignment horizontal="center" vertical="center" shrinkToFit="1"/>
    </xf>
    <xf numFmtId="164" fontId="4" fillId="0" borderId="0" xfId="0" applyNumberFormat="1" applyFont="1" applyAlignment="1">
      <alignment vertical="center" shrinkToFit="1"/>
    </xf>
    <xf numFmtId="49" fontId="4" fillId="0" borderId="0" xfId="0" applyNumberFormat="1" applyFont="1" applyAlignment="1">
      <alignment vertical="center"/>
    </xf>
    <xf numFmtId="49" fontId="39" fillId="0" borderId="0" xfId="0" applyNumberFormat="1" applyFont="1" applyAlignment="1">
      <alignment vertical="center"/>
    </xf>
    <xf numFmtId="49" fontId="34" fillId="0" borderId="0" xfId="0" applyNumberFormat="1" applyFont="1" applyAlignment="1">
      <alignment vertical="center"/>
    </xf>
    <xf numFmtId="49" fontId="20" fillId="0" borderId="0" xfId="0" applyNumberFormat="1" applyFont="1" applyAlignment="1">
      <alignment vertical="center"/>
    </xf>
    <xf numFmtId="0" fontId="40" fillId="0" borderId="0" xfId="0" applyFont="1" applyAlignment="1">
      <alignment horizontal="center" vertical="center"/>
    </xf>
    <xf numFmtId="0" fontId="4" fillId="0" borderId="0" xfId="0" applyFont="1" applyAlignment="1">
      <alignment horizontal="center" vertical="center" shrinkToFit="1"/>
    </xf>
    <xf numFmtId="0" fontId="4" fillId="0" borderId="0" xfId="0" applyFont="1" applyAlignment="1">
      <alignment vertical="center" wrapText="1"/>
    </xf>
    <xf numFmtId="0" fontId="20" fillId="0" borderId="0" xfId="0" applyFont="1" applyAlignment="1">
      <alignment vertical="center" wrapText="1"/>
    </xf>
    <xf numFmtId="167" fontId="4" fillId="0" borderId="0" xfId="0" applyNumberFormat="1" applyFont="1" applyAlignment="1">
      <alignment vertical="center"/>
    </xf>
    <xf numFmtId="167" fontId="20" fillId="0" borderId="0" xfId="0" applyNumberFormat="1" applyFont="1" applyAlignment="1">
      <alignment vertical="center"/>
    </xf>
    <xf numFmtId="167" fontId="4" fillId="0" borderId="0" xfId="0" applyNumberFormat="1" applyFont="1" applyAlignment="1">
      <alignment horizontal="left" vertical="center"/>
    </xf>
    <xf numFmtId="167" fontId="20" fillId="0" borderId="0" xfId="0" applyNumberFormat="1" applyFont="1" applyAlignment="1">
      <alignment horizontal="left" vertical="center"/>
    </xf>
    <xf numFmtId="0" fontId="20" fillId="0" borderId="0" xfId="0" applyFont="1" applyAlignment="1">
      <alignment horizontal="right" vertical="center"/>
    </xf>
    <xf numFmtId="0" fontId="4" fillId="0" borderId="0" xfId="0" applyFont="1" applyAlignment="1">
      <alignment horizontal="right" vertical="center" shrinkToFit="1"/>
    </xf>
    <xf numFmtId="0" fontId="4" fillId="0" borderId="0" xfId="0" applyFont="1" applyAlignment="1">
      <alignment vertical="center" shrinkToFit="1"/>
    </xf>
    <xf numFmtId="0" fontId="4" fillId="0" borderId="38" xfId="0" applyFont="1" applyBorder="1" applyAlignment="1">
      <alignment horizontal="center" vertical="center"/>
    </xf>
    <xf numFmtId="0" fontId="4" fillId="0" borderId="38" xfId="0" applyFont="1" applyBorder="1" applyAlignment="1">
      <alignment vertical="center" shrinkToFit="1"/>
    </xf>
    <xf numFmtId="0" fontId="4" fillId="0" borderId="38" xfId="0" applyFont="1" applyBorder="1" applyAlignment="1">
      <alignment horizontal="left" vertical="center" shrinkToFit="1"/>
    </xf>
    <xf numFmtId="0" fontId="33" fillId="0" borderId="0" xfId="0" applyFont="1" applyAlignment="1">
      <alignment horizontal="center" vertical="center"/>
    </xf>
    <xf numFmtId="164" fontId="15" fillId="0" borderId="0" xfId="0" applyNumberFormat="1" applyFont="1" applyAlignment="1">
      <alignment horizontal="right" vertical="center" shrinkToFit="1"/>
    </xf>
    <xf numFmtId="164" fontId="20" fillId="0" borderId="0" xfId="0" applyNumberFormat="1" applyFont="1" applyAlignment="1">
      <alignment horizontal="center" vertical="center" shrinkToFit="1"/>
    </xf>
    <xf numFmtId="164" fontId="20" fillId="0" borderId="0" xfId="0" applyNumberFormat="1" applyFont="1" applyAlignment="1">
      <alignment vertical="center" shrinkToFit="1"/>
    </xf>
    <xf numFmtId="0" fontId="4" fillId="0" borderId="40" xfId="0" applyFont="1" applyBorder="1" applyAlignment="1">
      <alignment horizontal="right" vertical="center"/>
    </xf>
    <xf numFmtId="0" fontId="4" fillId="0" borderId="38" xfId="0" applyFont="1" applyBorder="1" applyAlignment="1">
      <alignment horizontal="right" vertical="center"/>
    </xf>
    <xf numFmtId="0" fontId="40" fillId="0" borderId="0" xfId="0" applyFont="1" applyAlignment="1">
      <alignment vertical="center"/>
    </xf>
    <xf numFmtId="0" fontId="4" fillId="0" borderId="0" xfId="0" applyFont="1"/>
    <xf numFmtId="0" fontId="15" fillId="0" borderId="0" xfId="0" applyFont="1" applyAlignment="1">
      <alignment horizontal="left" vertical="center" wrapText="1"/>
    </xf>
    <xf numFmtId="0" fontId="2" fillId="0" borderId="15" xfId="0" applyFont="1" applyBorder="1" applyAlignment="1">
      <alignment horizontal="center" vertical="center"/>
    </xf>
    <xf numFmtId="0" fontId="2" fillId="0" borderId="31" xfId="0" applyFont="1" applyBorder="1" applyAlignment="1">
      <alignment horizontal="center" vertical="center"/>
    </xf>
    <xf numFmtId="0" fontId="3" fillId="0" borderId="0" xfId="0" applyFont="1" applyAlignment="1">
      <alignment horizontal="center"/>
    </xf>
    <xf numFmtId="0" fontId="3" fillId="0" borderId="0" xfId="0" applyFont="1"/>
    <xf numFmtId="0" fontId="3" fillId="0" borderId="6" xfId="0" applyFont="1" applyBorder="1"/>
    <xf numFmtId="0" fontId="2" fillId="0" borderId="41" xfId="0" applyFont="1" applyBorder="1" applyAlignment="1">
      <alignment horizontal="center" vertical="center"/>
    </xf>
    <xf numFmtId="0" fontId="4" fillId="0" borderId="0" xfId="0" applyFont="1" applyAlignment="1">
      <alignment horizontal="right"/>
    </xf>
    <xf numFmtId="0" fontId="41" fillId="0" borderId="86" xfId="0" applyFont="1" applyBorder="1" applyAlignment="1">
      <alignment horizontal="center" vertical="center"/>
    </xf>
    <xf numFmtId="0" fontId="41" fillId="0" borderId="87" xfId="0" applyFont="1" applyBorder="1" applyAlignment="1">
      <alignment horizontal="center" vertical="center"/>
    </xf>
    <xf numFmtId="0" fontId="4" fillId="0" borderId="88" xfId="0" applyFont="1" applyBorder="1" applyAlignment="1">
      <alignment vertical="center"/>
    </xf>
    <xf numFmtId="0" fontId="41" fillId="0" borderId="89" xfId="0" applyFont="1" applyBorder="1" applyAlignment="1">
      <alignment horizontal="center" vertical="center"/>
    </xf>
    <xf numFmtId="0" fontId="41" fillId="0" borderId="0" xfId="0" applyFont="1" applyAlignment="1">
      <alignment horizontal="center" vertical="center"/>
    </xf>
    <xf numFmtId="0" fontId="4" fillId="0" borderId="90" xfId="0" applyFont="1" applyBorder="1" applyAlignment="1">
      <alignment vertical="center"/>
    </xf>
    <xf numFmtId="0" fontId="42" fillId="0" borderId="89" xfId="0" applyFont="1" applyBorder="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xf>
    <xf numFmtId="0" fontId="41" fillId="0" borderId="91" xfId="0" applyFont="1" applyBorder="1" applyAlignment="1">
      <alignment horizontal="distributed"/>
    </xf>
    <xf numFmtId="0" fontId="39" fillId="0" borderId="92" xfId="0" applyFont="1" applyBorder="1" applyAlignment="1">
      <alignment horizontal="center" vertical="center"/>
    </xf>
    <xf numFmtId="0" fontId="4" fillId="0" borderId="89" xfId="0" applyFont="1" applyBorder="1" applyAlignment="1">
      <alignment vertical="center"/>
    </xf>
    <xf numFmtId="0" fontId="43" fillId="0" borderId="31" xfId="0" applyFont="1" applyBorder="1" applyAlignment="1">
      <alignment vertical="center"/>
    </xf>
    <xf numFmtId="0" fontId="44" fillId="0" borderId="31" xfId="0" applyFont="1" applyBorder="1" applyAlignment="1">
      <alignment vertical="center"/>
    </xf>
    <xf numFmtId="0" fontId="44" fillId="0" borderId="0" xfId="0" applyFont="1" applyAlignment="1">
      <alignment vertical="center"/>
    </xf>
    <xf numFmtId="0" fontId="45" fillId="0" borderId="0" xfId="0" applyFont="1" applyAlignment="1">
      <alignment vertical="center"/>
    </xf>
    <xf numFmtId="168" fontId="4" fillId="0" borderId="0" xfId="0" applyNumberFormat="1" applyFont="1" applyAlignment="1">
      <alignment horizontal="center" vertical="center"/>
    </xf>
    <xf numFmtId="0" fontId="20" fillId="0" borderId="0" xfId="0" applyFont="1" applyAlignment="1" applyProtection="1">
      <alignment horizontal="center" vertical="center" shrinkToFit="1"/>
      <protection locked="0"/>
    </xf>
    <xf numFmtId="0" fontId="4" fillId="0" borderId="0" xfId="0" applyFont="1" applyAlignment="1" applyProtection="1">
      <alignment horizontal="center" vertical="center"/>
      <protection locked="0"/>
    </xf>
    <xf numFmtId="0" fontId="4" fillId="0" borderId="0" xfId="0" applyFont="1" applyAlignment="1">
      <alignment horizontal="left" vertical="center" wrapText="1"/>
    </xf>
    <xf numFmtId="0" fontId="45" fillId="0" borderId="0" xfId="0" applyFont="1" applyAlignment="1">
      <alignment horizontal="left" vertical="center" wrapText="1"/>
    </xf>
    <xf numFmtId="0" fontId="4" fillId="0" borderId="0" xfId="0" applyFont="1" applyAlignment="1">
      <alignment horizontal="left" wrapText="1"/>
    </xf>
    <xf numFmtId="0" fontId="45" fillId="0" borderId="0" xfId="0" applyFont="1" applyAlignment="1">
      <alignment horizontal="left" wrapText="1"/>
    </xf>
    <xf numFmtId="0" fontId="20" fillId="0" borderId="0" xfId="0" applyFont="1" applyAlignment="1">
      <alignment horizontal="left"/>
    </xf>
    <xf numFmtId="0" fontId="20" fillId="0" borderId="0" xfId="0" applyFont="1" applyAlignment="1">
      <alignment horizontal="center" wrapText="1"/>
    </xf>
    <xf numFmtId="169" fontId="39" fillId="0" borderId="0" xfId="0" applyNumberFormat="1" applyFont="1" applyAlignment="1">
      <alignment horizontal="left" vertical="center" shrinkToFit="1"/>
    </xf>
    <xf numFmtId="169" fontId="15" fillId="0" borderId="0" xfId="0" applyNumberFormat="1" applyFont="1" applyAlignment="1">
      <alignment horizontal="center" vertical="center" shrinkToFit="1"/>
    </xf>
    <xf numFmtId="0" fontId="20" fillId="0" borderId="31" xfId="0" applyFont="1" applyBorder="1" applyAlignment="1">
      <alignment horizontal="left" wrapText="1"/>
    </xf>
    <xf numFmtId="169" fontId="15" fillId="0" borderId="31" xfId="0" applyNumberFormat="1" applyFont="1" applyBorder="1" applyAlignment="1">
      <alignment horizontal="center" vertical="center" shrinkToFit="1"/>
    </xf>
    <xf numFmtId="0" fontId="45" fillId="0" borderId="31" xfId="0" applyFont="1" applyBorder="1" applyAlignment="1">
      <alignment horizontal="left" vertical="center" wrapText="1"/>
    </xf>
    <xf numFmtId="0" fontId="20" fillId="0" borderId="31" xfId="0" applyFont="1" applyBorder="1" applyAlignment="1">
      <alignment horizontal="center" wrapText="1"/>
    </xf>
    <xf numFmtId="0" fontId="45" fillId="0" borderId="31" xfId="0" applyFont="1" applyBorder="1" applyAlignment="1">
      <alignment horizontal="center" vertical="center" wrapText="1"/>
    </xf>
    <xf numFmtId="0" fontId="24" fillId="0" borderId="0" xfId="0" applyFont="1" applyAlignment="1">
      <alignment horizontal="left" wrapText="1"/>
    </xf>
    <xf numFmtId="0" fontId="20" fillId="0" borderId="0" xfId="0" applyFont="1" applyAlignment="1">
      <alignment horizontal="left" vertical="center" wrapText="1"/>
    </xf>
    <xf numFmtId="0" fontId="4" fillId="0" borderId="93" xfId="0" applyFont="1" applyBorder="1" applyAlignment="1">
      <alignment vertical="center"/>
    </xf>
    <xf numFmtId="0" fontId="4" fillId="0" borderId="94" xfId="0" applyFont="1" applyBorder="1" applyAlignment="1">
      <alignment vertical="center"/>
    </xf>
    <xf numFmtId="0" fontId="46" fillId="0" borderId="94" xfId="0" applyFont="1" applyBorder="1"/>
    <xf numFmtId="0" fontId="20" fillId="0" borderId="94" xfId="0" applyFont="1" applyBorder="1" applyAlignment="1">
      <alignment vertical="center"/>
    </xf>
    <xf numFmtId="0" fontId="4" fillId="0" borderId="95" xfId="0" applyFont="1" applyBorder="1" applyAlignment="1">
      <alignment vertical="center"/>
    </xf>
    <xf numFmtId="0" fontId="15" fillId="0" borderId="52" xfId="0" applyFont="1" applyBorder="1" applyAlignment="1">
      <alignment horizontal="left" vertical="center" shrinkToFit="1"/>
    </xf>
    <xf numFmtId="0" fontId="15" fillId="0" borderId="52" xfId="0" applyFont="1" applyBorder="1" applyAlignment="1">
      <alignment vertical="center" shrinkToFit="1"/>
    </xf>
    <xf numFmtId="0" fontId="4" fillId="0" borderId="52" xfId="0" applyFont="1" applyBorder="1" applyAlignment="1">
      <alignment horizontal="left" vertical="center"/>
    </xf>
    <xf numFmtId="0" fontId="4" fillId="0" borderId="39" xfId="0" applyFont="1" applyBorder="1" applyAlignment="1">
      <alignment horizontal="left" vertical="center"/>
    </xf>
    <xf numFmtId="0" fontId="20" fillId="0" borderId="43" xfId="0" applyFont="1" applyBorder="1" applyAlignment="1">
      <alignment horizontal="center" vertical="center"/>
    </xf>
    <xf numFmtId="0" fontId="4" fillId="0" borderId="41" xfId="0" applyFont="1" applyBorder="1" applyAlignment="1">
      <alignment horizontal="center" vertical="center" shrinkToFit="1"/>
    </xf>
    <xf numFmtId="0" fontId="4" fillId="0" borderId="96" xfId="0" applyFont="1" applyBorder="1" applyAlignment="1">
      <alignment vertical="center"/>
    </xf>
    <xf numFmtId="0" fontId="20" fillId="0" borderId="97" xfId="0" applyFont="1" applyBorder="1" applyAlignment="1">
      <alignment horizontal="center" vertical="center"/>
    </xf>
    <xf numFmtId="0" fontId="20" fillId="0" borderId="41" xfId="0" applyFont="1" applyBorder="1" applyAlignment="1">
      <alignment horizontal="center" vertical="center"/>
    </xf>
    <xf numFmtId="0" fontId="4" fillId="0" borderId="85" xfId="0" applyFont="1" applyBorder="1" applyAlignment="1">
      <alignment vertical="center"/>
    </xf>
    <xf numFmtId="0" fontId="4" fillId="0" borderId="84" xfId="0" applyFont="1" applyBorder="1" applyAlignment="1">
      <alignment vertical="center"/>
    </xf>
    <xf numFmtId="0" fontId="20" fillId="0" borderId="77" xfId="0" applyFont="1" applyBorder="1" applyAlignment="1">
      <alignment horizontal="center" vertical="center"/>
    </xf>
    <xf numFmtId="0" fontId="4" fillId="0" borderId="15" xfId="0" applyFont="1" applyBorder="1" applyAlignment="1">
      <alignment horizontal="center" vertical="center"/>
    </xf>
    <xf numFmtId="0" fontId="4" fillId="0" borderId="33" xfId="0" applyFont="1" applyBorder="1" applyAlignment="1">
      <alignment vertical="center"/>
    </xf>
    <xf numFmtId="0" fontId="20" fillId="0" borderId="33" xfId="0" applyFont="1" applyBorder="1" applyAlignment="1">
      <alignment horizontal="center" vertical="center"/>
    </xf>
    <xf numFmtId="0" fontId="20" fillId="0" borderId="41" xfId="0" applyFont="1" applyBorder="1" applyAlignment="1">
      <alignment horizontal="right" vertical="center"/>
    </xf>
    <xf numFmtId="0" fontId="20" fillId="0" borderId="98" xfId="0" applyFont="1" applyBorder="1" applyAlignment="1">
      <alignment horizontal="center" vertical="center"/>
    </xf>
    <xf numFmtId="0" fontId="4" fillId="0" borderId="41" xfId="0" applyFont="1" applyBorder="1" applyAlignment="1">
      <alignment horizontal="right" vertical="center"/>
    </xf>
    <xf numFmtId="0" fontId="20" fillId="0" borderId="99" xfId="0" applyFont="1" applyBorder="1" applyAlignment="1">
      <alignment horizontal="center" vertical="center"/>
    </xf>
    <xf numFmtId="0" fontId="20" fillId="0" borderId="100" xfId="0" applyFont="1" applyBorder="1" applyAlignment="1">
      <alignment horizontal="center" vertical="center"/>
    </xf>
    <xf numFmtId="0" fontId="20" fillId="0" borderId="101" xfId="0" applyFont="1" applyBorder="1" applyAlignment="1">
      <alignment horizontal="center" vertical="center"/>
    </xf>
    <xf numFmtId="0" fontId="24" fillId="0" borderId="100" xfId="0" applyFont="1" applyBorder="1" applyAlignment="1">
      <alignment horizontal="center" vertical="center"/>
    </xf>
    <xf numFmtId="0" fontId="24" fillId="0" borderId="102" xfId="0" applyFont="1" applyBorder="1" applyAlignment="1">
      <alignment horizontal="center" vertical="center"/>
    </xf>
    <xf numFmtId="0" fontId="4" fillId="0" borderId="103" xfId="0" applyFont="1" applyBorder="1" applyAlignment="1">
      <alignment vertical="center"/>
    </xf>
    <xf numFmtId="0" fontId="20" fillId="0" borderId="104" xfId="0" applyFont="1" applyBorder="1" applyAlignment="1">
      <alignment horizontal="center" vertical="center"/>
    </xf>
    <xf numFmtId="0" fontId="4" fillId="0" borderId="55" xfId="0" applyFont="1" applyBorder="1" applyAlignment="1">
      <alignment horizontal="center" vertical="center"/>
    </xf>
    <xf numFmtId="0" fontId="4" fillId="0" borderId="65" xfId="0" applyFont="1" applyBorder="1" applyAlignment="1">
      <alignment horizontal="center" vertical="center"/>
    </xf>
    <xf numFmtId="0" fontId="20" fillId="0" borderId="105" xfId="0" applyFont="1" applyBorder="1" applyAlignment="1">
      <alignment horizontal="center" vertical="center"/>
    </xf>
    <xf numFmtId="0" fontId="24" fillId="0" borderId="55" xfId="0" applyFont="1" applyBorder="1" applyAlignment="1">
      <alignment horizontal="center" vertical="center"/>
    </xf>
    <xf numFmtId="0" fontId="24" fillId="0" borderId="65" xfId="0" applyFont="1" applyBorder="1" applyAlignment="1">
      <alignment horizontal="center" vertical="center"/>
    </xf>
    <xf numFmtId="170" fontId="4" fillId="0" borderId="59" xfId="0" applyNumberFormat="1" applyFont="1" applyBorder="1" applyAlignment="1">
      <alignment horizontal="right" vertical="center"/>
    </xf>
    <xf numFmtId="170" fontId="4" fillId="0" borderId="59" xfId="0" applyNumberFormat="1" applyFont="1" applyBorder="1" applyAlignment="1">
      <alignment vertical="center"/>
    </xf>
    <xf numFmtId="170" fontId="4" fillId="0" borderId="61" xfId="0" applyNumberFormat="1" applyFont="1" applyBorder="1" applyAlignment="1">
      <alignment vertical="center"/>
    </xf>
    <xf numFmtId="170" fontId="4" fillId="0" borderId="52" xfId="0" applyNumberFormat="1" applyFont="1" applyBorder="1" applyAlignment="1">
      <alignment vertical="center"/>
    </xf>
    <xf numFmtId="170" fontId="4" fillId="0" borderId="54" xfId="0" applyNumberFormat="1" applyFont="1" applyBorder="1" applyAlignment="1">
      <alignment vertical="center"/>
    </xf>
    <xf numFmtId="0" fontId="20" fillId="0" borderId="106" xfId="0" applyFont="1" applyBorder="1" applyAlignment="1">
      <alignment horizontal="center" vertical="center"/>
    </xf>
    <xf numFmtId="0" fontId="4" fillId="0" borderId="107" xfId="0" applyFont="1" applyBorder="1" applyAlignment="1">
      <alignment vertical="center"/>
    </xf>
    <xf numFmtId="0" fontId="20" fillId="0" borderId="108" xfId="0" applyFont="1" applyBorder="1" applyAlignment="1">
      <alignment horizontal="center" vertical="center"/>
    </xf>
    <xf numFmtId="0" fontId="20" fillId="0" borderId="109" xfId="0" applyFont="1" applyBorder="1" applyAlignment="1">
      <alignment horizontal="center" vertical="center"/>
    </xf>
    <xf numFmtId="0" fontId="20" fillId="0" borderId="110" xfId="0" applyFont="1" applyBorder="1" applyAlignment="1">
      <alignment horizontal="center" vertical="center"/>
    </xf>
    <xf numFmtId="0" fontId="20" fillId="0" borderId="111" xfId="0" applyFont="1" applyBorder="1" applyAlignment="1">
      <alignment horizontal="center" vertical="center"/>
    </xf>
    <xf numFmtId="0" fontId="20" fillId="0" borderId="112" xfId="0" applyFont="1" applyBorder="1" applyAlignment="1">
      <alignment horizontal="center" vertical="center"/>
    </xf>
    <xf numFmtId="0" fontId="20" fillId="0" borderId="113" xfId="0" applyFont="1" applyBorder="1" applyAlignment="1">
      <alignment horizontal="left" vertical="center"/>
    </xf>
    <xf numFmtId="0" fontId="4" fillId="0" borderId="100" xfId="0" applyFont="1" applyBorder="1" applyAlignment="1">
      <alignment vertical="center"/>
    </xf>
    <xf numFmtId="0" fontId="4" fillId="0" borderId="114" xfId="0" applyFont="1" applyBorder="1" applyAlignment="1">
      <alignment vertical="center"/>
    </xf>
    <xf numFmtId="38" fontId="15" fillId="0" borderId="99" xfId="0" applyNumberFormat="1" applyFont="1" applyBorder="1" applyAlignment="1">
      <alignment vertical="center"/>
    </xf>
    <xf numFmtId="0" fontId="15" fillId="0" borderId="100" xfId="0" applyFont="1" applyBorder="1" applyAlignment="1">
      <alignment horizontal="right" vertical="center"/>
    </xf>
    <xf numFmtId="38" fontId="15" fillId="0" borderId="100" xfId="0" applyNumberFormat="1" applyFont="1" applyBorder="1" applyAlignment="1">
      <alignment horizontal="right" vertical="center"/>
    </xf>
    <xf numFmtId="0" fontId="15" fillId="0" borderId="114" xfId="0" applyFont="1" applyBorder="1" applyAlignment="1">
      <alignment horizontal="center" vertical="center"/>
    </xf>
    <xf numFmtId="0" fontId="4" fillId="0" borderId="99" xfId="0" applyFont="1" applyBorder="1" applyAlignment="1">
      <alignment horizontal="center" vertical="center"/>
    </xf>
    <xf numFmtId="0" fontId="4" fillId="0" borderId="100" xfId="0" applyFont="1" applyBorder="1" applyAlignment="1">
      <alignment horizontal="center" vertical="center"/>
    </xf>
    <xf numFmtId="0" fontId="4" fillId="0" borderId="102" xfId="0" applyFont="1" applyBorder="1" applyAlignment="1">
      <alignment horizontal="center" vertical="center"/>
    </xf>
    <xf numFmtId="0" fontId="20" fillId="0" borderId="115" xfId="0" applyFont="1" applyBorder="1" applyAlignment="1">
      <alignment horizontal="left" vertical="center"/>
    </xf>
    <xf numFmtId="171" fontId="15" fillId="0" borderId="4" xfId="0" applyNumberFormat="1" applyFont="1" applyBorder="1" applyAlignment="1">
      <alignment vertical="center"/>
    </xf>
    <xf numFmtId="171" fontId="4" fillId="0" borderId="52" xfId="0" applyNumberFormat="1" applyFont="1" applyBorder="1" applyAlignment="1">
      <alignment vertical="center"/>
    </xf>
    <xf numFmtId="171" fontId="15" fillId="0" borderId="52" xfId="0" applyNumberFormat="1" applyFont="1" applyBorder="1" applyAlignment="1">
      <alignment horizontal="right" vertical="center"/>
    </xf>
    <xf numFmtId="3" fontId="15" fillId="0" borderId="52" xfId="0" applyNumberFormat="1" applyFont="1" applyBorder="1" applyAlignment="1">
      <alignment horizontal="right" vertical="center"/>
    </xf>
    <xf numFmtId="0" fontId="15" fillId="0" borderId="54" xfId="0" applyFont="1" applyBorder="1" applyAlignment="1">
      <alignment horizontal="center" vertical="center"/>
    </xf>
    <xf numFmtId="0" fontId="4" fillId="0" borderId="9" xfId="0" applyFont="1" applyBorder="1" applyAlignment="1">
      <alignment horizontal="center" vertical="center"/>
    </xf>
    <xf numFmtId="0" fontId="20" fillId="0" borderId="116" xfId="0" applyFont="1" applyBorder="1" applyAlignment="1">
      <alignment horizontal="left" vertical="center"/>
    </xf>
    <xf numFmtId="0" fontId="4" fillId="0" borderId="109" xfId="0" applyFont="1" applyBorder="1" applyAlignment="1">
      <alignment vertical="center"/>
    </xf>
    <xf numFmtId="0" fontId="4" fillId="0" borderId="117" xfId="0" applyFont="1" applyBorder="1" applyAlignment="1">
      <alignment vertical="center"/>
    </xf>
    <xf numFmtId="171" fontId="15" fillId="0" borderId="108" xfId="0" applyNumberFormat="1" applyFont="1" applyBorder="1" applyAlignment="1">
      <alignment vertical="center"/>
    </xf>
    <xf numFmtId="171" fontId="4" fillId="0" borderId="109" xfId="0" applyNumberFormat="1" applyFont="1" applyBorder="1" applyAlignment="1">
      <alignment vertical="center"/>
    </xf>
    <xf numFmtId="171" fontId="15" fillId="0" borderId="109" xfId="0" applyNumberFormat="1" applyFont="1" applyBorder="1" applyAlignment="1">
      <alignment horizontal="right" vertical="center"/>
    </xf>
    <xf numFmtId="3" fontId="15" fillId="0" borderId="109" xfId="0" applyNumberFormat="1" applyFont="1" applyBorder="1" applyAlignment="1">
      <alignment horizontal="right" vertical="center"/>
    </xf>
    <xf numFmtId="171" fontId="15" fillId="0" borderId="117" xfId="0" applyNumberFormat="1" applyFont="1" applyBorder="1" applyAlignment="1">
      <alignment vertical="center"/>
    </xf>
    <xf numFmtId="0" fontId="4" fillId="0" borderId="108" xfId="0" applyFont="1" applyBorder="1" applyAlignment="1">
      <alignment horizontal="center" vertical="center"/>
    </xf>
    <xf numFmtId="0" fontId="4" fillId="0" borderId="109" xfId="0" applyFont="1" applyBorder="1" applyAlignment="1">
      <alignment horizontal="center" vertical="center"/>
    </xf>
    <xf numFmtId="0" fontId="4" fillId="0" borderId="112" xfId="0" applyFont="1" applyBorder="1" applyAlignment="1">
      <alignment horizontal="center" vertical="center"/>
    </xf>
    <xf numFmtId="0" fontId="20" fillId="0" borderId="80" xfId="0" applyFont="1" applyBorder="1" applyAlignment="1">
      <alignment horizontal="center" vertical="center"/>
    </xf>
    <xf numFmtId="0" fontId="4" fillId="0" borderId="35" xfId="0" applyFont="1" applyBorder="1" applyAlignment="1">
      <alignment vertical="center"/>
    </xf>
    <xf numFmtId="0" fontId="20" fillId="0" borderId="35" xfId="0" applyFont="1" applyBorder="1" applyAlignment="1">
      <alignment horizontal="center" vertical="center"/>
    </xf>
    <xf numFmtId="0" fontId="4" fillId="0" borderId="118" xfId="0" applyFont="1" applyBorder="1" applyAlignment="1">
      <alignment vertical="center"/>
    </xf>
    <xf numFmtId="0" fontId="20" fillId="0" borderId="118" xfId="0" applyFont="1" applyBorder="1" applyAlignment="1">
      <alignment horizontal="center" vertical="center"/>
    </xf>
    <xf numFmtId="0" fontId="20" fillId="0" borderId="119" xfId="0" applyFont="1" applyBorder="1" applyAlignment="1">
      <alignment horizontal="center" vertical="center" textRotation="255"/>
    </xf>
    <xf numFmtId="0" fontId="20" fillId="0" borderId="8" xfId="0" applyFont="1" applyBorder="1" applyAlignment="1">
      <alignment horizontal="center" vertical="center"/>
    </xf>
    <xf numFmtId="3" fontId="15" fillId="0" borderId="8" xfId="0" applyNumberFormat="1" applyFont="1" applyBorder="1" applyAlignment="1">
      <alignment vertical="center"/>
    </xf>
    <xf numFmtId="38" fontId="15" fillId="0" borderId="0" xfId="0" applyNumberFormat="1" applyFont="1" applyAlignment="1">
      <alignment horizontal="right" vertical="center"/>
    </xf>
    <xf numFmtId="0" fontId="4" fillId="0" borderId="4" xfId="0" applyFont="1" applyBorder="1" applyAlignment="1">
      <alignment horizontal="center" vertical="center" shrinkToFit="1"/>
    </xf>
    <xf numFmtId="0" fontId="4" fillId="0" borderId="52" xfId="0" applyFont="1" applyBorder="1" applyAlignment="1">
      <alignment horizontal="center" vertical="center" shrinkToFit="1"/>
    </xf>
    <xf numFmtId="0" fontId="4" fillId="0" borderId="120" xfId="0" applyFont="1" applyBorder="1" applyAlignment="1">
      <alignment horizontal="center" vertical="center" shrinkToFit="1"/>
    </xf>
    <xf numFmtId="0" fontId="20" fillId="0" borderId="0" xfId="0" applyFont="1" applyAlignment="1">
      <alignment vertical="center" textRotation="255"/>
    </xf>
    <xf numFmtId="0" fontId="4" fillId="0" borderId="119" xfId="0" applyFont="1" applyBorder="1" applyAlignment="1">
      <alignment vertical="center"/>
    </xf>
    <xf numFmtId="171" fontId="15" fillId="0" borderId="55" xfId="0" applyNumberFormat="1" applyFont="1" applyBorder="1" applyAlignment="1">
      <alignment horizontal="right" vertical="center"/>
    </xf>
    <xf numFmtId="0" fontId="4" fillId="0" borderId="9" xfId="0" applyFont="1" applyBorder="1" applyAlignment="1">
      <alignment horizontal="center" vertical="center" shrinkToFit="1"/>
    </xf>
    <xf numFmtId="0" fontId="4" fillId="0" borderId="55" xfId="0" applyFont="1" applyBorder="1" applyAlignment="1">
      <alignment horizontal="center" vertical="center" shrinkToFit="1"/>
    </xf>
    <xf numFmtId="0" fontId="4" fillId="0" borderId="65" xfId="0" applyFont="1" applyBorder="1" applyAlignment="1">
      <alignment horizontal="center" vertical="center" shrinkToFit="1"/>
    </xf>
    <xf numFmtId="0" fontId="4" fillId="0" borderId="65" xfId="0" applyFont="1" applyBorder="1" applyAlignment="1">
      <alignment vertical="center"/>
    </xf>
    <xf numFmtId="0" fontId="4" fillId="0" borderId="121" xfId="0" applyFont="1" applyBorder="1" applyAlignment="1">
      <alignment vertical="center"/>
    </xf>
    <xf numFmtId="0" fontId="20" fillId="0" borderId="108" xfId="0" applyFont="1" applyBorder="1" applyAlignment="1">
      <alignment horizontal="left" vertical="center"/>
    </xf>
    <xf numFmtId="0" fontId="15" fillId="0" borderId="108" xfId="0" applyFont="1" applyBorder="1" applyAlignment="1">
      <alignment vertical="center"/>
    </xf>
    <xf numFmtId="0" fontId="15" fillId="0" borderId="109" xfId="0" applyFont="1" applyBorder="1" applyAlignment="1">
      <alignment vertical="center"/>
    </xf>
    <xf numFmtId="0" fontId="15" fillId="0" borderId="117" xfId="0" applyFont="1" applyBorder="1" applyAlignment="1">
      <alignment vertical="center"/>
    </xf>
    <xf numFmtId="0" fontId="20" fillId="0" borderId="109" xfId="0" applyFont="1" applyBorder="1" applyAlignment="1">
      <alignment vertical="center"/>
    </xf>
    <xf numFmtId="0" fontId="20" fillId="0" borderId="112" xfId="0" applyFont="1" applyBorder="1" applyAlignment="1">
      <alignment vertical="center"/>
    </xf>
    <xf numFmtId="0" fontId="20" fillId="0" borderId="57" xfId="0" applyFont="1" applyBorder="1" applyAlignment="1">
      <alignment vertical="center"/>
    </xf>
    <xf numFmtId="0" fontId="20" fillId="7" borderId="57" xfId="0" applyFont="1" applyFill="1" applyBorder="1" applyAlignment="1">
      <alignment vertical="center"/>
    </xf>
    <xf numFmtId="0" fontId="20" fillId="0" borderId="52" xfId="0" applyFont="1" applyBorder="1" applyAlignment="1">
      <alignment horizontal="center" vertical="center"/>
    </xf>
    <xf numFmtId="0" fontId="20" fillId="0" borderId="52" xfId="0" applyFont="1" applyBorder="1" applyAlignment="1">
      <alignment vertical="center"/>
    </xf>
    <xf numFmtId="0" fontId="33" fillId="0" borderId="0" xfId="0" applyFont="1" applyAlignment="1">
      <alignment horizontal="left" vertical="center"/>
    </xf>
    <xf numFmtId="164" fontId="15" fillId="0" borderId="0" xfId="0" applyNumberFormat="1" applyFont="1" applyAlignment="1">
      <alignment horizontal="right"/>
    </xf>
    <xf numFmtId="0" fontId="15" fillId="0" borderId="0" xfId="0" applyFont="1" applyAlignment="1">
      <alignment horizontal="center"/>
    </xf>
    <xf numFmtId="0" fontId="15" fillId="0" borderId="6" xfId="0" applyFont="1" applyBorder="1" applyAlignment="1">
      <alignment horizontal="left"/>
    </xf>
    <xf numFmtId="0" fontId="15" fillId="0" borderId="11" xfId="0" applyFont="1" applyBorder="1" applyAlignment="1">
      <alignment horizontal="left"/>
    </xf>
    <xf numFmtId="0" fontId="15" fillId="0" borderId="11" xfId="0" applyFont="1" applyBorder="1" applyAlignment="1">
      <alignment vertical="center"/>
    </xf>
    <xf numFmtId="0" fontId="15" fillId="0" borderId="0" xfId="0" applyFont="1" applyAlignment="1">
      <alignment horizontal="left"/>
    </xf>
    <xf numFmtId="0" fontId="15" fillId="0" borderId="6" xfId="0" applyFont="1" applyBorder="1"/>
    <xf numFmtId="0" fontId="15" fillId="0" borderId="31" xfId="0" applyFont="1" applyBorder="1" applyAlignment="1">
      <alignment horizontal="center" shrinkToFit="1"/>
    </xf>
    <xf numFmtId="0" fontId="15" fillId="0" borderId="31" xfId="0" applyFont="1" applyBorder="1" applyAlignment="1">
      <alignment horizontal="center"/>
    </xf>
    <xf numFmtId="0" fontId="15" fillId="0" borderId="0" xfId="0" applyFont="1"/>
    <xf numFmtId="0" fontId="47"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horizontal="left" vertical="center"/>
    </xf>
    <xf numFmtId="0" fontId="36" fillId="0" borderId="0" xfId="0" applyFont="1" applyAlignment="1">
      <alignment horizontal="left" vertical="center" wrapText="1"/>
    </xf>
    <xf numFmtId="0" fontId="15" fillId="0" borderId="0" xfId="0" applyFont="1" applyAlignment="1">
      <alignment vertical="center" shrinkToFit="1"/>
    </xf>
    <xf numFmtId="0" fontId="8" fillId="0" borderId="31" xfId="0" applyFont="1" applyBorder="1" applyAlignment="1">
      <alignment horizontal="left" shrinkToFit="1"/>
    </xf>
    <xf numFmtId="0" fontId="8" fillId="0" borderId="19" xfId="0" applyFont="1" applyBorder="1" applyAlignment="1">
      <alignment horizontal="center"/>
    </xf>
    <xf numFmtId="170" fontId="8" fillId="0" borderId="11" xfId="0" applyNumberFormat="1" applyFont="1" applyBorder="1" applyAlignment="1">
      <alignment horizontal="center"/>
    </xf>
    <xf numFmtId="0" fontId="48" fillId="0" borderId="0" xfId="0" applyFont="1" applyAlignment="1">
      <alignment vertical="center"/>
    </xf>
    <xf numFmtId="0" fontId="49"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top"/>
    </xf>
    <xf numFmtId="0" fontId="8" fillId="0" borderId="0" xfId="0" applyFont="1" applyAlignment="1">
      <alignment vertical="top"/>
    </xf>
    <xf numFmtId="0" fontId="45" fillId="0" borderId="0" xfId="0" applyFont="1" applyAlignment="1">
      <alignment horizontal="center" vertical="center"/>
    </xf>
    <xf numFmtId="164" fontId="15" fillId="0" borderId="0" xfId="0" applyNumberFormat="1" applyFont="1"/>
    <xf numFmtId="0" fontId="15" fillId="0" borderId="0" xfId="0" applyFont="1" applyAlignment="1">
      <alignment horizontal="left" vertical="center" shrinkToFit="1"/>
    </xf>
    <xf numFmtId="0" fontId="50" fillId="0" borderId="0" xfId="0" applyFont="1" applyAlignment="1">
      <alignment horizontal="center" vertical="center" shrinkToFit="1"/>
    </xf>
    <xf numFmtId="0" fontId="51" fillId="0" borderId="0" xfId="0" applyFont="1" applyAlignment="1">
      <alignment horizontal="center" vertical="center" wrapText="1"/>
    </xf>
    <xf numFmtId="0" fontId="1" fillId="0" borderId="0" xfId="0" applyFont="1" applyAlignment="1">
      <alignment horizontal="center" vertical="center" wrapText="1"/>
    </xf>
    <xf numFmtId="0" fontId="9" fillId="0" borderId="0" xfId="0" applyFont="1" applyAlignment="1">
      <alignment horizontal="left" vertical="center" shrinkToFit="1"/>
    </xf>
    <xf numFmtId="0" fontId="9" fillId="0" borderId="0" xfId="0" applyFont="1" applyAlignment="1">
      <alignment vertical="center" wrapText="1"/>
    </xf>
    <xf numFmtId="0" fontId="3" fillId="0" borderId="31" xfId="0" applyFont="1" applyBorder="1" applyAlignment="1">
      <alignment horizontal="center" vertical="center"/>
    </xf>
    <xf numFmtId="0" fontId="3" fillId="0" borderId="80" xfId="0" applyFont="1" applyBorder="1" applyAlignment="1">
      <alignment horizontal="center" vertical="center" shrinkToFit="1"/>
    </xf>
    <xf numFmtId="0" fontId="3" fillId="0" borderId="118"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80" xfId="0" applyFont="1" applyBorder="1" applyAlignment="1">
      <alignment vertical="center" shrinkToFit="1"/>
    </xf>
    <xf numFmtId="0" fontId="3" fillId="0" borderId="118" xfId="0" applyFont="1" applyBorder="1" applyAlignment="1">
      <alignment vertical="center" shrinkToFit="1"/>
    </xf>
    <xf numFmtId="0" fontId="3" fillId="0" borderId="43" xfId="0" applyFont="1" applyBorder="1" applyAlignment="1">
      <alignment horizontal="left" vertical="center"/>
    </xf>
    <xf numFmtId="0" fontId="3" fillId="0" borderId="42" xfId="0" applyFont="1" applyBorder="1" applyAlignment="1">
      <alignment horizontal="left" vertical="center"/>
    </xf>
    <xf numFmtId="0" fontId="3" fillId="0" borderId="78" xfId="0" applyFont="1" applyBorder="1" applyAlignment="1">
      <alignment vertical="center"/>
    </xf>
    <xf numFmtId="0" fontId="3" fillId="0" borderId="41"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3"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3" fillId="0" borderId="34" xfId="0" applyFont="1" applyBorder="1" applyAlignment="1">
      <alignment vertical="center"/>
    </xf>
    <xf numFmtId="0" fontId="9" fillId="0" borderId="34" xfId="0" applyFont="1" applyBorder="1" applyAlignment="1">
      <alignment horizontal="left" vertical="center" shrinkToFit="1"/>
    </xf>
    <xf numFmtId="0" fontId="9" fillId="0" borderId="34" xfId="0" applyFont="1" applyBorder="1" applyAlignment="1">
      <alignment horizontal="left" vertical="center"/>
    </xf>
    <xf numFmtId="0" fontId="52" fillId="0" borderId="78" xfId="0" applyFont="1" applyBorder="1" applyAlignment="1">
      <alignment vertical="center" wrapText="1"/>
    </xf>
    <xf numFmtId="0" fontId="52" fillId="0" borderId="34" xfId="0" applyFont="1" applyBorder="1" applyAlignment="1">
      <alignment vertical="center" wrapText="1"/>
    </xf>
    <xf numFmtId="0" fontId="3" fillId="0" borderId="45" xfId="0" applyFont="1" applyBorder="1" applyAlignment="1">
      <alignment vertical="center"/>
    </xf>
    <xf numFmtId="0" fontId="9" fillId="0" borderId="31" xfId="0" applyFont="1" applyBorder="1" applyAlignment="1">
      <alignment horizontal="left" vertical="center"/>
    </xf>
    <xf numFmtId="0" fontId="9" fillId="0" borderId="44" xfId="0" applyFont="1" applyBorder="1" applyAlignment="1">
      <alignment horizontal="left" vertical="center"/>
    </xf>
    <xf numFmtId="0" fontId="3" fillId="0" borderId="31" xfId="0" applyFont="1" applyBorder="1" applyAlignment="1">
      <alignment vertical="center"/>
    </xf>
    <xf numFmtId="0" fontId="3" fillId="0" borderId="35" xfId="0" applyFont="1" applyBorder="1" applyAlignment="1">
      <alignment vertical="center" shrinkToFit="1"/>
    </xf>
    <xf numFmtId="0" fontId="3" fillId="0" borderId="0" xfId="0" applyFont="1" applyAlignment="1">
      <alignment vertical="center" shrinkToFit="1"/>
    </xf>
    <xf numFmtId="0" fontId="3" fillId="0" borderId="80" xfId="0" applyFont="1" applyBorder="1" applyAlignment="1">
      <alignment horizontal="center" vertical="center"/>
    </xf>
    <xf numFmtId="0" fontId="3" fillId="0" borderId="35" xfId="0" applyFont="1" applyBorder="1" applyAlignment="1">
      <alignment horizontal="center" vertical="center"/>
    </xf>
    <xf numFmtId="0" fontId="3" fillId="0" borderId="118" xfId="0" applyFont="1" applyBorder="1" applyAlignment="1">
      <alignment horizontal="center" vertical="center"/>
    </xf>
    <xf numFmtId="0" fontId="3" fillId="0" borderId="41" xfId="0" applyFont="1" applyBorder="1" applyAlignment="1">
      <alignment horizontal="center" vertical="center"/>
    </xf>
    <xf numFmtId="0" fontId="3" fillId="0" borderId="35" xfId="0" applyFont="1" applyBorder="1" applyAlignment="1">
      <alignment horizontal="right" vertical="center"/>
    </xf>
    <xf numFmtId="0" fontId="3" fillId="0" borderId="118" xfId="0" applyFont="1" applyBorder="1" applyAlignment="1">
      <alignment horizontal="right" vertical="center"/>
    </xf>
    <xf numFmtId="0" fontId="3" fillId="0" borderId="43" xfId="0" applyFont="1" applyBorder="1" applyAlignment="1">
      <alignment vertical="center" shrinkToFit="1"/>
    </xf>
    <xf numFmtId="0" fontId="3" fillId="0" borderId="42" xfId="0" applyFont="1" applyBorder="1" applyAlignment="1">
      <alignment vertical="center" shrinkToFit="1"/>
    </xf>
    <xf numFmtId="0" fontId="3" fillId="0" borderId="80" xfId="0" applyFont="1" applyBorder="1" applyAlignment="1">
      <alignment vertical="center"/>
    </xf>
    <xf numFmtId="0" fontId="3" fillId="0" borderId="35" xfId="0" applyFont="1" applyBorder="1" applyAlignment="1">
      <alignment vertical="center"/>
    </xf>
    <xf numFmtId="0" fontId="3" fillId="0" borderId="118" xfId="0" applyFont="1" applyBorder="1" applyAlignment="1">
      <alignment vertical="center"/>
    </xf>
    <xf numFmtId="0" fontId="3" fillId="0" borderId="80" xfId="0" applyFont="1" applyBorder="1" applyAlignment="1">
      <alignment horizontal="left" vertical="center"/>
    </xf>
    <xf numFmtId="0" fontId="3" fillId="0" borderId="35" xfId="0" applyFont="1" applyBorder="1" applyAlignment="1">
      <alignment horizontal="left" vertical="center"/>
    </xf>
    <xf numFmtId="0" fontId="3" fillId="0" borderId="45" xfId="0" applyFont="1" applyBorder="1" applyAlignment="1">
      <alignment vertical="center" shrinkToFit="1"/>
    </xf>
    <xf numFmtId="0" fontId="3" fillId="0" borderId="44" xfId="0" applyFont="1" applyBorder="1" applyAlignment="1">
      <alignment vertical="center" shrinkToFit="1"/>
    </xf>
    <xf numFmtId="0" fontId="3" fillId="0" borderId="43"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left" vertical="center" shrinkToFit="1"/>
    </xf>
    <xf numFmtId="0" fontId="3" fillId="0" borderId="41" xfId="0" applyFont="1" applyBorder="1" applyAlignment="1">
      <alignment horizontal="left" vertical="center" shrinkToFit="1"/>
    </xf>
    <xf numFmtId="0" fontId="3" fillId="0" borderId="41" xfId="0" applyFont="1" applyBorder="1" applyAlignment="1">
      <alignment vertical="center" shrinkToFit="1"/>
    </xf>
    <xf numFmtId="0" fontId="3" fillId="0" borderId="42" xfId="0" applyFont="1" applyBorder="1" applyAlignment="1">
      <alignment horizontal="right" vertical="center" shrinkToFit="1"/>
    </xf>
    <xf numFmtId="0" fontId="3" fillId="0" borderId="78" xfId="0" applyFont="1" applyBorder="1" applyAlignment="1">
      <alignment vertical="center" shrinkToFit="1"/>
    </xf>
    <xf numFmtId="0" fontId="3" fillId="0" borderId="34" xfId="0" applyFont="1" applyBorder="1" applyAlignment="1">
      <alignment vertical="center" shrinkToFit="1"/>
    </xf>
    <xf numFmtId="0" fontId="3" fillId="0" borderId="0" xfId="0" applyFont="1" applyAlignment="1">
      <alignment horizontal="left" vertical="center"/>
    </xf>
    <xf numFmtId="0" fontId="3" fillId="0" borderId="0" xfId="0" applyFont="1" applyAlignment="1">
      <alignment horizontal="left" vertical="center" shrinkToFit="1"/>
    </xf>
    <xf numFmtId="0" fontId="3" fillId="0" borderId="31" xfId="0" applyFont="1" applyBorder="1" applyAlignment="1">
      <alignment vertical="center" shrinkToFit="1"/>
    </xf>
    <xf numFmtId="0" fontId="3" fillId="0" borderId="44" xfId="0" applyFont="1" applyBorder="1" applyAlignment="1">
      <alignment horizontal="center" vertical="center"/>
    </xf>
    <xf numFmtId="0" fontId="3" fillId="0" borderId="31" xfId="0" applyFont="1" applyBorder="1" applyAlignment="1">
      <alignment horizontal="left" vertical="center"/>
    </xf>
    <xf numFmtId="0" fontId="3" fillId="0" borderId="44" xfId="0" applyFont="1" applyBorder="1" applyAlignment="1">
      <alignment vertical="center"/>
    </xf>
    <xf numFmtId="0" fontId="3" fillId="0" borderId="43" xfId="0" applyFont="1" applyBorder="1" applyAlignment="1">
      <alignment vertical="center" wrapText="1"/>
    </xf>
    <xf numFmtId="0" fontId="3" fillId="0" borderId="42" xfId="0" applyFont="1" applyBorder="1" applyAlignment="1">
      <alignment vertical="center" wrapText="1"/>
    </xf>
    <xf numFmtId="0" fontId="3" fillId="0" borderId="74" xfId="0" applyFont="1" applyBorder="1" applyAlignment="1">
      <alignment vertical="center"/>
    </xf>
    <xf numFmtId="0" fontId="3" fillId="0" borderId="78" xfId="0" applyFont="1" applyBorder="1" applyAlignment="1">
      <alignment vertical="center" wrapText="1"/>
    </xf>
    <xf numFmtId="0" fontId="3" fillId="0" borderId="34" xfId="0" applyFont="1" applyBorder="1" applyAlignment="1">
      <alignment vertical="center" wrapText="1"/>
    </xf>
    <xf numFmtId="0" fontId="3" fillId="0" borderId="74" xfId="0" applyFont="1" applyBorder="1" applyAlignment="1">
      <alignment horizontal="left" vertical="center" shrinkToFit="1"/>
    </xf>
    <xf numFmtId="38" fontId="3" fillId="0" borderId="80" xfId="0" applyNumberFormat="1" applyFont="1" applyBorder="1" applyAlignment="1">
      <alignment horizontal="right" vertical="center" shrinkToFit="1"/>
    </xf>
    <xf numFmtId="38" fontId="3" fillId="0" borderId="35" xfId="0" applyNumberFormat="1" applyFont="1" applyBorder="1" applyAlignment="1">
      <alignment horizontal="right" vertical="center" shrinkToFit="1"/>
    </xf>
    <xf numFmtId="0" fontId="3" fillId="0" borderId="80" xfId="0" applyFont="1" applyBorder="1" applyAlignment="1">
      <alignment horizontal="left" vertical="center" shrinkToFit="1"/>
    </xf>
    <xf numFmtId="0" fontId="3" fillId="0" borderId="35" xfId="0" applyFont="1" applyBorder="1" applyAlignment="1">
      <alignment horizontal="left" vertical="center" shrinkToFit="1"/>
    </xf>
    <xf numFmtId="0" fontId="3" fillId="0" borderId="118" xfId="0" applyFont="1" applyBorder="1" applyAlignment="1">
      <alignment horizontal="left" vertical="center" shrinkToFit="1"/>
    </xf>
    <xf numFmtId="0" fontId="3" fillId="0" borderId="78" xfId="0" applyFont="1" applyBorder="1" applyAlignment="1">
      <alignment horizontal="center" vertical="center"/>
    </xf>
    <xf numFmtId="0" fontId="3" fillId="0" borderId="34" xfId="0" applyFont="1" applyBorder="1" applyAlignment="1">
      <alignment horizontal="center" vertical="center"/>
    </xf>
    <xf numFmtId="0" fontId="53" fillId="0" borderId="0" xfId="0" applyFont="1" applyAlignment="1">
      <alignment horizontal="center" vertical="center" shrinkToFit="1" textRotation="255"/>
    </xf>
    <xf numFmtId="0" fontId="20" fillId="0" borderId="0" xfId="0" applyFont="1" applyAlignment="1">
      <alignment horizontal="right" vertical="center" shrinkToFit="1"/>
    </xf>
    <xf numFmtId="0" fontId="3" fillId="0" borderId="45" xfId="0" applyFont="1" applyBorder="1" applyAlignment="1">
      <alignment horizontal="center" vertical="center"/>
    </xf>
    <xf numFmtId="0" fontId="3" fillId="0" borderId="49" xfId="0" applyFont="1" applyBorder="1" applyAlignment="1">
      <alignment vertical="center" shrinkToFit="1"/>
    </xf>
    <xf numFmtId="0" fontId="1" fillId="0" borderId="50" xfId="0" applyFont="1" applyBorder="1" applyAlignment="1">
      <alignment vertical="center" shrinkToFit="1"/>
    </xf>
    <xf numFmtId="0" fontId="1" fillId="0" borderId="51" xfId="0" applyFont="1" applyBorder="1" applyAlignment="1">
      <alignment vertical="center" shrinkToFit="1"/>
    </xf>
    <xf numFmtId="0" fontId="1" fillId="0" borderId="49" xfId="0" applyFont="1" applyBorder="1" applyAlignment="1">
      <alignment horizontal="left" vertical="center" shrinkToFit="1"/>
    </xf>
    <xf numFmtId="0" fontId="1" fillId="0" borderId="50" xfId="0" applyFont="1" applyBorder="1" applyAlignment="1">
      <alignment horizontal="left" vertical="center" shrinkToFit="1"/>
    </xf>
    <xf numFmtId="0" fontId="1" fillId="0" borderId="51" xfId="0" applyFont="1" applyBorder="1" applyAlignment="1">
      <alignment horizontal="left" vertical="center" shrinkToFit="1"/>
    </xf>
    <xf numFmtId="49" fontId="20" fillId="0" borderId="0" xfId="0" applyNumberFormat="1" applyFont="1" applyAlignment="1">
      <alignment horizontal="center" vertical="center" shrinkToFit="1"/>
    </xf>
    <xf numFmtId="0" fontId="3" fillId="0" borderId="68" xfId="0" applyFont="1" applyBorder="1" applyAlignment="1">
      <alignment vertical="center" shrinkToFit="1"/>
    </xf>
    <xf numFmtId="0" fontId="3" fillId="0" borderId="69" xfId="0" applyFont="1" applyBorder="1" applyAlignment="1">
      <alignment vertical="center" shrinkToFit="1"/>
    </xf>
    <xf numFmtId="0" fontId="3" fillId="0" borderId="70" xfId="0" applyFont="1" applyBorder="1" applyAlignment="1">
      <alignment vertical="center" shrinkToFit="1"/>
    </xf>
    <xf numFmtId="0" fontId="3" fillId="0" borderId="68" xfId="0" applyFont="1" applyBorder="1" applyAlignment="1">
      <alignment horizontal="left" vertical="center" shrinkToFit="1"/>
    </xf>
    <xf numFmtId="0" fontId="3" fillId="0" borderId="69" xfId="0" applyFont="1" applyBorder="1" applyAlignment="1">
      <alignment horizontal="left" vertical="center" shrinkToFit="1"/>
    </xf>
    <xf numFmtId="0" fontId="3" fillId="0" borderId="70" xfId="0" applyFont="1" applyBorder="1" applyAlignment="1">
      <alignment horizontal="left" vertical="center" shrinkToFit="1"/>
    </xf>
    <xf numFmtId="172" fontId="4" fillId="0" borderId="0" xfId="0" applyNumberFormat="1" applyFont="1" applyAlignment="1">
      <alignment horizontal="center" vertical="center" shrinkToFit="1"/>
    </xf>
    <xf numFmtId="0" fontId="3" fillId="0" borderId="38" xfId="0" applyFont="1" applyBorder="1" applyAlignment="1">
      <alignment horizontal="left" vertical="center" shrinkToFit="1"/>
    </xf>
    <xf numFmtId="0" fontId="3" fillId="0" borderId="122" xfId="0" applyFont="1" applyBorder="1" applyAlignment="1">
      <alignment horizontal="left" vertical="center"/>
    </xf>
    <xf numFmtId="0" fontId="54" fillId="0" borderId="122" xfId="0" applyFont="1" applyBorder="1" applyAlignment="1">
      <alignment horizontal="center" vertical="center"/>
    </xf>
    <xf numFmtId="0" fontId="54" fillId="0" borderId="0" xfId="0" applyFont="1" applyAlignment="1">
      <alignment horizontal="center" vertical="center"/>
    </xf>
    <xf numFmtId="0" fontId="55" fillId="0" borderId="0" xfId="0" applyFont="1" applyAlignment="1">
      <alignment vertical="center" shrinkToFit="1"/>
    </xf>
    <xf numFmtId="0" fontId="55" fillId="0" borderId="0" xfId="0" applyFont="1" applyAlignment="1">
      <alignment horizontal="left" vertical="center" shrinkToFit="1"/>
    </xf>
    <xf numFmtId="0" fontId="3" fillId="0" borderId="38" xfId="0" applyFont="1" applyBorder="1" applyAlignment="1">
      <alignment vertical="center"/>
    </xf>
    <xf numFmtId="0" fontId="3" fillId="0" borderId="38" xfId="0" applyFont="1" applyBorder="1" applyAlignment="1">
      <alignment horizontal="center" vertical="center"/>
    </xf>
    <xf numFmtId="0" fontId="54" fillId="0" borderId="38" xfId="0" applyFont="1" applyBorder="1" applyAlignment="1">
      <alignment horizontal="center" vertical="center"/>
    </xf>
    <xf numFmtId="0" fontId="56" fillId="0" borderId="0" xfId="0" applyFont="1" applyAlignment="1">
      <alignment horizontal="center" vertical="center"/>
    </xf>
    <xf numFmtId="0" fontId="56" fillId="0" borderId="0" xfId="0" applyFont="1" applyAlignment="1">
      <alignment vertical="center"/>
    </xf>
    <xf numFmtId="0" fontId="8" fillId="0" borderId="123" xfId="0" applyFont="1" applyBorder="1" applyAlignment="1">
      <alignment horizontal="center" vertical="center"/>
    </xf>
    <xf numFmtId="0" fontId="8" fillId="0" borderId="124" xfId="0" applyFont="1" applyBorder="1" applyAlignment="1">
      <alignment horizontal="center" vertical="center"/>
    </xf>
    <xf numFmtId="0" fontId="8" fillId="0" borderId="124" xfId="0" applyFont="1" applyBorder="1" applyAlignment="1">
      <alignment horizontal="left" vertical="center"/>
    </xf>
    <xf numFmtId="0" fontId="8" fillId="0" borderId="124" xfId="0" applyFont="1" applyBorder="1" applyAlignment="1">
      <alignment horizontal="right" vertical="center"/>
    </xf>
    <xf numFmtId="0" fontId="8" fillId="0" borderId="125" xfId="0" applyFont="1" applyBorder="1" applyAlignment="1">
      <alignment horizontal="left" vertical="center"/>
    </xf>
    <xf numFmtId="0" fontId="57" fillId="0" borderId="0" xfId="0" applyFont="1" applyAlignment="1">
      <alignment vertical="top"/>
    </xf>
    <xf numFmtId="0" fontId="8" fillId="0" borderId="126" xfId="0" applyFont="1" applyBorder="1" applyAlignment="1">
      <alignment horizontal="center" vertical="center" wrapText="1"/>
    </xf>
    <xf numFmtId="0" fontId="8" fillId="0" borderId="127" xfId="0" applyFont="1" applyBorder="1" applyAlignment="1">
      <alignment horizontal="center" vertical="center" wrapText="1"/>
    </xf>
    <xf numFmtId="0" fontId="8" fillId="0" borderId="91" xfId="0" applyFont="1" applyBorder="1" applyAlignment="1">
      <alignment horizontal="center" vertical="center" wrapText="1"/>
    </xf>
    <xf numFmtId="0" fontId="8" fillId="0" borderId="128" xfId="0" applyFont="1" applyBorder="1" applyAlignment="1">
      <alignment horizontal="center" vertical="center" wrapText="1"/>
    </xf>
    <xf numFmtId="0" fontId="8" fillId="0" borderId="0" xfId="0" applyFont="1" applyAlignment="1">
      <alignment horizontal="center" vertical="center" wrapText="1"/>
    </xf>
    <xf numFmtId="0" fontId="8" fillId="0" borderId="129" xfId="0" applyFont="1" applyBorder="1" applyAlignment="1">
      <alignment horizontal="center" vertical="center" wrapText="1"/>
    </xf>
    <xf numFmtId="0" fontId="8" fillId="0" borderId="130" xfId="0" applyFont="1" applyBorder="1" applyAlignment="1">
      <alignment horizontal="center" vertical="center" wrapText="1"/>
    </xf>
    <xf numFmtId="0" fontId="8" fillId="0" borderId="131"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132" xfId="0" applyFont="1" applyBorder="1" applyAlignment="1">
      <alignment horizontal="left" vertical="center" wrapText="1"/>
    </xf>
    <xf numFmtId="0" fontId="8" fillId="0" borderId="133" xfId="0" applyFont="1" applyBorder="1" applyAlignment="1">
      <alignment horizontal="left" vertical="center" wrapText="1"/>
    </xf>
    <xf numFmtId="0" fontId="8" fillId="0" borderId="134" xfId="0" applyFont="1" applyBorder="1" applyAlignment="1">
      <alignment horizontal="left" vertical="center" wrapText="1"/>
    </xf>
    <xf numFmtId="0" fontId="8" fillId="0" borderId="135" xfId="0" applyFont="1" applyBorder="1" applyAlignment="1">
      <alignment horizontal="left" vertical="center" wrapText="1"/>
    </xf>
    <xf numFmtId="0" fontId="8" fillId="0" borderId="136" xfId="0" applyFont="1" applyBorder="1" applyAlignment="1">
      <alignment horizontal="center" vertical="center" wrapText="1"/>
    </xf>
    <xf numFmtId="0" fontId="8" fillId="0" borderId="137" xfId="0" applyFont="1" applyBorder="1" applyAlignment="1">
      <alignment horizontal="center" vertical="center" wrapText="1"/>
    </xf>
    <xf numFmtId="0" fontId="15" fillId="0" borderId="35" xfId="0" applyFont="1" applyBorder="1" applyAlignment="1">
      <alignment horizontal="center" vertical="center" wrapText="1"/>
    </xf>
    <xf numFmtId="0" fontId="8" fillId="0" borderId="138" xfId="0" applyFont="1" applyBorder="1" applyAlignment="1">
      <alignment horizontal="left" vertical="center" wrapText="1"/>
    </xf>
    <xf numFmtId="0" fontId="8" fillId="0" borderId="80" xfId="0" applyFont="1" applyBorder="1" applyAlignment="1">
      <alignment horizontal="left" vertical="center" wrapText="1"/>
    </xf>
    <xf numFmtId="0" fontId="8" fillId="0" borderId="136" xfId="0" applyFont="1" applyBorder="1" applyAlignment="1">
      <alignment horizontal="left" vertical="center" wrapText="1"/>
    </xf>
    <xf numFmtId="0" fontId="8" fillId="0" borderId="139" xfId="0" applyFont="1" applyBorder="1" applyAlignment="1">
      <alignment horizontal="left" vertical="center" wrapText="1"/>
    </xf>
    <xf numFmtId="0" fontId="8" fillId="0" borderId="35" xfId="0" applyFont="1" applyBorder="1" applyAlignment="1">
      <alignment horizontal="center" vertical="center" wrapText="1"/>
    </xf>
    <xf numFmtId="0" fontId="43" fillId="0" borderId="35" xfId="0" applyFont="1" applyBorder="1" applyAlignment="1">
      <alignment horizontal="center" vertical="center" wrapText="1"/>
    </xf>
    <xf numFmtId="0" fontId="49" fillId="0" borderId="0" xfId="0" applyFont="1" applyAlignment="1">
      <alignment horizontal="center" vertical="center"/>
    </xf>
    <xf numFmtId="0" fontId="8" fillId="0" borderId="0" xfId="0" applyFont="1" applyAlignment="1">
      <alignment horizontal="center" vertical="center"/>
    </xf>
    <xf numFmtId="0" fontId="8" fillId="0" borderId="140" xfId="0" applyFont="1" applyBorder="1" applyAlignment="1">
      <alignment horizontal="left" vertical="center" shrinkToFit="1"/>
    </xf>
    <xf numFmtId="0" fontId="58" fillId="0" borderId="0" xfId="0" applyFont="1" applyAlignment="1">
      <alignment horizontal="center" vertical="center" shrinkToFit="1"/>
    </xf>
    <xf numFmtId="0" fontId="8" fillId="0" borderId="141" xfId="0" applyFont="1" applyBorder="1" applyAlignment="1">
      <alignment horizontal="center" vertical="center"/>
    </xf>
    <xf numFmtId="0" fontId="8" fillId="0" borderId="141" xfId="0" applyFont="1" applyBorder="1" applyAlignment="1">
      <alignment horizontal="left" vertical="center" shrinkToFit="1"/>
    </xf>
    <xf numFmtId="0" fontId="8" fillId="0" borderId="0" xfId="0" applyFont="1" applyAlignment="1">
      <alignment horizontal="center" vertical="center" shrinkToFit="1"/>
    </xf>
    <xf numFmtId="0" fontId="8" fillId="0" borderId="91" xfId="0" applyFont="1" applyBorder="1" applyAlignment="1">
      <alignment horizontal="center" vertical="center"/>
    </xf>
    <xf numFmtId="0" fontId="8" fillId="0" borderId="91" xfId="0" applyFont="1" applyBorder="1" applyAlignment="1">
      <alignment horizontal="left" vertical="center"/>
    </xf>
    <xf numFmtId="0" fontId="8" fillId="0" borderId="0" xfId="0" applyFont="1" applyAlignment="1">
      <alignment horizontal="left" vertical="center" shrinkToFit="1"/>
    </xf>
    <xf numFmtId="0" fontId="15" fillId="0" borderId="141" xfId="0" applyFont="1" applyBorder="1" applyAlignment="1">
      <alignment horizontal="left" vertical="center"/>
    </xf>
    <xf numFmtId="0" fontId="17"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59" fillId="0" borderId="123" xfId="0" applyFont="1" applyBorder="1" applyAlignment="1">
      <alignment horizontal="left" vertical="center"/>
    </xf>
    <xf numFmtId="0" fontId="59" fillId="0" borderId="124" xfId="0" applyFont="1" applyBorder="1" applyAlignment="1">
      <alignment horizontal="left" vertical="center"/>
    </xf>
    <xf numFmtId="0" fontId="59" fillId="0" borderId="125" xfId="0" applyFont="1" applyBorder="1" applyAlignment="1">
      <alignment horizontal="left" vertical="center"/>
    </xf>
    <xf numFmtId="0" fontId="60" fillId="0" borderId="0" xfId="0" applyFont="1" applyAlignment="1">
      <alignment vertical="center" wrapText="1"/>
    </xf>
    <xf numFmtId="0" fontId="59" fillId="0" borderId="123" xfId="0" applyFont="1" applyBorder="1" applyAlignment="1">
      <alignment horizontal="center" vertical="center" wrapText="1"/>
    </xf>
    <xf numFmtId="0" fontId="59" fillId="0" borderId="142" xfId="0" applyFont="1" applyBorder="1" applyAlignment="1">
      <alignment horizontal="center" vertical="center" wrapText="1"/>
    </xf>
    <xf numFmtId="0" fontId="59" fillId="0" borderId="124" xfId="0" applyFont="1" applyBorder="1" applyAlignment="1">
      <alignment horizontal="center" vertical="center" wrapText="1"/>
    </xf>
    <xf numFmtId="0" fontId="59" fillId="0" borderId="125" xfId="0" applyFont="1" applyBorder="1" applyAlignment="1">
      <alignment horizontal="center" vertical="center" wrapText="1"/>
    </xf>
    <xf numFmtId="0" fontId="59" fillId="0" borderId="130" xfId="0" applyFont="1" applyBorder="1" applyAlignment="1">
      <alignment horizontal="center" vertical="center" wrapText="1"/>
    </xf>
    <xf numFmtId="0" fontId="59" fillId="0" borderId="131" xfId="0" applyFont="1" applyBorder="1" applyAlignment="1">
      <alignment horizontal="center" vertical="center" wrapText="1"/>
    </xf>
    <xf numFmtId="0" fontId="59" fillId="0" borderId="31" xfId="0" applyFont="1" applyBorder="1" applyAlignment="1">
      <alignment horizontal="center" vertical="center" wrapText="1"/>
    </xf>
    <xf numFmtId="0" fontId="59" fillId="0" borderId="131" xfId="0" applyFont="1" applyBorder="1" applyAlignment="1">
      <alignment vertical="center" wrapText="1"/>
    </xf>
    <xf numFmtId="0" fontId="59" fillId="0" borderId="143" xfId="0" applyFont="1" applyBorder="1" applyAlignment="1">
      <alignment vertical="center" wrapText="1"/>
    </xf>
    <xf numFmtId="0" fontId="61" fillId="0" borderId="0" xfId="0" applyFont="1" applyAlignment="1">
      <alignment vertical="center" wrapText="1"/>
    </xf>
    <xf numFmtId="0" fontId="59" fillId="0" borderId="136" xfId="0" applyFont="1" applyBorder="1" applyAlignment="1">
      <alignment horizontal="center" vertical="center" wrapText="1"/>
    </xf>
    <xf numFmtId="0" fontId="59" fillId="0" borderId="137" xfId="0" applyFont="1" applyBorder="1" applyAlignment="1">
      <alignment horizontal="center" vertical="center" wrapText="1"/>
    </xf>
    <xf numFmtId="0" fontId="59" fillId="0" borderId="137" xfId="0" applyFont="1" applyBorder="1" applyAlignment="1">
      <alignment vertical="center" wrapText="1"/>
    </xf>
    <xf numFmtId="0" fontId="59" fillId="0" borderId="139" xfId="0" applyFont="1" applyBorder="1" applyAlignment="1">
      <alignment vertical="center" wrapText="1"/>
    </xf>
    <xf numFmtId="0" fontId="59" fillId="0" borderId="139" xfId="0" applyFont="1" applyBorder="1" applyAlignment="1">
      <alignment vertical="top" wrapText="1"/>
    </xf>
    <xf numFmtId="0" fontId="43" fillId="0" borderId="137" xfId="0" applyFont="1" applyBorder="1" applyAlignment="1">
      <alignment vertical="center" wrapText="1"/>
    </xf>
    <xf numFmtId="0" fontId="59" fillId="0" borderId="35" xfId="0" applyFont="1" applyBorder="1" applyAlignment="1">
      <alignment horizontal="center" vertical="center" wrapText="1"/>
    </xf>
    <xf numFmtId="0" fontId="59" fillId="0" borderId="144" xfId="0" applyFont="1" applyBorder="1" applyAlignment="1">
      <alignment horizontal="center" vertical="center" wrapText="1"/>
    </xf>
    <xf numFmtId="0" fontId="59" fillId="0" borderId="145" xfId="0" applyFont="1" applyBorder="1" applyAlignment="1">
      <alignment horizontal="center" vertical="center" wrapText="1"/>
    </xf>
    <xf numFmtId="0" fontId="59" fillId="0" borderId="146" xfId="0" applyFont="1" applyBorder="1" applyAlignment="1">
      <alignment horizontal="center" vertical="center" wrapText="1"/>
    </xf>
    <xf numFmtId="0" fontId="59" fillId="0" borderId="145" xfId="0" applyFont="1" applyBorder="1" applyAlignment="1">
      <alignment vertical="center" wrapText="1"/>
    </xf>
    <xf numFmtId="0" fontId="59" fillId="0" borderId="147" xfId="0" applyFont="1" applyBorder="1" applyAlignment="1">
      <alignment vertical="center" wrapText="1"/>
    </xf>
    <xf numFmtId="0" fontId="62" fillId="0" borderId="0" xfId="0" applyFont="1" applyAlignment="1">
      <alignment horizontal="center" vertical="center" wrapText="1"/>
    </xf>
    <xf numFmtId="0" fontId="59" fillId="0" borderId="0" xfId="0" applyFont="1" applyAlignment="1">
      <alignment vertical="center" wrapText="1"/>
    </xf>
    <xf numFmtId="0" fontId="63" fillId="0" borderId="0" xfId="0" applyFont="1" applyAlignment="1">
      <alignment vertical="center" wrapText="1"/>
    </xf>
    <xf numFmtId="0" fontId="62" fillId="0" borderId="0" xfId="0" applyFont="1" applyAlignment="1">
      <alignment vertical="center" wrapText="1"/>
    </xf>
    <xf numFmtId="0" fontId="59" fillId="0" borderId="124" xfId="0" applyFont="1" applyBorder="1" applyAlignment="1">
      <alignment horizontal="left" vertical="center" wrapText="1"/>
    </xf>
    <xf numFmtId="0" fontId="59" fillId="0" borderId="125" xfId="0" applyFont="1" applyBorder="1" applyAlignment="1">
      <alignment horizontal="left" vertical="center" wrapText="1"/>
    </xf>
    <xf numFmtId="0" fontId="59" fillId="0" borderId="142" xfId="0" applyFont="1" applyBorder="1" applyAlignment="1">
      <alignment vertical="center" wrapText="1"/>
    </xf>
    <xf numFmtId="0" fontId="59" fillId="0" borderId="125" xfId="0" applyFont="1" applyBorder="1" applyAlignment="1">
      <alignment vertical="center" wrapText="1"/>
    </xf>
    <xf numFmtId="0" fontId="59" fillId="0" borderId="92" xfId="0" applyFont="1" applyBorder="1" applyAlignment="1">
      <alignment horizontal="left" vertical="center" wrapText="1"/>
    </xf>
    <xf numFmtId="0" fontId="43" fillId="0" borderId="92" xfId="0" applyFont="1" applyBorder="1" applyAlignment="1">
      <alignment horizontal="left" vertical="center" wrapText="1"/>
    </xf>
    <xf numFmtId="0" fontId="43" fillId="0" borderId="148" xfId="0" applyFont="1" applyBorder="1" applyAlignment="1">
      <alignment horizontal="left" vertical="center" wrapText="1"/>
    </xf>
    <xf numFmtId="0" fontId="49" fillId="0" borderId="0" xfId="0" applyFont="1" applyAlignment="1">
      <alignment horizontal="left" vertical="center"/>
    </xf>
    <xf numFmtId="0" fontId="49" fillId="0" borderId="123" xfId="0" applyFont="1" applyBorder="1" applyAlignment="1">
      <alignment vertical="center"/>
    </xf>
    <xf numFmtId="0" fontId="8" fillId="8" borderId="124" xfId="0" applyFont="1" applyFill="1" applyBorder="1" applyAlignment="1">
      <alignment vertical="center"/>
    </xf>
    <xf numFmtId="0" fontId="15" fillId="8" borderId="124" xfId="0" applyFont="1" applyFill="1" applyBorder="1" applyAlignment="1">
      <alignment vertical="center"/>
    </xf>
    <xf numFmtId="0" fontId="15" fillId="8" borderId="124" xfId="0" applyFont="1" applyFill="1" applyBorder="1" applyAlignment="1">
      <alignment horizontal="right" vertical="center"/>
    </xf>
    <xf numFmtId="0" fontId="8" fillId="8" borderId="124" xfId="0" applyFont="1" applyFill="1" applyBorder="1" applyAlignment="1">
      <alignment horizontal="left" vertical="center"/>
    </xf>
    <xf numFmtId="0" fontId="15" fillId="8" borderId="125" xfId="0" applyFont="1" applyFill="1" applyBorder="1" applyAlignment="1">
      <alignment horizontal="right" vertical="center"/>
    </xf>
    <xf numFmtId="0" fontId="8" fillId="0" borderId="128" xfId="0" applyFont="1" applyBorder="1" applyAlignment="1">
      <alignment vertical="center"/>
    </xf>
    <xf numFmtId="0" fontId="8" fillId="0" borderId="149" xfId="0" applyFont="1" applyBorder="1" applyAlignment="1">
      <alignment vertical="center"/>
    </xf>
    <xf numFmtId="0" fontId="8" fillId="0" borderId="149" xfId="0" applyFont="1" applyBorder="1" applyAlignment="1">
      <alignment horizontal="center" vertical="center"/>
    </xf>
    <xf numFmtId="0" fontId="8" fillId="0" borderId="125" xfId="0" applyFont="1" applyBorder="1" applyAlignment="1">
      <alignment horizontal="center" vertical="center"/>
    </xf>
    <xf numFmtId="0" fontId="8" fillId="0" borderId="134" xfId="0" applyFont="1" applyBorder="1" applyAlignment="1">
      <alignment horizontal="center" vertical="center"/>
    </xf>
    <xf numFmtId="0" fontId="8" fillId="0" borderId="150" xfId="0" applyFont="1" applyBorder="1" applyAlignment="1">
      <alignment horizontal="center" vertical="center"/>
    </xf>
    <xf numFmtId="0" fontId="8" fillId="0" borderId="151" xfId="0" applyFont="1" applyBorder="1" applyAlignment="1">
      <alignment horizontal="center" vertical="center" wrapText="1"/>
    </xf>
    <xf numFmtId="0" fontId="8" fillId="0" borderId="152" xfId="0" applyFont="1" applyBorder="1" applyAlignment="1">
      <alignment horizontal="left" vertical="center" wrapText="1"/>
    </xf>
    <xf numFmtId="0" fontId="8" fillId="0" borderId="134" xfId="0" applyFont="1" applyBorder="1" applyAlignment="1">
      <alignment vertical="center" wrapText="1"/>
    </xf>
    <xf numFmtId="0" fontId="8" fillId="0" borderId="135" xfId="0" applyFont="1" applyBorder="1" applyAlignment="1">
      <alignment vertical="center" wrapText="1"/>
    </xf>
    <xf numFmtId="0" fontId="8" fillId="0" borderId="136" xfId="0" applyFont="1" applyBorder="1" applyAlignment="1">
      <alignment horizontal="center" vertical="center"/>
    </xf>
    <xf numFmtId="0" fontId="8" fillId="0" borderId="153" xfId="0" applyFont="1" applyBorder="1" applyAlignment="1">
      <alignment horizontal="center" vertical="center"/>
    </xf>
    <xf numFmtId="0" fontId="8" fillId="0" borderId="35" xfId="0" applyFont="1" applyBorder="1" applyAlignment="1">
      <alignment horizontal="left" vertical="center" wrapText="1"/>
    </xf>
    <xf numFmtId="0" fontId="8" fillId="0" borderId="136" xfId="0" applyFont="1" applyBorder="1" applyAlignment="1">
      <alignment vertical="center" wrapText="1"/>
    </xf>
    <xf numFmtId="0" fontId="8" fillId="0" borderId="139" xfId="0" applyFont="1" applyBorder="1" applyAlignment="1">
      <alignment vertical="center" wrapText="1"/>
    </xf>
    <xf numFmtId="0" fontId="4" fillId="0" borderId="139" xfId="0" applyFont="1" applyBorder="1" applyAlignment="1">
      <alignment horizontal="center" vertical="center" wrapText="1"/>
    </xf>
    <xf numFmtId="170" fontId="8" fillId="0" borderId="136" xfId="0" applyNumberFormat="1" applyFont="1" applyBorder="1" applyAlignment="1">
      <alignment vertical="center" wrapText="1"/>
    </xf>
    <xf numFmtId="170" fontId="8" fillId="0" borderId="139" xfId="0" applyNumberFormat="1" applyFont="1" applyBorder="1" applyAlignment="1">
      <alignment vertical="center" wrapText="1"/>
    </xf>
    <xf numFmtId="0" fontId="4" fillId="0" borderId="35" xfId="0" applyFont="1" applyBorder="1" applyAlignment="1">
      <alignment horizontal="center" vertical="center" wrapText="1"/>
    </xf>
    <xf numFmtId="0" fontId="3" fillId="0" borderId="153" xfId="0" applyFont="1" applyBorder="1" applyAlignment="1">
      <alignment horizontal="center" vertical="center" wrapText="1"/>
    </xf>
    <xf numFmtId="0" fontId="8" fillId="7" borderId="136" xfId="0" applyFont="1" applyFill="1" applyBorder="1" applyAlignment="1">
      <alignment horizontal="center" vertical="center"/>
    </xf>
    <xf numFmtId="0" fontId="8" fillId="0" borderId="154" xfId="0" applyFont="1" applyBorder="1" applyAlignment="1">
      <alignment horizontal="center" vertical="center"/>
    </xf>
    <xf numFmtId="0" fontId="8" fillId="0" borderId="155" xfId="0" applyFont="1" applyBorder="1" applyAlignment="1">
      <alignment horizontal="center" vertical="center" wrapText="1"/>
    </xf>
    <xf numFmtId="0" fontId="8" fillId="0" borderId="145" xfId="0" applyFont="1" applyBorder="1" applyAlignment="1">
      <alignment horizontal="center" vertical="center" wrapText="1"/>
    </xf>
    <xf numFmtId="0" fontId="8" fillId="0" borderId="144" xfId="0" applyFont="1" applyBorder="1" applyAlignment="1">
      <alignment horizontal="left" vertical="center" wrapText="1"/>
    </xf>
    <xf numFmtId="0" fontId="8" fillId="0" borderId="146" xfId="0" applyFont="1" applyBorder="1" applyAlignment="1">
      <alignment horizontal="left" vertical="center" wrapText="1"/>
    </xf>
    <xf numFmtId="0" fontId="8" fillId="0" borderId="144" xfId="0" applyFont="1" applyBorder="1" applyAlignment="1">
      <alignment vertical="center" wrapText="1"/>
    </xf>
    <xf numFmtId="0" fontId="8" fillId="0" borderId="147" xfId="0" applyFont="1" applyBorder="1" applyAlignment="1">
      <alignment vertical="center" wrapText="1"/>
    </xf>
    <xf numFmtId="0" fontId="64" fillId="0" borderId="0" xfId="0" applyFont="1" applyAlignment="1">
      <alignment horizontal="left" vertical="center" wrapText="1"/>
    </xf>
    <xf numFmtId="0" fontId="8" fillId="0" borderId="91" xfId="0" applyFont="1" applyBorder="1" applyAlignment="1">
      <alignment horizontal="left" vertical="center" shrinkToFit="1"/>
    </xf>
    <xf numFmtId="0" fontId="8" fillId="0" borderId="92" xfId="0" applyFont="1" applyBorder="1" applyAlignment="1">
      <alignment horizontal="center" vertical="center"/>
    </xf>
    <xf numFmtId="0" fontId="61" fillId="0" borderId="0" xfId="0" applyFont="1" applyAlignment="1">
      <alignment horizontal="center" vertical="center" wrapText="1"/>
    </xf>
    <xf numFmtId="0" fontId="61" fillId="0" borderId="0" xfId="0" applyFont="1" applyAlignment="1">
      <alignment horizontal="left" vertical="center" wrapText="1"/>
    </xf>
    <xf numFmtId="0" fontId="3" fillId="0" borderId="123" xfId="0" applyFont="1" applyBorder="1" applyAlignment="1">
      <alignment horizontal="left" vertical="center"/>
    </xf>
    <xf numFmtId="0" fontId="3" fillId="0" borderId="124" xfId="0" applyFont="1" applyBorder="1" applyAlignment="1">
      <alignment horizontal="left" vertical="center" wrapText="1"/>
    </xf>
    <xf numFmtId="0" fontId="3" fillId="0" borderId="134" xfId="0" applyFont="1" applyBorder="1" applyAlignment="1">
      <alignment vertical="center"/>
    </xf>
    <xf numFmtId="0" fontId="3" fillId="0" borderId="156" xfId="0" applyFont="1" applyBorder="1" applyAlignment="1">
      <alignment vertical="center"/>
    </xf>
    <xf numFmtId="0" fontId="3" fillId="0" borderId="157" xfId="0" applyFont="1" applyBorder="1" applyAlignment="1">
      <alignment horizontal="center" vertical="center"/>
    </xf>
    <xf numFmtId="0" fontId="3" fillId="0" borderId="92" xfId="0" applyFont="1" applyBorder="1" applyAlignment="1">
      <alignment horizontal="center" vertical="center"/>
    </xf>
    <xf numFmtId="0" fontId="3" fillId="0" borderId="130" xfId="0" applyFont="1" applyBorder="1" applyAlignment="1">
      <alignment horizontal="center" vertical="center"/>
    </xf>
    <xf numFmtId="0" fontId="3" fillId="0" borderId="158" xfId="0" applyFont="1" applyBorder="1" applyAlignment="1">
      <alignment horizontal="center" vertical="center"/>
    </xf>
    <xf numFmtId="0" fontId="65" fillId="0" borderId="136" xfId="0" applyFont="1" applyBorder="1" applyAlignment="1">
      <alignment horizontal="center" vertical="center" wrapText="1"/>
    </xf>
    <xf numFmtId="0" fontId="65" fillId="0" borderId="137" xfId="0" applyFont="1" applyBorder="1" applyAlignment="1">
      <alignment horizontal="left" vertical="center" wrapText="1"/>
    </xf>
    <xf numFmtId="0" fontId="1" fillId="0" borderId="137" xfId="0" applyFont="1" applyBorder="1" applyAlignment="1">
      <alignment horizontal="left" vertical="center" wrapText="1"/>
    </xf>
    <xf numFmtId="0" fontId="3" fillId="0" borderId="136" xfId="0" applyFont="1" applyBorder="1" applyAlignment="1">
      <alignment horizontal="center" vertical="center"/>
    </xf>
    <xf numFmtId="0" fontId="3" fillId="0" borderId="159" xfId="0" applyFont="1" applyBorder="1" applyAlignment="1">
      <alignment horizontal="center" vertical="center"/>
    </xf>
    <xf numFmtId="0" fontId="65" fillId="0" borderId="137" xfId="0" applyFont="1" applyBorder="1" applyAlignment="1">
      <alignment vertical="center" wrapText="1"/>
    </xf>
    <xf numFmtId="0" fontId="1" fillId="0" borderId="137" xfId="0" applyFont="1" applyBorder="1" applyAlignment="1">
      <alignment vertical="center" wrapText="1"/>
    </xf>
    <xf numFmtId="0" fontId="3" fillId="0" borderId="160" xfId="0" applyFont="1" applyBorder="1" applyAlignment="1">
      <alignment horizontal="center" vertical="center"/>
    </xf>
    <xf numFmtId="0" fontId="65" fillId="0" borderId="137" xfId="0" applyFont="1" applyBorder="1" applyAlignment="1">
      <alignment horizontal="center" vertical="center" wrapText="1"/>
    </xf>
    <xf numFmtId="0" fontId="3" fillId="0" borderId="139" xfId="0" applyFont="1" applyBorder="1" applyAlignment="1">
      <alignment vertical="center" wrapText="1"/>
    </xf>
    <xf numFmtId="0" fontId="3" fillId="0" borderId="137" xfId="0" applyFont="1" applyBorder="1" applyAlignment="1">
      <alignment horizontal="center" vertical="center" wrapText="1"/>
    </xf>
    <xf numFmtId="0" fontId="3" fillId="0" borderId="143" xfId="0" applyFont="1" applyBorder="1" applyAlignment="1">
      <alignment vertical="center" wrapText="1"/>
    </xf>
    <xf numFmtId="0" fontId="3" fillId="0" borderId="161" xfId="0" applyFont="1" applyBorder="1" applyAlignment="1">
      <alignment horizontal="center" vertical="center"/>
    </xf>
    <xf numFmtId="0" fontId="3" fillId="0" borderId="137" xfId="0" applyFont="1" applyBorder="1" applyAlignment="1">
      <alignment vertical="center" wrapText="1"/>
    </xf>
    <xf numFmtId="0" fontId="3" fillId="0" borderId="162" xfId="0" applyFont="1" applyBorder="1" applyAlignment="1">
      <alignment horizontal="center" vertical="center"/>
    </xf>
    <xf numFmtId="0" fontId="3" fillId="0" borderId="35" xfId="0" applyFont="1" applyBorder="1" applyAlignment="1">
      <alignment horizontal="center" vertical="center" wrapText="1"/>
    </xf>
    <xf numFmtId="0" fontId="3" fillId="0" borderId="163" xfId="0" applyFont="1" applyBorder="1" applyAlignment="1">
      <alignment horizontal="center" vertical="center"/>
    </xf>
    <xf numFmtId="0" fontId="3" fillId="0" borderId="164" xfId="0" applyFont="1" applyBorder="1" applyAlignment="1">
      <alignment horizontal="center" vertical="center"/>
    </xf>
    <xf numFmtId="0" fontId="3" fillId="0" borderId="165" xfId="0" applyFont="1" applyBorder="1" applyAlignment="1">
      <alignment horizontal="center" vertical="center"/>
    </xf>
    <xf numFmtId="0" fontId="3" fillId="7" borderId="136" xfId="0" applyFont="1" applyFill="1" applyBorder="1" applyAlignment="1">
      <alignment horizontal="center" vertical="center"/>
    </xf>
    <xf numFmtId="0" fontId="3" fillId="7" borderId="144" xfId="0" applyFont="1" applyFill="1" applyBorder="1" applyAlignment="1">
      <alignment horizontal="center" vertical="center"/>
    </xf>
    <xf numFmtId="0" fontId="3" fillId="0" borderId="166" xfId="0" applyFont="1" applyBorder="1" applyAlignment="1">
      <alignment horizontal="center" vertical="center"/>
    </xf>
    <xf numFmtId="0" fontId="3" fillId="0" borderId="146" xfId="0" applyFont="1" applyBorder="1" applyAlignment="1">
      <alignment horizontal="center" vertical="center" wrapText="1"/>
    </xf>
    <xf numFmtId="0" fontId="3" fillId="0" borderId="145" xfId="0" applyFont="1" applyBorder="1" applyAlignment="1">
      <alignment vertical="center" wrapText="1"/>
    </xf>
    <xf numFmtId="0" fontId="3" fillId="0" borderId="147" xfId="0" applyFont="1" applyBorder="1" applyAlignment="1">
      <alignment vertical="center" wrapText="1"/>
    </xf>
    <xf numFmtId="0" fontId="3" fillId="0" borderId="126" xfId="0" applyFont="1" applyBorder="1" applyAlignment="1">
      <alignment horizontal="left" vertical="center"/>
    </xf>
    <xf numFmtId="0" fontId="3" fillId="0" borderId="91" xfId="0" applyFont="1" applyBorder="1" applyAlignment="1">
      <alignment horizontal="left" vertical="center" wrapText="1"/>
    </xf>
    <xf numFmtId="0" fontId="3" fillId="0" borderId="167" xfId="0" applyFont="1" applyBorder="1" applyAlignment="1">
      <alignment vertical="center"/>
    </xf>
    <xf numFmtId="0" fontId="3" fillId="0" borderId="168" xfId="0" applyFont="1" applyBorder="1" applyAlignment="1">
      <alignment vertical="center"/>
    </xf>
    <xf numFmtId="0" fontId="3" fillId="0" borderId="168" xfId="0" applyFont="1" applyBorder="1" applyAlignment="1">
      <alignment horizontal="center" vertical="center"/>
    </xf>
    <xf numFmtId="0" fontId="3" fillId="0" borderId="134" xfId="0" applyFont="1" applyBorder="1" applyAlignment="1">
      <alignment horizontal="center" vertical="center"/>
    </xf>
    <xf numFmtId="0" fontId="3" fillId="0" borderId="169" xfId="0" applyFont="1" applyBorder="1" applyAlignment="1">
      <alignment horizontal="center" vertical="center"/>
    </xf>
    <xf numFmtId="0" fontId="3" fillId="0" borderId="150" xfId="0" applyFont="1" applyBorder="1" applyAlignment="1">
      <alignment horizontal="center" vertical="center"/>
    </xf>
    <xf numFmtId="0" fontId="3" fillId="0" borderId="150" xfId="0" applyFont="1" applyBorder="1" applyAlignment="1">
      <alignment horizontal="left" vertical="center" wrapText="1"/>
    </xf>
    <xf numFmtId="0" fontId="3" fillId="0" borderId="151" xfId="0" applyFont="1" applyBorder="1" applyAlignment="1">
      <alignment horizontal="left" vertical="center" wrapText="1"/>
    </xf>
    <xf numFmtId="0" fontId="3" fillId="0" borderId="153" xfId="0" applyFont="1" applyBorder="1" applyAlignment="1">
      <alignment horizontal="center" vertical="center"/>
    </xf>
    <xf numFmtId="0" fontId="3" fillId="8" borderId="153" xfId="0" applyFont="1" applyFill="1" applyBorder="1" applyAlignment="1">
      <alignment horizontal="left" vertical="center" wrapText="1"/>
    </xf>
    <xf numFmtId="0" fontId="3" fillId="0" borderId="137" xfId="0" applyFont="1" applyBorder="1" applyAlignment="1">
      <alignment horizontal="left" vertical="center" wrapText="1"/>
    </xf>
    <xf numFmtId="0" fontId="3" fillId="0" borderId="153" xfId="0" applyFont="1" applyBorder="1" applyAlignment="1">
      <alignment horizontal="left" vertical="center" wrapText="1"/>
    </xf>
    <xf numFmtId="0" fontId="3" fillId="7" borderId="153" xfId="0" applyFont="1" applyFill="1" applyBorder="1" applyAlignment="1">
      <alignment horizontal="left" vertical="center" wrapText="1"/>
    </xf>
    <xf numFmtId="0" fontId="3" fillId="8" borderId="137" xfId="0" applyFont="1" applyFill="1" applyBorder="1" applyAlignment="1">
      <alignment horizontal="left" vertical="center" wrapText="1"/>
    </xf>
    <xf numFmtId="0" fontId="3" fillId="7" borderId="153" xfId="0" applyFont="1" applyFill="1" applyBorder="1" applyAlignment="1">
      <alignment horizontal="center" vertical="center"/>
    </xf>
    <xf numFmtId="0" fontId="3" fillId="7" borderId="137" xfId="0" applyFont="1" applyFill="1" applyBorder="1" applyAlignment="1">
      <alignment horizontal="left" vertical="center" wrapText="1"/>
    </xf>
    <xf numFmtId="0" fontId="4" fillId="0" borderId="153" xfId="0" applyFont="1" applyBorder="1" applyAlignment="1">
      <alignment horizontal="center" vertical="center"/>
    </xf>
    <xf numFmtId="0" fontId="4" fillId="0" borderId="153" xfId="0" applyFont="1" applyBorder="1" applyAlignment="1">
      <alignment horizontal="left" vertical="center" wrapText="1"/>
    </xf>
    <xf numFmtId="0" fontId="4" fillId="0" borderId="137" xfId="0" applyFont="1" applyBorder="1" applyAlignment="1">
      <alignment horizontal="left" vertical="center"/>
    </xf>
    <xf numFmtId="0" fontId="4" fillId="0" borderId="153" xfId="0" applyFont="1" applyBorder="1" applyAlignment="1">
      <alignment horizontal="center" vertical="center" wrapText="1"/>
    </xf>
    <xf numFmtId="0" fontId="4" fillId="0" borderId="137" xfId="0" applyFont="1" applyBorder="1" applyAlignment="1">
      <alignment horizontal="left" vertical="center" wrapText="1"/>
    </xf>
    <xf numFmtId="0" fontId="3" fillId="0" borderId="154" xfId="0" applyFont="1" applyBorder="1" applyAlignment="1">
      <alignment horizontal="center" vertical="center"/>
    </xf>
    <xf numFmtId="0" fontId="3" fillId="0" borderId="170" xfId="0" applyFont="1" applyBorder="1" applyAlignment="1">
      <alignment horizontal="center" vertical="center"/>
    </xf>
    <xf numFmtId="0" fontId="3" fillId="0" borderId="170" xfId="0" applyFont="1" applyBorder="1" applyAlignment="1">
      <alignment horizontal="left" vertical="center" wrapText="1"/>
    </xf>
    <xf numFmtId="0" fontId="3" fillId="0" borderId="145" xfId="0" applyFont="1" applyBorder="1" applyAlignment="1">
      <alignment horizontal="left" vertical="center" wrapText="1"/>
    </xf>
    <xf numFmtId="0" fontId="66" fillId="0" borderId="0" xfId="0" applyFont="1" applyAlignment="1">
      <alignment vertical="center"/>
    </xf>
    <xf numFmtId="0" fontId="67" fillId="0" borderId="0" xfId="0" applyFont="1" applyAlignment="1">
      <alignment horizontal="center" vertical="center"/>
    </xf>
    <xf numFmtId="0" fontId="67" fillId="0" borderId="0" xfId="0" applyFont="1" applyAlignment="1">
      <alignment vertical="center"/>
    </xf>
    <xf numFmtId="0" fontId="66" fillId="0" borderId="0" xfId="0" applyFont="1" applyAlignment="1">
      <alignment horizontal="center" vertical="center"/>
    </xf>
    <xf numFmtId="0" fontId="68" fillId="0" borderId="0" xfId="0" applyFont="1" applyAlignment="1">
      <alignment horizontal="center" vertical="center"/>
    </xf>
    <xf numFmtId="0" fontId="66" fillId="0" borderId="0" xfId="0" applyFont="1" applyAlignment="1">
      <alignment horizontal="right" vertical="center"/>
    </xf>
    <xf numFmtId="0" fontId="68" fillId="0" borderId="0" xfId="0" applyFont="1" applyAlignment="1">
      <alignment horizontal="left" vertical="center"/>
    </xf>
    <xf numFmtId="0" fontId="69" fillId="0" borderId="0" xfId="0" applyFont="1" applyAlignment="1">
      <alignment vertical="center"/>
    </xf>
    <xf numFmtId="0" fontId="66" fillId="0" borderId="52" xfId="0" applyFont="1" applyBorder="1" applyAlignment="1">
      <alignment horizontal="left" vertical="center" shrinkToFit="1"/>
    </xf>
    <xf numFmtId="0" fontId="70" fillId="0" borderId="52" xfId="0" applyFont="1" applyBorder="1" applyAlignment="1">
      <alignment vertical="center"/>
    </xf>
    <xf numFmtId="0" fontId="66" fillId="0" borderId="52" xfId="0" applyFont="1" applyBorder="1" applyAlignment="1">
      <alignment horizontal="left" vertical="center"/>
    </xf>
    <xf numFmtId="0" fontId="71" fillId="0" borderId="0" xfId="0" applyFont="1" applyAlignment="1">
      <alignment horizontal="center" vertical="center"/>
    </xf>
    <xf numFmtId="0" fontId="66" fillId="0" borderId="52" xfId="0" applyFont="1" applyBorder="1" applyAlignment="1">
      <alignment vertical="center"/>
    </xf>
    <xf numFmtId="0" fontId="72" fillId="0" borderId="0" xfId="0" applyFont="1" applyAlignment="1">
      <alignment vertical="center"/>
    </xf>
    <xf numFmtId="0" fontId="50" fillId="0" borderId="0" xfId="0" applyFont="1" applyAlignment="1">
      <alignment horizontal="center" vertical="center"/>
    </xf>
    <xf numFmtId="0" fontId="9" fillId="0" borderId="57" xfId="0" applyFont="1" applyBorder="1" applyAlignment="1">
      <alignment horizontal="center" vertical="center"/>
    </xf>
    <xf numFmtId="0" fontId="9" fillId="0" borderId="63" xfId="0" applyFont="1" applyBorder="1" applyAlignment="1">
      <alignment horizontal="center" vertical="center"/>
    </xf>
    <xf numFmtId="0" fontId="9" fillId="0" borderId="0" xfId="0" applyFont="1" applyAlignment="1">
      <alignment horizontal="right" vertical="center"/>
    </xf>
    <xf numFmtId="0" fontId="9" fillId="0" borderId="57" xfId="0" applyFont="1" applyBorder="1" applyAlignment="1">
      <alignment horizontal="left" vertical="center" shrinkToFit="1"/>
    </xf>
    <xf numFmtId="0" fontId="9" fillId="0" borderId="171" xfId="0" applyFont="1" applyBorder="1" applyAlignment="1">
      <alignment horizontal="left" vertical="center"/>
    </xf>
    <xf numFmtId="0" fontId="9" fillId="0" borderId="57" xfId="0" applyFont="1" applyBorder="1" applyAlignment="1">
      <alignment horizontal="left" vertical="center"/>
    </xf>
    <xf numFmtId="0" fontId="73" fillId="0" borderId="0" xfId="0" applyFont="1" applyAlignment="1">
      <alignment vertical="center"/>
    </xf>
    <xf numFmtId="0" fontId="3" fillId="0" borderId="172" xfId="0" applyFont="1" applyBorder="1" applyAlignment="1">
      <alignment vertical="center"/>
    </xf>
    <xf numFmtId="0" fontId="3" fillId="0" borderId="173" xfId="0" applyFont="1" applyBorder="1" applyAlignment="1">
      <alignment horizontal="center" vertical="center"/>
    </xf>
    <xf numFmtId="0" fontId="65" fillId="0" borderId="35" xfId="0" applyFont="1" applyBorder="1" applyAlignment="1">
      <alignment horizontal="center" vertical="center" wrapText="1"/>
    </xf>
    <xf numFmtId="0" fontId="3" fillId="0" borderId="174" xfId="0" applyFont="1" applyBorder="1" applyAlignment="1">
      <alignment horizontal="center" vertical="center"/>
    </xf>
    <xf numFmtId="0" fontId="65" fillId="0" borderId="139" xfId="0" applyFont="1" applyBorder="1" applyAlignment="1">
      <alignment horizontal="center" vertical="center" wrapText="1"/>
    </xf>
    <xf numFmtId="0" fontId="3" fillId="0" borderId="139" xfId="0" applyFont="1" applyBorder="1" applyAlignment="1">
      <alignment horizontal="center" vertical="center" wrapText="1"/>
    </xf>
    <xf numFmtId="0" fontId="3" fillId="0" borderId="175" xfId="0" applyFont="1" applyBorder="1" applyAlignment="1">
      <alignment horizontal="center" vertical="center"/>
    </xf>
    <xf numFmtId="0" fontId="2" fillId="0" borderId="0" xfId="0" applyFont="1" applyAlignment="1">
      <alignment horizontal="center" vertical="center"/>
    </xf>
    <xf numFmtId="170" fontId="26" fillId="0" borderId="0" xfId="0" applyNumberFormat="1" applyFont="1" applyAlignment="1">
      <alignment horizontal="center" vertical="center"/>
    </xf>
    <xf numFmtId="0" fontId="9" fillId="0" borderId="0" xfId="0" applyFont="1" applyAlignment="1">
      <alignment horizontal="left" vertical="center" wrapText="1"/>
    </xf>
    <xf numFmtId="49" fontId="9" fillId="0" borderId="0" xfId="0" applyNumberFormat="1" applyFont="1" applyAlignment="1">
      <alignment horizontal="center" vertical="center"/>
    </xf>
    <xf numFmtId="167" fontId="9" fillId="0" borderId="0" xfId="0" applyNumberFormat="1" applyFont="1" applyAlignment="1">
      <alignment vertical="center"/>
    </xf>
    <xf numFmtId="167" fontId="9" fillId="0" borderId="0" xfId="0" applyNumberFormat="1" applyFont="1" applyAlignment="1">
      <alignment horizontal="left" vertical="center"/>
    </xf>
    <xf numFmtId="0" fontId="20" fillId="0" borderId="0" xfId="0" applyFont="1" applyAlignment="1">
      <alignment horizontal="center" vertical="center" wrapText="1" shrinkToFit="1"/>
    </xf>
    <xf numFmtId="0" fontId="25" fillId="0" borderId="0" xfId="0" applyFont="1" applyAlignment="1">
      <alignment vertical="center"/>
    </xf>
    <xf numFmtId="164" fontId="9" fillId="0" borderId="0" xfId="0" applyNumberFormat="1" applyFont="1" applyAlignment="1">
      <alignment horizontal="center" vertical="center"/>
    </xf>
    <xf numFmtId="0" fontId="26" fillId="0" borderId="0" xfId="0" applyFont="1" applyAlignment="1">
      <alignment vertical="center"/>
    </xf>
    <xf numFmtId="0" fontId="74" fillId="0" borderId="0" xfId="0" applyFont="1" applyAlignment="1">
      <alignment horizontal="center" vertical="center"/>
    </xf>
    <xf numFmtId="0" fontId="26" fillId="0" borderId="0" xfId="0" applyFont="1" applyAlignment="1">
      <alignment horizontal="center" vertical="center"/>
    </xf>
    <xf numFmtId="170" fontId="9" fillId="0" borderId="0" xfId="0" applyNumberFormat="1" applyFont="1" applyAlignment="1">
      <alignment horizontal="left" vertical="center" shrinkToFit="1"/>
    </xf>
    <xf numFmtId="170" fontId="26" fillId="0" borderId="0" xfId="0" applyNumberFormat="1" applyFont="1" applyAlignment="1">
      <alignment horizontal="left" vertical="center"/>
    </xf>
    <xf numFmtId="0" fontId="47" fillId="0" borderId="0" xfId="0" applyFont="1" applyAlignment="1">
      <alignment vertical="center"/>
    </xf>
    <xf numFmtId="164" fontId="4" fillId="0" borderId="0" xfId="0" applyNumberFormat="1" applyFont="1" applyAlignment="1">
      <alignment horizontal="right"/>
    </xf>
    <xf numFmtId="0" fontId="4" fillId="0" borderId="0" xfId="0" applyFont="1" applyAlignment="1">
      <alignment horizontal="center"/>
    </xf>
    <xf numFmtId="0" fontId="4" fillId="0" borderId="31" xfId="0" applyFont="1" applyBorder="1" applyAlignment="1">
      <alignment horizontal="center"/>
    </xf>
    <xf numFmtId="0" fontId="4" fillId="0" borderId="35" xfId="0" applyFont="1" applyBorder="1" applyAlignment="1">
      <alignment horizontal="center"/>
    </xf>
    <xf numFmtId="0" fontId="4" fillId="0" borderId="0" xfId="0" applyFont="1" applyAlignment="1">
      <alignment horizontal="left"/>
    </xf>
    <xf numFmtId="0" fontId="4" fillId="0" borderId="31" xfId="0" applyFont="1" applyBorder="1" applyAlignment="1">
      <alignment horizontal="left" shrinkToFit="1"/>
    </xf>
    <xf numFmtId="0" fontId="4" fillId="0" borderId="31" xfId="0" applyFont="1" applyBorder="1" applyAlignment="1">
      <alignment horizontal="left"/>
    </xf>
    <xf numFmtId="0" fontId="4" fillId="0" borderId="0" xfId="0" applyFont="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34" fillId="0" borderId="0" xfId="0" applyFont="1" applyAlignment="1">
      <alignment horizontal="left" vertical="top" wrapText="1"/>
    </xf>
    <xf numFmtId="0" fontId="4" fillId="0" borderId="0" xfId="0" applyFont="1" applyAlignment="1">
      <alignment horizontal="left" vertical="top" wrapText="1"/>
    </xf>
    <xf numFmtId="0" fontId="8" fillId="0" borderId="0" xfId="0" applyFont="1" applyAlignment="1">
      <alignment horizontal="right" vertical="center"/>
    </xf>
    <xf numFmtId="165" fontId="8" fillId="0" borderId="176" xfId="0" applyNumberFormat="1" applyFont="1" applyBorder="1" applyAlignment="1">
      <alignment horizontal="center" vertical="center" shrinkToFit="1"/>
    </xf>
    <xf numFmtId="0" fontId="4" fillId="0" borderId="176" xfId="0" applyFont="1" applyBorder="1" applyAlignment="1">
      <alignment vertical="center"/>
    </xf>
    <xf numFmtId="0" fontId="9" fillId="0" borderId="0" xfId="0" applyFont="1" applyAlignment="1">
      <alignment horizontal="right" vertical="center" shrinkToFit="1"/>
    </xf>
    <xf numFmtId="0" fontId="9" fillId="0" borderId="0" xfId="0" applyFont="1" applyAlignment="1">
      <alignment horizontal="center" vertical="center" shrinkToFit="1"/>
    </xf>
    <xf numFmtId="0" fontId="9" fillId="0" borderId="0" xfId="0" applyFont="1" applyAlignment="1">
      <alignment vertical="center" shrinkToFit="1"/>
    </xf>
    <xf numFmtId="0" fontId="9" fillId="0" borderId="177" xfId="0" applyFont="1" applyBorder="1"/>
    <xf numFmtId="0" fontId="9" fillId="0" borderId="177" xfId="0" applyFont="1" applyBorder="1" applyAlignment="1">
      <alignment horizontal="center"/>
    </xf>
    <xf numFmtId="0" fontId="4" fillId="0" borderId="177" xfId="0" applyFont="1" applyBorder="1" applyAlignment="1">
      <alignment vertical="center"/>
    </xf>
    <xf numFmtId="0" fontId="9" fillId="0" borderId="178" xfId="0" applyFont="1" applyBorder="1"/>
    <xf numFmtId="0" fontId="9" fillId="0" borderId="178" xfId="0" applyFont="1" applyBorder="1" applyAlignment="1">
      <alignment horizontal="center"/>
    </xf>
    <xf numFmtId="0" fontId="4" fillId="0" borderId="178" xfId="0" applyFont="1" applyBorder="1" applyAlignment="1">
      <alignment vertical="center"/>
    </xf>
    <xf numFmtId="0" fontId="75" fillId="0" borderId="0" xfId="0" applyFont="1" applyAlignment="1">
      <alignment horizontal="center" vertical="center"/>
    </xf>
    <xf numFmtId="0" fontId="3" fillId="8" borderId="0" xfId="0" applyFont="1" applyFill="1" applyAlignment="1">
      <alignment vertical="center"/>
    </xf>
    <xf numFmtId="0" fontId="8" fillId="8" borderId="0" xfId="0" applyFont="1" applyFill="1" applyAlignment="1">
      <alignment vertical="center"/>
    </xf>
    <xf numFmtId="0" fontId="3" fillId="8" borderId="0" xfId="0" applyFont="1" applyFill="1" applyAlignment="1">
      <alignment horizontal="left" vertical="center"/>
    </xf>
    <xf numFmtId="0" fontId="1" fillId="8" borderId="0" xfId="0" applyFont="1" applyFill="1" applyAlignment="1">
      <alignment vertical="center"/>
    </xf>
    <xf numFmtId="165" fontId="76" fillId="9" borderId="0" xfId="0" applyNumberFormat="1" applyFont="1" applyFill="1" applyAlignment="1">
      <alignment horizontal="center" vertical="center" shrinkToFit="1"/>
    </xf>
    <xf numFmtId="0" fontId="9" fillId="8" borderId="0" xfId="0" applyFont="1" applyFill="1" applyAlignment="1">
      <alignment vertical="center"/>
    </xf>
    <xf numFmtId="0" fontId="37" fillId="8" borderId="0" xfId="0" applyFont="1" applyFill="1" applyAlignment="1">
      <alignment horizontal="left" vertical="center"/>
    </xf>
    <xf numFmtId="0" fontId="3" fillId="8" borderId="0" xfId="0" applyFont="1" applyFill="1" applyAlignment="1">
      <alignment horizontal="center" vertical="center"/>
    </xf>
    <xf numFmtId="0" fontId="3" fillId="8" borderId="0" xfId="0" applyFont="1" applyFill="1" applyAlignment="1">
      <alignment horizontal="right" vertical="center"/>
    </xf>
    <xf numFmtId="0" fontId="8" fillId="8" borderId="0" xfId="0" applyFont="1" applyFill="1" applyAlignment="1">
      <alignment horizontal="center" vertical="center"/>
    </xf>
    <xf numFmtId="0" fontId="8" fillId="8" borderId="10" xfId="0" applyFont="1" applyFill="1" applyBorder="1" applyAlignment="1">
      <alignment horizontal="center" vertical="center" wrapText="1"/>
    </xf>
    <xf numFmtId="0" fontId="4" fillId="8" borderId="11" xfId="0" applyFont="1" applyFill="1" applyBorder="1" applyAlignment="1">
      <alignment vertical="center"/>
    </xf>
    <xf numFmtId="0" fontId="4" fillId="8" borderId="179" xfId="0" applyFont="1" applyFill="1" applyBorder="1" applyAlignment="1">
      <alignment vertical="center"/>
    </xf>
    <xf numFmtId="0" fontId="8" fillId="8" borderId="10" xfId="0" applyFont="1" applyFill="1" applyBorder="1" applyAlignment="1">
      <alignment horizontal="center" vertical="center"/>
    </xf>
    <xf numFmtId="0" fontId="4" fillId="8" borderId="12" xfId="0" applyFont="1" applyFill="1" applyBorder="1" applyAlignment="1">
      <alignment vertical="center"/>
    </xf>
    <xf numFmtId="0" fontId="8" fillId="8" borderId="11" xfId="0" applyFont="1" applyFill="1" applyBorder="1" applyAlignment="1">
      <alignment horizontal="center" vertical="center"/>
    </xf>
    <xf numFmtId="0" fontId="8" fillId="9" borderId="4" xfId="0" applyFont="1" applyFill="1" applyBorder="1" applyAlignment="1">
      <alignment horizontal="center" vertical="center" wrapText="1"/>
    </xf>
    <xf numFmtId="0" fontId="4" fillId="8" borderId="52" xfId="0" applyFont="1" applyFill="1" applyBorder="1" applyAlignment="1">
      <alignment vertical="center"/>
    </xf>
    <xf numFmtId="38" fontId="8" fillId="9" borderId="47" xfId="0" applyNumberFormat="1" applyFont="1" applyFill="1" applyBorder="1" applyAlignment="1">
      <alignment horizontal="right" vertical="center"/>
    </xf>
    <xf numFmtId="0" fontId="4" fillId="8" borderId="48" xfId="0" applyFont="1" applyFill="1" applyBorder="1" applyAlignment="1">
      <alignment vertical="center"/>
    </xf>
    <xf numFmtId="0" fontId="8" fillId="9" borderId="71" xfId="0" applyFont="1" applyFill="1" applyBorder="1" applyAlignment="1">
      <alignment vertical="center"/>
    </xf>
    <xf numFmtId="165" fontId="8" fillId="9" borderId="52" xfId="0" applyNumberFormat="1" applyFont="1" applyFill="1" applyBorder="1" applyAlignment="1">
      <alignment horizontal="center" vertical="center"/>
    </xf>
    <xf numFmtId="0" fontId="4" fillId="8" borderId="54" xfId="0" applyFont="1" applyFill="1" applyBorder="1" applyAlignment="1">
      <alignment vertical="center"/>
    </xf>
    <xf numFmtId="0" fontId="8" fillId="9" borderId="9" xfId="0" applyFont="1" applyFill="1" applyBorder="1" applyAlignment="1">
      <alignment horizontal="center" vertical="center" wrapText="1"/>
    </xf>
    <xf numFmtId="0" fontId="4" fillId="8" borderId="55" xfId="0" applyFont="1" applyFill="1" applyBorder="1" applyAlignment="1">
      <alignment vertical="center"/>
    </xf>
    <xf numFmtId="38" fontId="8" fillId="9" borderId="9" xfId="0" applyNumberFormat="1" applyFont="1" applyFill="1" applyBorder="1" applyAlignment="1">
      <alignment horizontal="right" vertical="center"/>
    </xf>
    <xf numFmtId="0" fontId="8" fillId="9" borderId="72" xfId="0" applyFont="1" applyFill="1" applyBorder="1" applyAlignment="1">
      <alignment vertical="center"/>
    </xf>
    <xf numFmtId="0" fontId="8" fillId="9" borderId="52" xfId="0" applyFont="1" applyFill="1" applyBorder="1" applyAlignment="1">
      <alignment horizontal="center" vertical="center"/>
    </xf>
    <xf numFmtId="0" fontId="8" fillId="9" borderId="14" xfId="0" applyFont="1" applyFill="1" applyBorder="1" applyAlignment="1">
      <alignment horizontal="center" vertical="center" wrapText="1"/>
    </xf>
    <xf numFmtId="0" fontId="4" fillId="8" borderId="67" xfId="0" applyFont="1" applyFill="1" applyBorder="1" applyAlignment="1">
      <alignment vertical="center"/>
    </xf>
    <xf numFmtId="38" fontId="8" fillId="9" borderId="14" xfId="0" applyNumberFormat="1" applyFont="1" applyFill="1" applyBorder="1" applyAlignment="1">
      <alignment horizontal="right" vertical="center"/>
    </xf>
    <xf numFmtId="0" fontId="8" fillId="9" borderId="73" xfId="0" applyFont="1" applyFill="1" applyBorder="1" applyAlignment="1">
      <alignment vertical="center"/>
    </xf>
    <xf numFmtId="0" fontId="8" fillId="9" borderId="14" xfId="0" applyFont="1" applyFill="1" applyBorder="1" applyAlignment="1">
      <alignment horizontal="center" vertical="center"/>
    </xf>
    <xf numFmtId="0" fontId="4" fillId="8" borderId="73" xfId="0" applyFont="1" applyFill="1" applyBorder="1" applyAlignment="1">
      <alignment vertical="center"/>
    </xf>
    <xf numFmtId="0" fontId="8" fillId="8" borderId="0" xfId="0" applyFont="1" applyFill="1" applyAlignment="1">
      <alignment horizontal="left" vertical="center"/>
    </xf>
    <xf numFmtId="0" fontId="8" fillId="0" borderId="10" xfId="0" applyFont="1" applyBorder="1" applyAlignment="1">
      <alignment horizontal="center" vertical="center"/>
    </xf>
    <xf numFmtId="38" fontId="76" fillId="0" borderId="10" xfId="0" applyNumberFormat="1" applyFont="1" applyBorder="1" applyAlignment="1">
      <alignment horizontal="right" vertical="center"/>
    </xf>
    <xf numFmtId="0" fontId="8" fillId="0" borderId="12" xfId="0" applyFont="1" applyBorder="1" applyAlignment="1">
      <alignment vertical="center" shrinkToFit="1"/>
    </xf>
    <xf numFmtId="38" fontId="76" fillId="0" borderId="0" xfId="0" applyNumberFormat="1" applyFont="1" applyAlignment="1">
      <alignment horizontal="right" vertical="center"/>
    </xf>
    <xf numFmtId="0" fontId="8" fillId="0" borderId="0" xfId="0" applyFont="1" applyAlignment="1">
      <alignment vertical="center" shrinkToFit="1"/>
    </xf>
    <xf numFmtId="0" fontId="8" fillId="0" borderId="29" xfId="0" applyFont="1" applyBorder="1" applyAlignment="1">
      <alignment horizontal="center" vertical="center"/>
    </xf>
    <xf numFmtId="0" fontId="8" fillId="0" borderId="29" xfId="0" applyFont="1" applyBorder="1" applyAlignment="1">
      <alignment horizontal="center" vertical="center" wrapText="1"/>
    </xf>
    <xf numFmtId="0" fontId="64" fillId="0" borderId="0" xfId="0" applyFont="1" applyAlignment="1">
      <alignment horizontal="left" vertical="top"/>
    </xf>
    <xf numFmtId="0" fontId="10" fillId="0" borderId="0" xfId="0" applyFont="1" applyAlignment="1">
      <alignment vertical="center"/>
    </xf>
    <xf numFmtId="165" fontId="3" fillId="9" borderId="0" xfId="0" applyNumberFormat="1" applyFont="1" applyFill="1" applyAlignment="1">
      <alignment horizontal="center" vertical="center" shrinkToFit="1"/>
    </xf>
    <xf numFmtId="0" fontId="21" fillId="8" borderId="0" xfId="0" applyFont="1" applyFill="1" applyAlignment="1">
      <alignment horizontal="left" vertical="center"/>
    </xf>
    <xf numFmtId="0" fontId="26" fillId="8" borderId="0" xfId="0" applyFont="1" applyFill="1" applyAlignment="1">
      <alignment vertical="center"/>
    </xf>
    <xf numFmtId="0" fontId="77" fillId="0" borderId="43" xfId="0" applyFont="1" applyBorder="1" applyAlignment="1">
      <alignment vertical="center"/>
    </xf>
    <xf numFmtId="0" fontId="77" fillId="0" borderId="41" xfId="0" applyFont="1" applyBorder="1" applyAlignment="1">
      <alignment vertical="center"/>
    </xf>
    <xf numFmtId="0" fontId="1" fillId="0" borderId="42" xfId="0" applyFont="1" applyBorder="1" applyAlignment="1">
      <alignment vertical="center"/>
    </xf>
    <xf numFmtId="0" fontId="78" fillId="0" borderId="0" xfId="0" applyFont="1" applyAlignment="1">
      <alignment horizontal="center" vertical="center"/>
    </xf>
    <xf numFmtId="0" fontId="79" fillId="0" borderId="78" xfId="0" applyFont="1" applyBorder="1" applyAlignment="1">
      <alignment vertical="center"/>
    </xf>
    <xf numFmtId="0" fontId="1" fillId="0" borderId="3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vertical="center"/>
    </xf>
    <xf numFmtId="0" fontId="3" fillId="0" borderId="10" xfId="0" applyFont="1" applyBorder="1" applyAlignment="1">
      <alignment horizontal="center" vertical="center"/>
    </xf>
    <xf numFmtId="0" fontId="80" fillId="0" borderId="80" xfId="0" applyFont="1" applyBorder="1" applyAlignment="1">
      <alignment vertical="center"/>
    </xf>
    <xf numFmtId="0" fontId="80" fillId="0" borderId="35" xfId="0" applyFont="1" applyBorder="1" applyAlignment="1">
      <alignment vertical="center"/>
    </xf>
    <xf numFmtId="0" fontId="80" fillId="0" borderId="118" xfId="0" applyFont="1" applyBorder="1" applyAlignment="1">
      <alignment vertical="center"/>
    </xf>
    <xf numFmtId="1" fontId="80" fillId="0" borderId="10" xfId="0" applyNumberFormat="1" applyFont="1" applyBorder="1" applyAlignment="1">
      <alignment horizontal="center" vertical="center"/>
    </xf>
    <xf numFmtId="0" fontId="80" fillId="0" borderId="10" xfId="0" applyFont="1" applyBorder="1" applyAlignment="1">
      <alignment horizontal="center" vertical="center"/>
    </xf>
    <xf numFmtId="0" fontId="80" fillId="0" borderId="10" xfId="0" applyFont="1" applyBorder="1" applyAlignment="1">
      <alignment vertical="center"/>
    </xf>
    <xf numFmtId="0" fontId="32" fillId="0" borderId="167" xfId="0" applyFont="1" applyBorder="1" applyAlignment="1">
      <alignment horizontal="center" vertical="center"/>
    </xf>
    <xf numFmtId="0" fontId="32" fillId="0" borderId="92" xfId="0" applyFont="1" applyBorder="1" applyAlignment="1">
      <alignment horizontal="center" vertical="center"/>
    </xf>
    <xf numFmtId="0" fontId="32" fillId="0" borderId="148" xfId="0" applyFont="1" applyBorder="1" applyAlignment="1">
      <alignment horizontal="center" vertical="center"/>
    </xf>
    <xf numFmtId="0" fontId="32" fillId="0" borderId="126" xfId="0" applyFont="1" applyBorder="1" applyAlignment="1">
      <alignment horizontal="center" vertical="center"/>
    </xf>
    <xf numFmtId="0" fontId="32" fillId="0" borderId="91" xfId="0" applyFont="1" applyBorder="1" applyAlignment="1">
      <alignment horizontal="center" vertical="center"/>
    </xf>
    <xf numFmtId="0" fontId="32" fillId="0" borderId="129" xfId="0" applyFont="1" applyBorder="1" applyAlignment="1">
      <alignment horizontal="center" vertical="center"/>
    </xf>
    <xf numFmtId="0" fontId="1" fillId="0" borderId="91" xfId="0" applyFont="1" applyBorder="1"/>
    <xf numFmtId="0" fontId="1" fillId="0" borderId="91" xfId="0" applyFont="1" applyBorder="1" applyAlignment="1">
      <alignment vertical="center"/>
    </xf>
    <xf numFmtId="0" fontId="4" fillId="0" borderId="91" xfId="0" applyFont="1" applyBorder="1" applyAlignment="1">
      <alignment horizontal="center" vertical="center"/>
    </xf>
    <xf numFmtId="0" fontId="1" fillId="0" borderId="92" xfId="0" applyFont="1" applyBorder="1"/>
    <xf numFmtId="0" fontId="1" fillId="0" borderId="92" xfId="0" applyFont="1" applyBorder="1" applyAlignment="1">
      <alignment vertical="center"/>
    </xf>
    <xf numFmtId="0" fontId="4" fillId="0" borderId="92" xfId="0" applyFont="1" applyBorder="1" applyAlignment="1">
      <alignment horizontal="center" vertical="center"/>
    </xf>
    <xf numFmtId="169" fontId="1" fillId="0" borderId="0" xfId="0" applyNumberFormat="1" applyFont="1" applyAlignment="1">
      <alignment horizontal="right"/>
    </xf>
    <xf numFmtId="169" fontId="1" fillId="0" borderId="0" xfId="0" applyNumberFormat="1" applyFont="1" applyAlignment="1">
      <alignment horizontal="center" vertical="center"/>
    </xf>
    <xf numFmtId="0" fontId="1" fillId="0" borderId="0" xfId="0" applyFont="1" applyAlignment="1">
      <alignment horizontal="center" vertical="center"/>
    </xf>
    <xf numFmtId="0" fontId="1" fillId="0" borderId="91" xfId="0" applyFont="1" applyBorder="1" applyAlignment="1">
      <alignment horizontal="left"/>
    </xf>
    <xf numFmtId="0" fontId="1" fillId="0" borderId="0" xfId="0" applyFont="1" applyAlignment="1">
      <alignment horizontal="left"/>
    </xf>
    <xf numFmtId="0" fontId="20" fillId="0" borderId="134" xfId="0" applyFont="1" applyBorder="1" applyAlignment="1">
      <alignment horizontal="center" vertical="center"/>
    </xf>
    <xf numFmtId="0" fontId="20" fillId="0" borderId="180" xfId="0" applyFont="1" applyBorder="1" applyAlignment="1">
      <alignment horizontal="center" vertical="center"/>
    </xf>
    <xf numFmtId="0" fontId="20" fillId="0" borderId="133" xfId="0" applyFont="1" applyBorder="1" applyAlignment="1">
      <alignment horizontal="center" vertical="center"/>
    </xf>
    <xf numFmtId="0" fontId="20" fillId="0" borderId="152" xfId="0" applyFont="1" applyBorder="1" applyAlignment="1">
      <alignment horizontal="center" vertical="center"/>
    </xf>
    <xf numFmtId="0" fontId="20" fillId="0" borderId="133" xfId="0" applyFont="1" applyBorder="1" applyAlignment="1">
      <alignment horizontal="center" vertical="center" shrinkToFit="1"/>
    </xf>
    <xf numFmtId="0" fontId="20" fillId="0" borderId="152" xfId="0" applyFont="1" applyBorder="1" applyAlignment="1">
      <alignment horizontal="center" vertical="center" shrinkToFit="1"/>
    </xf>
    <xf numFmtId="0" fontId="20" fillId="0" borderId="180" xfId="0" applyFont="1" applyBorder="1" applyAlignment="1">
      <alignment horizontal="center" vertical="center" shrinkToFit="1"/>
    </xf>
    <xf numFmtId="0" fontId="1" fillId="0" borderId="133" xfId="0" applyFont="1" applyBorder="1" applyAlignment="1">
      <alignment horizontal="center" shrinkToFit="1"/>
    </xf>
    <xf numFmtId="0" fontId="1" fillId="0" borderId="152" xfId="0" applyFont="1" applyBorder="1" applyAlignment="1">
      <alignment horizontal="center" shrinkToFit="1"/>
    </xf>
    <xf numFmtId="0" fontId="1" fillId="0" borderId="135" xfId="0" applyFont="1" applyBorder="1" applyAlignment="1">
      <alignment horizontal="center" shrinkToFit="1"/>
    </xf>
    <xf numFmtId="0" fontId="20" fillId="0" borderId="181" xfId="0" applyFont="1" applyBorder="1" applyAlignment="1">
      <alignment horizontal="center" vertical="center"/>
    </xf>
    <xf numFmtId="0" fontId="20" fillId="0" borderId="42" xfId="0" applyFont="1" applyBorder="1" applyAlignment="1">
      <alignment horizontal="center" vertical="center"/>
    </xf>
    <xf numFmtId="0" fontId="1" fillId="0" borderId="43" xfId="0" applyFont="1" applyBorder="1" applyAlignment="1">
      <alignment horizontal="left" vertical="center"/>
    </xf>
    <xf numFmtId="0" fontId="4" fillId="0" borderId="41" xfId="0" applyFont="1" applyBorder="1" applyAlignment="1">
      <alignment horizontal="left" vertical="center"/>
    </xf>
    <xf numFmtId="0" fontId="4" fillId="0" borderId="42" xfId="0" applyFont="1" applyBorder="1" applyAlignment="1">
      <alignment horizontal="left" vertical="center"/>
    </xf>
    <xf numFmtId="173" fontId="24" fillId="0" borderId="43" xfId="0" applyNumberFormat="1" applyFont="1" applyBorder="1" applyAlignment="1">
      <alignment horizontal="right" vertical="center"/>
    </xf>
    <xf numFmtId="173" fontId="24" fillId="0" borderId="41" xfId="0" applyNumberFormat="1" applyFont="1" applyBorder="1" applyAlignment="1">
      <alignment horizontal="right" vertical="center"/>
    </xf>
    <xf numFmtId="173" fontId="24" fillId="0" borderId="42" xfId="0" applyNumberFormat="1" applyFont="1" applyBorder="1" applyAlignment="1">
      <alignment horizontal="right" vertical="center"/>
    </xf>
    <xf numFmtId="173" fontId="1" fillId="0" borderId="43" xfId="0" applyNumberFormat="1" applyFont="1" applyBorder="1" applyAlignment="1">
      <alignment horizontal="center" vertical="center"/>
    </xf>
    <xf numFmtId="173" fontId="4" fillId="0" borderId="41" xfId="0" applyNumberFormat="1" applyFont="1" applyBorder="1" applyAlignment="1">
      <alignment horizontal="center" vertical="center"/>
    </xf>
    <xf numFmtId="173" fontId="4" fillId="0" borderId="42" xfId="0" applyNumberFormat="1" applyFont="1" applyBorder="1" applyAlignment="1">
      <alignment horizontal="center" vertical="center"/>
    </xf>
    <xf numFmtId="0" fontId="1" fillId="0" borderId="43" xfId="0" applyFont="1" applyBorder="1" applyAlignment="1">
      <alignment horizontal="center"/>
    </xf>
    <xf numFmtId="0" fontId="1" fillId="0" borderId="41" xfId="0" applyFont="1" applyBorder="1" applyAlignment="1">
      <alignment horizontal="center"/>
    </xf>
    <xf numFmtId="0" fontId="1" fillId="0" borderId="182" xfId="0" applyFont="1" applyBorder="1" applyAlignment="1">
      <alignment horizontal="center"/>
    </xf>
    <xf numFmtId="0" fontId="20" fillId="0" borderId="130" xfId="0" applyFont="1" applyBorder="1" applyAlignment="1">
      <alignment horizontal="center" vertical="center"/>
    </xf>
    <xf numFmtId="0" fontId="4" fillId="0" borderId="45" xfId="0" applyFont="1" applyBorder="1" applyAlignment="1">
      <alignment horizontal="left" vertical="center"/>
    </xf>
    <xf numFmtId="0" fontId="4" fillId="0" borderId="31" xfId="0" applyFont="1" applyBorder="1" applyAlignment="1">
      <alignment horizontal="left" vertical="center"/>
    </xf>
    <xf numFmtId="0" fontId="4" fillId="0" borderId="44" xfId="0" applyFont="1" applyBorder="1" applyAlignment="1">
      <alignment horizontal="left" vertical="center"/>
    </xf>
    <xf numFmtId="173" fontId="24" fillId="0" borderId="45" xfId="0" applyNumberFormat="1" applyFont="1" applyBorder="1" applyAlignment="1">
      <alignment horizontal="right" vertical="center"/>
    </xf>
    <xf numFmtId="173" fontId="24" fillId="0" borderId="31" xfId="0" applyNumberFormat="1" applyFont="1" applyBorder="1" applyAlignment="1">
      <alignment horizontal="right" vertical="center"/>
    </xf>
    <xf numFmtId="173" fontId="24" fillId="0" borderId="44" xfId="0" applyNumberFormat="1" applyFont="1" applyBorder="1" applyAlignment="1">
      <alignment horizontal="right" vertical="center"/>
    </xf>
    <xf numFmtId="173" fontId="4" fillId="0" borderId="45" xfId="0" applyNumberFormat="1" applyFont="1" applyBorder="1" applyAlignment="1">
      <alignment horizontal="center" vertical="center"/>
    </xf>
    <xf numFmtId="173" fontId="4" fillId="0" borderId="31" xfId="0" applyNumberFormat="1" applyFont="1" applyBorder="1" applyAlignment="1">
      <alignment horizontal="center" vertical="center"/>
    </xf>
    <xf numFmtId="173" fontId="4" fillId="0" borderId="44" xfId="0" applyNumberFormat="1" applyFont="1" applyBorder="1" applyAlignment="1">
      <alignment horizontal="center" vertical="center"/>
    </xf>
    <xf numFmtId="0" fontId="1" fillId="0" borderId="45" xfId="0" applyFont="1" applyBorder="1" applyAlignment="1">
      <alignment horizontal="center"/>
    </xf>
    <xf numFmtId="0" fontId="1" fillId="0" borderId="31" xfId="0" applyFont="1" applyBorder="1" applyAlignment="1">
      <alignment horizontal="center"/>
    </xf>
    <xf numFmtId="0" fontId="1" fillId="0" borderId="143" xfId="0" applyFont="1" applyBorder="1" applyAlignment="1">
      <alignment horizontal="center"/>
    </xf>
    <xf numFmtId="173" fontId="4" fillId="0" borderId="43" xfId="0" applyNumberFormat="1" applyFont="1" applyBorder="1" applyAlignment="1">
      <alignment horizontal="right" vertical="center"/>
    </xf>
    <xf numFmtId="173" fontId="4" fillId="0" borderId="41" xfId="0" applyNumberFormat="1" applyFont="1" applyBorder="1" applyAlignment="1">
      <alignment horizontal="right" vertical="center"/>
    </xf>
    <xf numFmtId="173" fontId="4" fillId="0" borderId="42" xfId="0" applyNumberFormat="1" applyFont="1" applyBorder="1" applyAlignment="1">
      <alignment horizontal="right" vertical="center"/>
    </xf>
    <xf numFmtId="173" fontId="4" fillId="0" borderId="43" xfId="0" applyNumberFormat="1" applyFont="1" applyBorder="1" applyAlignment="1">
      <alignment horizontal="center" vertical="center"/>
    </xf>
    <xf numFmtId="173" fontId="4" fillId="0" borderId="45" xfId="0" applyNumberFormat="1" applyFont="1" applyBorder="1" applyAlignment="1">
      <alignment horizontal="right" vertical="center"/>
    </xf>
    <xf numFmtId="173" fontId="4" fillId="0" borderId="31" xfId="0" applyNumberFormat="1" applyFont="1" applyBorder="1" applyAlignment="1">
      <alignment horizontal="right" vertical="center"/>
    </xf>
    <xf numFmtId="173" fontId="4" fillId="0" borderId="44" xfId="0" applyNumberFormat="1" applyFont="1" applyBorder="1" applyAlignment="1">
      <alignment horizontal="right" vertical="center"/>
    </xf>
    <xf numFmtId="173" fontId="4" fillId="0" borderId="78" xfId="0" applyNumberFormat="1" applyFont="1" applyBorder="1" applyAlignment="1">
      <alignment horizontal="right" vertical="center"/>
    </xf>
    <xf numFmtId="173" fontId="4" fillId="0" borderId="0" xfId="0" applyNumberFormat="1" applyFont="1" applyAlignment="1">
      <alignment horizontal="right" vertical="center"/>
    </xf>
    <xf numFmtId="173" fontId="4" fillId="0" borderId="34" xfId="0" applyNumberFormat="1" applyFont="1" applyBorder="1" applyAlignment="1">
      <alignment horizontal="right" vertical="center"/>
    </xf>
    <xf numFmtId="0" fontId="1" fillId="0" borderId="78" xfId="0" applyFont="1" applyBorder="1" applyAlignment="1">
      <alignment horizontal="center"/>
    </xf>
    <xf numFmtId="0" fontId="1" fillId="0" borderId="0" xfId="0" applyFont="1" applyAlignment="1">
      <alignment horizontal="center"/>
    </xf>
    <xf numFmtId="0" fontId="1" fillId="0" borderId="183" xfId="0" applyFont="1" applyBorder="1" applyAlignment="1">
      <alignment horizontal="center"/>
    </xf>
    <xf numFmtId="0" fontId="20" fillId="0" borderId="167" xfId="0" applyFont="1" applyBorder="1" applyAlignment="1">
      <alignment horizontal="center" vertical="center"/>
    </xf>
    <xf numFmtId="0" fontId="20" fillId="0" borderId="184" xfId="0" applyFont="1" applyBorder="1" applyAlignment="1">
      <alignment horizontal="center" vertical="center"/>
    </xf>
    <xf numFmtId="0" fontId="1" fillId="0" borderId="185" xfId="0" applyFont="1" applyBorder="1" applyAlignment="1">
      <alignment horizontal="left" vertical="center"/>
    </xf>
    <xf numFmtId="0" fontId="4" fillId="0" borderId="92" xfId="0" applyFont="1" applyBorder="1" applyAlignment="1">
      <alignment horizontal="left" vertical="center"/>
    </xf>
    <xf numFmtId="0" fontId="4" fillId="0" borderId="184" xfId="0" applyFont="1" applyBorder="1" applyAlignment="1">
      <alignment horizontal="left" vertical="center"/>
    </xf>
    <xf numFmtId="173" fontId="4" fillId="0" borderId="185" xfId="0" applyNumberFormat="1" applyFont="1" applyBorder="1" applyAlignment="1">
      <alignment horizontal="right" vertical="center"/>
    </xf>
    <xf numFmtId="173" fontId="4" fillId="0" borderId="92" xfId="0" applyNumberFormat="1" applyFont="1" applyBorder="1" applyAlignment="1">
      <alignment horizontal="right" vertical="center"/>
    </xf>
    <xf numFmtId="173" fontId="4" fillId="0" borderId="184" xfId="0" applyNumberFormat="1" applyFont="1" applyBorder="1" applyAlignment="1">
      <alignment horizontal="right" vertical="center"/>
    </xf>
    <xf numFmtId="173" fontId="45" fillId="0" borderId="185" xfId="0" applyNumberFormat="1" applyFont="1" applyBorder="1" applyAlignment="1">
      <alignment horizontal="right" vertical="center"/>
    </xf>
    <xf numFmtId="173" fontId="45" fillId="0" borderId="92" xfId="0" applyNumberFormat="1" applyFont="1" applyBorder="1" applyAlignment="1">
      <alignment horizontal="right" vertical="center"/>
    </xf>
    <xf numFmtId="173" fontId="45" fillId="0" borderId="184" xfId="0" applyNumberFormat="1" applyFont="1" applyBorder="1" applyAlignment="1">
      <alignment horizontal="right" vertical="center"/>
    </xf>
    <xf numFmtId="0" fontId="1" fillId="0" borderId="185" xfId="0" applyFont="1" applyBorder="1" applyAlignment="1">
      <alignment horizontal="center"/>
    </xf>
    <xf numFmtId="0" fontId="1" fillId="0" borderId="92" xfId="0" applyFont="1" applyBorder="1" applyAlignment="1">
      <alignment horizontal="center"/>
    </xf>
    <xf numFmtId="0" fontId="1" fillId="0" borderId="148" xfId="0" applyFont="1" applyBorder="1" applyAlignment="1">
      <alignment horizontal="center"/>
    </xf>
    <xf numFmtId="0" fontId="20" fillId="0" borderId="186" xfId="0" applyFont="1" applyBorder="1" applyAlignment="1">
      <alignment horizontal="center" vertical="center"/>
    </xf>
    <xf numFmtId="0" fontId="20" fillId="0" borderId="187" xfId="0" applyFont="1" applyBorder="1" applyAlignment="1">
      <alignment horizontal="center" vertical="center"/>
    </xf>
    <xf numFmtId="0" fontId="4" fillId="0" borderId="188" xfId="0" applyFont="1" applyBorder="1" applyAlignment="1">
      <alignment horizontal="left" vertical="center"/>
    </xf>
    <xf numFmtId="0" fontId="4" fillId="0" borderId="94" xfId="0" applyFont="1" applyBorder="1" applyAlignment="1">
      <alignment horizontal="left" vertical="center"/>
    </xf>
    <xf numFmtId="0" fontId="4" fillId="0" borderId="187" xfId="0" applyFont="1" applyBorder="1" applyAlignment="1">
      <alignment horizontal="left" vertical="center"/>
    </xf>
    <xf numFmtId="173" fontId="4" fillId="0" borderId="188" xfId="0" applyNumberFormat="1" applyFont="1" applyBorder="1" applyAlignment="1">
      <alignment horizontal="right" vertical="center"/>
    </xf>
    <xf numFmtId="173" fontId="4" fillId="0" borderId="94" xfId="0" applyNumberFormat="1" applyFont="1" applyBorder="1" applyAlignment="1">
      <alignment horizontal="right" vertical="center"/>
    </xf>
    <xf numFmtId="173" fontId="4" fillId="0" borderId="187" xfId="0" applyNumberFormat="1" applyFont="1" applyBorder="1" applyAlignment="1">
      <alignment horizontal="right" vertical="center"/>
    </xf>
    <xf numFmtId="173" fontId="45" fillId="0" borderId="188" xfId="0" applyNumberFormat="1" applyFont="1" applyBorder="1" applyAlignment="1">
      <alignment horizontal="right" vertical="center"/>
    </xf>
    <xf numFmtId="173" fontId="45" fillId="0" borderId="94" xfId="0" applyNumberFormat="1" applyFont="1" applyBorder="1" applyAlignment="1">
      <alignment horizontal="right" vertical="center"/>
    </xf>
    <xf numFmtId="173" fontId="45" fillId="0" borderId="187" xfId="0" applyNumberFormat="1" applyFont="1" applyBorder="1" applyAlignment="1">
      <alignment horizontal="right" vertical="center"/>
    </xf>
    <xf numFmtId="0" fontId="1" fillId="0" borderId="188" xfId="0" applyFont="1" applyBorder="1" applyAlignment="1">
      <alignment horizontal="center"/>
    </xf>
    <xf numFmtId="0" fontId="1" fillId="0" borderId="94" xfId="0" applyFont="1" applyBorder="1" applyAlignment="1">
      <alignment horizontal="center"/>
    </xf>
    <xf numFmtId="0" fontId="1" fillId="0" borderId="189" xfId="0" applyFont="1" applyBorder="1" applyAlignment="1">
      <alignment horizontal="center"/>
    </xf>
    <xf numFmtId="0" fontId="20" fillId="0" borderId="128" xfId="0" applyFont="1" applyBorder="1" applyAlignment="1">
      <alignment horizontal="center" vertical="center"/>
    </xf>
    <xf numFmtId="0" fontId="20" fillId="0" borderId="34" xfId="0" applyFont="1" applyBorder="1" applyAlignment="1">
      <alignment horizontal="center" vertical="center"/>
    </xf>
    <xf numFmtId="0" fontId="4" fillId="0" borderId="78" xfId="0" applyFont="1" applyBorder="1" applyAlignment="1">
      <alignment horizontal="left" vertical="center"/>
    </xf>
    <xf numFmtId="0" fontId="4" fillId="0" borderId="34" xfId="0" applyFont="1" applyBorder="1" applyAlignment="1">
      <alignment horizontal="left" vertical="center"/>
    </xf>
    <xf numFmtId="174" fontId="45" fillId="0" borderId="190" xfId="0" applyNumberFormat="1" applyFont="1" applyBorder="1" applyAlignment="1">
      <alignment horizontal="right" vertical="center"/>
    </xf>
    <xf numFmtId="174" fontId="45" fillId="0" borderId="87" xfId="0" applyNumberFormat="1" applyFont="1" applyBorder="1" applyAlignment="1">
      <alignment horizontal="right" vertical="center"/>
    </xf>
    <xf numFmtId="174" fontId="45" fillId="0" borderId="191" xfId="0" applyNumberFormat="1" applyFont="1" applyBorder="1" applyAlignment="1">
      <alignment horizontal="right" vertical="center"/>
    </xf>
    <xf numFmtId="0" fontId="20" fillId="0" borderId="126" xfId="0" applyFont="1" applyBorder="1" applyAlignment="1">
      <alignment horizontal="center" vertical="center"/>
    </xf>
    <xf numFmtId="0" fontId="20" fillId="0" borderId="192" xfId="0" applyFont="1" applyBorder="1" applyAlignment="1">
      <alignment horizontal="center" vertical="center"/>
    </xf>
    <xf numFmtId="0" fontId="4" fillId="0" borderId="193" xfId="0" applyFont="1" applyBorder="1" applyAlignment="1">
      <alignment horizontal="left" vertical="center"/>
    </xf>
    <xf numFmtId="0" fontId="4" fillId="0" borderId="91" xfId="0" applyFont="1" applyBorder="1" applyAlignment="1">
      <alignment horizontal="left" vertical="center"/>
    </xf>
    <xf numFmtId="0" fontId="4" fillId="0" borderId="192" xfId="0" applyFont="1" applyBorder="1" applyAlignment="1">
      <alignment horizontal="left" vertical="center"/>
    </xf>
    <xf numFmtId="174" fontId="45" fillId="0" borderId="193" xfId="0" applyNumberFormat="1" applyFont="1" applyBorder="1" applyAlignment="1">
      <alignment horizontal="right" vertical="center"/>
    </xf>
    <xf numFmtId="174" fontId="45" fillId="0" borderId="91" xfId="0" applyNumberFormat="1" applyFont="1" applyBorder="1" applyAlignment="1">
      <alignment horizontal="right" vertical="center"/>
    </xf>
    <xf numFmtId="174" fontId="45" fillId="0" borderId="192" xfId="0" applyNumberFormat="1" applyFont="1" applyBorder="1" applyAlignment="1">
      <alignment horizontal="right" vertical="center"/>
    </xf>
    <xf numFmtId="0" fontId="1" fillId="0" borderId="193" xfId="0" applyFont="1" applyBorder="1" applyAlignment="1">
      <alignment horizontal="center"/>
    </xf>
    <xf numFmtId="0" fontId="1" fillId="0" borderId="91" xfId="0" applyFont="1" applyBorder="1" applyAlignment="1">
      <alignment horizontal="center"/>
    </xf>
    <xf numFmtId="0" fontId="1" fillId="0" borderId="129" xfId="0" applyFont="1" applyBorder="1" applyAlignment="1">
      <alignment horizontal="center"/>
    </xf>
    <xf numFmtId="0" fontId="4" fillId="0" borderId="57" xfId="0" applyFont="1" applyBorder="1" applyAlignment="1">
      <alignment vertical="center"/>
    </xf>
    <xf numFmtId="0" fontId="15" fillId="0" borderId="57" xfId="0" applyFont="1" applyBorder="1" applyAlignment="1">
      <alignment horizontal="left" vertical="center" shrinkToFit="1"/>
    </xf>
    <xf numFmtId="0" fontId="4" fillId="0" borderId="57" xfId="0" applyFont="1" applyBorder="1" applyAlignment="1">
      <alignment horizontal="left" vertical="center"/>
    </xf>
    <xf numFmtId="0" fontId="81" fillId="10" borderId="0" xfId="0" applyFont="1" applyFill="1" applyAlignment="1">
      <alignment horizontal="center" vertical="center"/>
    </xf>
    <xf numFmtId="0" fontId="48" fillId="8" borderId="0" xfId="0" applyFont="1" applyFill="1" applyAlignment="1">
      <alignment horizontal="center" shrinkToFit="1"/>
    </xf>
    <xf numFmtId="0" fontId="48" fillId="8" borderId="0" xfId="0" applyFont="1" applyFill="1" applyAlignment="1">
      <alignment horizontal="center"/>
    </xf>
    <xf numFmtId="0" fontId="4" fillId="8" borderId="0" xfId="0" applyFont="1" applyFill="1" applyAlignment="1">
      <alignment vertical="center"/>
    </xf>
    <xf numFmtId="0" fontId="15" fillId="8" borderId="0" xfId="0" applyFont="1" applyFill="1" applyAlignment="1">
      <alignment vertical="center"/>
    </xf>
    <xf numFmtId="168" fontId="15" fillId="8" borderId="0" xfId="0" applyNumberFormat="1" applyFont="1" applyFill="1" applyAlignment="1">
      <alignment horizontal="right" vertical="center" shrinkToFit="1"/>
    </xf>
    <xf numFmtId="0" fontId="15" fillId="8" borderId="0" xfId="0" applyFont="1" applyFill="1" applyAlignment="1">
      <alignment horizontal="left" vertical="center"/>
    </xf>
    <xf numFmtId="0" fontId="15" fillId="8" borderId="0" xfId="0" applyFont="1" applyFill="1" applyAlignment="1">
      <alignment horizontal="right" vertical="center"/>
    </xf>
    <xf numFmtId="0" fontId="48" fillId="8" borderId="31" xfId="0" applyFont="1" applyFill="1" applyBorder="1" applyAlignment="1">
      <alignment horizontal="center" shrinkToFit="1"/>
    </xf>
    <xf numFmtId="0" fontId="48" fillId="8" borderId="31" xfId="0" applyFont="1" applyFill="1" applyBorder="1" applyAlignment="1">
      <alignment horizontal="center"/>
    </xf>
    <xf numFmtId="0" fontId="49" fillId="8" borderId="0" xfId="0" applyFont="1" applyFill="1" applyAlignment="1">
      <alignment vertical="center"/>
    </xf>
    <xf numFmtId="0" fontId="4" fillId="8" borderId="0" xfId="0" applyFont="1" applyFill="1" applyAlignment="1">
      <alignment horizontal="right" vertical="center"/>
    </xf>
    <xf numFmtId="0" fontId="4" fillId="8" borderId="0" xfId="0" applyFont="1" applyFill="1" applyAlignment="1">
      <alignment horizontal="left" vertical="center"/>
    </xf>
    <xf numFmtId="0" fontId="45" fillId="8" borderId="0" xfId="0" applyFont="1" applyFill="1" applyAlignment="1">
      <alignment vertical="center"/>
    </xf>
    <xf numFmtId="0" fontId="45" fillId="8" borderId="0" xfId="0" applyFont="1" applyFill="1" applyAlignment="1">
      <alignment horizontal="right" vertical="center"/>
    </xf>
    <xf numFmtId="0" fontId="45" fillId="8" borderId="0" xfId="0" applyFont="1" applyFill="1" applyAlignment="1">
      <alignment horizontal="left" vertical="center"/>
    </xf>
    <xf numFmtId="0" fontId="82" fillId="8" borderId="0" xfId="0" applyFont="1" applyFill="1" applyAlignment="1">
      <alignment vertical="center"/>
    </xf>
    <xf numFmtId="0" fontId="45" fillId="8" borderId="80" xfId="0" applyFont="1" applyFill="1" applyBorder="1" applyAlignment="1">
      <alignment horizontal="center" vertical="center"/>
    </xf>
    <xf numFmtId="0" fontId="45" fillId="8" borderId="194" xfId="0" applyFont="1" applyFill="1" applyBorder="1" applyAlignment="1">
      <alignment horizontal="center" vertical="center"/>
    </xf>
    <xf numFmtId="168" fontId="45" fillId="8" borderId="195" xfId="0" applyNumberFormat="1" applyFont="1" applyFill="1" applyBorder="1" applyAlignment="1">
      <alignment horizontal="center" vertical="center"/>
    </xf>
    <xf numFmtId="168" fontId="45" fillId="8" borderId="35" xfId="0" applyNumberFormat="1" applyFont="1" applyFill="1" applyBorder="1" applyAlignment="1">
      <alignment horizontal="center" vertical="center"/>
    </xf>
    <xf numFmtId="168" fontId="45" fillId="8" borderId="118" xfId="0" applyNumberFormat="1" applyFont="1" applyFill="1" applyBorder="1" applyAlignment="1">
      <alignment horizontal="center" vertical="center"/>
    </xf>
    <xf numFmtId="0" fontId="45" fillId="8" borderId="195" xfId="0" applyFont="1" applyFill="1" applyBorder="1" applyAlignment="1">
      <alignment horizontal="center" vertical="center"/>
    </xf>
    <xf numFmtId="0" fontId="45" fillId="8" borderId="35" xfId="0" applyFont="1" applyFill="1" applyBorder="1" applyAlignment="1">
      <alignment horizontal="center" vertical="center"/>
    </xf>
    <xf numFmtId="0" fontId="45" fillId="8" borderId="118" xfId="0" applyFont="1" applyFill="1" applyBorder="1" applyAlignment="1">
      <alignment horizontal="center" vertical="center"/>
    </xf>
    <xf numFmtId="0" fontId="40" fillId="8" borderId="31" xfId="0" applyFont="1" applyFill="1" applyBorder="1" applyAlignment="1">
      <alignment vertical="center"/>
    </xf>
    <xf numFmtId="0" fontId="36" fillId="8" borderId="31" xfId="0" applyFont="1" applyFill="1" applyBorder="1" applyAlignment="1">
      <alignment vertical="center"/>
    </xf>
    <xf numFmtId="0" fontId="36" fillId="8" borderId="0" xfId="0" applyFont="1" applyFill="1" applyAlignment="1">
      <alignment horizontal="left" vertical="center"/>
    </xf>
    <xf numFmtId="0" fontId="15" fillId="8" borderId="0" xfId="0" applyFont="1" applyFill="1" applyAlignment="1">
      <alignment horizontal="center" vertical="center"/>
    </xf>
    <xf numFmtId="0" fontId="15" fillId="8" borderId="0" xfId="0" applyFont="1" applyFill="1" applyAlignment="1">
      <alignment horizontal="right"/>
    </xf>
    <xf numFmtId="0" fontId="15" fillId="8" borderId="31" xfId="0" applyFont="1" applyFill="1" applyBorder="1" applyAlignment="1">
      <alignment horizontal="right" shrinkToFit="1"/>
    </xf>
    <xf numFmtId="0" fontId="8" fillId="8" borderId="31" xfId="0" applyFont="1" applyFill="1" applyBorder="1" applyAlignment="1">
      <alignment vertical="center" shrinkToFit="1"/>
    </xf>
    <xf numFmtId="0" fontId="45" fillId="8" borderId="74" xfId="0" applyFont="1" applyFill="1" applyBorder="1" applyAlignment="1">
      <alignment horizontal="center" vertical="center"/>
    </xf>
    <xf numFmtId="0" fontId="45" fillId="8" borderId="17" xfId="0" applyFont="1" applyFill="1" applyBorder="1" applyAlignment="1">
      <alignment horizontal="center" vertical="center"/>
    </xf>
    <xf numFmtId="0" fontId="45" fillId="8" borderId="43" xfId="0" applyFont="1" applyFill="1" applyBorder="1" applyAlignment="1">
      <alignment horizontal="center" vertical="center"/>
    </xf>
    <xf numFmtId="0" fontId="45" fillId="8" borderId="80" xfId="0" applyFont="1" applyFill="1" applyBorder="1" applyAlignment="1">
      <alignment horizontal="center" vertical="center" shrinkToFit="1"/>
    </xf>
    <xf numFmtId="0" fontId="76" fillId="8" borderId="35" xfId="0" applyFont="1" applyFill="1" applyBorder="1" applyAlignment="1">
      <alignment horizontal="center" vertical="center" shrinkToFit="1"/>
    </xf>
    <xf numFmtId="0" fontId="76" fillId="8" borderId="118" xfId="0" applyFont="1" applyFill="1" applyBorder="1" applyAlignment="1">
      <alignment horizontal="center" vertical="center" shrinkToFit="1"/>
    </xf>
    <xf numFmtId="0" fontId="45" fillId="8" borderId="17" xfId="0" applyFont="1" applyFill="1" applyBorder="1" applyAlignment="1">
      <alignment horizontal="center" vertical="center" shrinkToFit="1" textRotation="255"/>
    </xf>
    <xf numFmtId="175" fontId="15" fillId="8" borderId="80" xfId="0" applyNumberFormat="1" applyFont="1" applyFill="1" applyBorder="1" applyAlignment="1">
      <alignment horizontal="right" vertical="center" shrinkToFit="1"/>
    </xf>
    <xf numFmtId="0" fontId="8" fillId="8" borderId="35" xfId="0" applyFont="1" applyFill="1" applyBorder="1" applyAlignment="1">
      <alignment vertical="center" shrinkToFit="1"/>
    </xf>
    <xf numFmtId="0" fontId="15" fillId="8" borderId="118" xfId="0" applyFont="1" applyFill="1" applyBorder="1" applyAlignment="1">
      <alignment horizontal="center" vertical="center"/>
    </xf>
    <xf numFmtId="0" fontId="15" fillId="8" borderId="80" xfId="0" applyFont="1" applyFill="1" applyBorder="1" applyAlignment="1">
      <alignment horizontal="center" vertical="center" shrinkToFit="1"/>
    </xf>
    <xf numFmtId="0" fontId="8" fillId="8" borderId="35" xfId="0" applyFont="1" applyFill="1" applyBorder="1" applyAlignment="1">
      <alignment horizontal="center" vertical="center" shrinkToFit="1"/>
    </xf>
    <xf numFmtId="0" fontId="8" fillId="8" borderId="118" xfId="0" applyFont="1" applyFill="1" applyBorder="1" applyAlignment="1">
      <alignment horizontal="center" vertical="center" shrinkToFit="1"/>
    </xf>
    <xf numFmtId="0" fontId="82" fillId="8" borderId="21" xfId="0" applyFont="1" applyFill="1" applyBorder="1" applyAlignment="1">
      <alignment horizontal="center" vertical="center" shrinkToFit="1" textRotation="255"/>
    </xf>
    <xf numFmtId="0" fontId="45" fillId="8" borderId="196" xfId="0" applyFont="1" applyFill="1" applyBorder="1" applyAlignment="1">
      <alignment horizontal="center" vertical="center" textRotation="255"/>
    </xf>
    <xf numFmtId="0" fontId="45" fillId="8" borderId="197" xfId="0" applyFont="1" applyFill="1" applyBorder="1" applyAlignment="1">
      <alignment horizontal="center" vertical="center" shrinkToFit="1"/>
    </xf>
    <xf numFmtId="0" fontId="45" fillId="8" borderId="50" xfId="0" applyFont="1" applyFill="1" applyBorder="1" applyAlignment="1">
      <alignment horizontal="center" vertical="center" shrinkToFit="1"/>
    </xf>
    <xf numFmtId="0" fontId="76" fillId="8" borderId="50" xfId="0" applyFont="1" applyFill="1" applyBorder="1" applyAlignment="1">
      <alignment horizontal="center" vertical="center" shrinkToFit="1"/>
    </xf>
    <xf numFmtId="175" fontId="15" fillId="8" borderId="49" xfId="0" applyNumberFormat="1" applyFont="1" applyFill="1" applyBorder="1" applyAlignment="1">
      <alignment horizontal="right" vertical="center" shrinkToFit="1"/>
    </xf>
    <xf numFmtId="0" fontId="8" fillId="8" borderId="50" xfId="0" applyFont="1" applyFill="1" applyBorder="1" applyAlignment="1">
      <alignment vertical="center" shrinkToFit="1"/>
    </xf>
    <xf numFmtId="0" fontId="15" fillId="8" borderId="58" xfId="0" applyFont="1" applyFill="1" applyBorder="1" applyAlignment="1">
      <alignment horizontal="center" vertical="center"/>
    </xf>
    <xf numFmtId="168" fontId="15" fillId="8" borderId="49" xfId="0" applyNumberFormat="1" applyFont="1" applyFill="1" applyBorder="1" applyAlignment="1">
      <alignment horizontal="right" vertical="center" shrinkToFit="1"/>
    </xf>
    <xf numFmtId="168" fontId="15" fillId="8" borderId="50" xfId="0" applyNumberFormat="1" applyFont="1" applyFill="1" applyBorder="1" applyAlignment="1">
      <alignment horizontal="right" vertical="center" shrinkToFit="1"/>
    </xf>
    <xf numFmtId="168" fontId="8" fillId="8" borderId="50" xfId="0" applyNumberFormat="1" applyFont="1" applyFill="1" applyBorder="1" applyAlignment="1">
      <alignment horizontal="left" vertical="center" shrinkToFit="1"/>
    </xf>
    <xf numFmtId="168" fontId="8" fillId="8" borderId="51" xfId="0" applyNumberFormat="1" applyFont="1" applyFill="1" applyBorder="1" applyAlignment="1">
      <alignment horizontal="left" vertical="center" shrinkToFit="1"/>
    </xf>
    <xf numFmtId="0" fontId="45" fillId="8" borderId="198" xfId="0" applyFont="1" applyFill="1" applyBorder="1" applyAlignment="1">
      <alignment horizontal="center" vertical="center" textRotation="255"/>
    </xf>
    <xf numFmtId="0" fontId="45" fillId="8" borderId="199" xfId="0" applyFont="1" applyFill="1" applyBorder="1" applyAlignment="1">
      <alignment horizontal="center" vertical="center" shrinkToFit="1"/>
    </xf>
    <xf numFmtId="0" fontId="45" fillId="8" borderId="63" xfId="0" applyFont="1" applyFill="1" applyBorder="1" applyAlignment="1">
      <alignment horizontal="center" vertical="center" shrinkToFit="1"/>
    </xf>
    <xf numFmtId="0" fontId="76" fillId="8" borderId="63" xfId="0" applyFont="1" applyFill="1" applyBorder="1" applyAlignment="1">
      <alignment horizontal="center" vertical="center" shrinkToFit="1"/>
    </xf>
    <xf numFmtId="175" fontId="15" fillId="8" borderId="62" xfId="0" applyNumberFormat="1" applyFont="1" applyFill="1" applyBorder="1" applyAlignment="1">
      <alignment horizontal="right" vertical="center" shrinkToFit="1"/>
    </xf>
    <xf numFmtId="0" fontId="8" fillId="8" borderId="63" xfId="0" applyFont="1" applyFill="1" applyBorder="1" applyAlignment="1">
      <alignment vertical="center" shrinkToFit="1"/>
    </xf>
    <xf numFmtId="0" fontId="15" fillId="8" borderId="64" xfId="0" applyFont="1" applyFill="1" applyBorder="1" applyAlignment="1">
      <alignment horizontal="center" vertical="center"/>
    </xf>
    <xf numFmtId="168" fontId="15" fillId="8" borderId="62" xfId="0" applyNumberFormat="1" applyFont="1" applyFill="1" applyBorder="1" applyAlignment="1">
      <alignment horizontal="right" vertical="center" shrinkToFit="1"/>
    </xf>
    <xf numFmtId="168" fontId="15" fillId="8" borderId="63" xfId="0" applyNumberFormat="1" applyFont="1" applyFill="1" applyBorder="1" applyAlignment="1">
      <alignment horizontal="right" vertical="center" shrinkToFit="1"/>
    </xf>
    <xf numFmtId="168" fontId="8" fillId="8" borderId="63" xfId="0" applyNumberFormat="1" applyFont="1" applyFill="1" applyBorder="1" applyAlignment="1">
      <alignment horizontal="left" vertical="center" shrinkToFit="1"/>
    </xf>
    <xf numFmtId="168" fontId="8" fillId="8" borderId="64" xfId="0" applyNumberFormat="1" applyFont="1" applyFill="1" applyBorder="1" applyAlignment="1">
      <alignment horizontal="left" vertical="center" shrinkToFit="1"/>
    </xf>
    <xf numFmtId="0" fontId="45" fillId="8" borderId="200" xfId="0" applyFont="1" applyFill="1" applyBorder="1" applyAlignment="1">
      <alignment horizontal="center" vertical="center" textRotation="255"/>
    </xf>
    <xf numFmtId="0" fontId="15" fillId="8" borderId="201" xfId="0" applyFont="1" applyFill="1" applyBorder="1" applyAlignment="1">
      <alignment horizontal="center" vertical="center"/>
    </xf>
    <xf numFmtId="0" fontId="15" fillId="8" borderId="68" xfId="0" applyFont="1" applyFill="1" applyBorder="1" applyAlignment="1">
      <alignment horizontal="center" vertical="center"/>
    </xf>
    <xf numFmtId="0" fontId="15" fillId="8" borderId="69" xfId="0" applyFont="1" applyFill="1" applyBorder="1" applyAlignment="1">
      <alignment horizontal="center" vertical="center"/>
    </xf>
    <xf numFmtId="175" fontId="15" fillId="8" borderId="68" xfId="0" applyNumberFormat="1" applyFont="1" applyFill="1" applyBorder="1" applyAlignment="1">
      <alignment horizontal="right" vertical="center" shrinkToFit="1"/>
    </xf>
    <xf numFmtId="0" fontId="8" fillId="8" borderId="69" xfId="0" applyFont="1" applyFill="1" applyBorder="1" applyAlignment="1">
      <alignment vertical="center" shrinkToFit="1"/>
    </xf>
    <xf numFmtId="0" fontId="15" fillId="8" borderId="70" xfId="0" applyFont="1" applyFill="1" applyBorder="1" applyAlignment="1">
      <alignment horizontal="center" vertical="center"/>
    </xf>
    <xf numFmtId="168" fontId="15" fillId="8" borderId="68" xfId="0" applyNumberFormat="1" applyFont="1" applyFill="1" applyBorder="1" applyAlignment="1">
      <alignment horizontal="center" vertical="center" shrinkToFit="1"/>
    </xf>
    <xf numFmtId="168" fontId="8" fillId="8" borderId="69" xfId="0" applyNumberFormat="1" applyFont="1" applyFill="1" applyBorder="1" applyAlignment="1">
      <alignment horizontal="center" vertical="center" shrinkToFit="1"/>
    </xf>
    <xf numFmtId="168" fontId="8" fillId="8" borderId="70" xfId="0" applyNumberFormat="1" applyFont="1" applyFill="1" applyBorder="1" applyAlignment="1">
      <alignment horizontal="center" vertical="center" shrinkToFit="1"/>
    </xf>
    <xf numFmtId="0" fontId="82" fillId="8" borderId="24" xfId="0" applyFont="1" applyFill="1" applyBorder="1" applyAlignment="1">
      <alignment horizontal="center" vertical="center" shrinkToFit="1" textRotation="255"/>
    </xf>
    <xf numFmtId="0" fontId="15" fillId="8" borderId="80" xfId="0" applyFont="1" applyFill="1" applyBorder="1" applyAlignment="1">
      <alignment horizontal="center" vertical="center"/>
    </xf>
    <xf numFmtId="0" fontId="15" fillId="8" borderId="35" xfId="0" applyFont="1" applyFill="1" applyBorder="1" applyAlignment="1">
      <alignment horizontal="center" vertical="center"/>
    </xf>
    <xf numFmtId="0" fontId="15" fillId="8" borderId="194" xfId="0" applyFont="1" applyFill="1" applyBorder="1" applyAlignment="1">
      <alignment horizontal="center" vertical="center"/>
    </xf>
    <xf numFmtId="175" fontId="15" fillId="8" borderId="80" xfId="0" applyNumberFormat="1" applyFont="1" applyFill="1" applyBorder="1" applyAlignment="1">
      <alignment horizontal="right" vertical="center"/>
    </xf>
    <xf numFmtId="0" fontId="8" fillId="8" borderId="35" xfId="0" applyFont="1" applyFill="1" applyBorder="1" applyAlignment="1">
      <alignment vertical="center"/>
    </xf>
    <xf numFmtId="0" fontId="15" fillId="8" borderId="34" xfId="0" applyFont="1" applyFill="1" applyBorder="1" applyAlignment="1">
      <alignment horizontal="center" vertical="center"/>
    </xf>
    <xf numFmtId="0" fontId="45" fillId="8" borderId="17" xfId="0" applyFont="1" applyFill="1" applyBorder="1" applyAlignment="1">
      <alignment horizontal="center" vertical="center" textRotation="255"/>
    </xf>
    <xf numFmtId="0" fontId="15" fillId="8" borderId="43" xfId="0" applyFont="1" applyFill="1" applyBorder="1" applyAlignment="1">
      <alignment horizontal="center" vertical="center"/>
    </xf>
    <xf numFmtId="0" fontId="15" fillId="8" borderId="41" xfId="0" applyFont="1" applyFill="1" applyBorder="1" applyAlignment="1">
      <alignment horizontal="center" vertical="center"/>
    </xf>
    <xf numFmtId="0" fontId="15" fillId="8" borderId="202" xfId="0" applyFont="1" applyFill="1" applyBorder="1" applyAlignment="1">
      <alignment horizontal="center" vertical="center"/>
    </xf>
    <xf numFmtId="169" fontId="15" fillId="8" borderId="203" xfId="0" applyNumberFormat="1" applyFont="1" applyFill="1" applyBorder="1" applyAlignment="1">
      <alignment horizontal="center" vertical="center" shrinkToFit="1"/>
    </xf>
    <xf numFmtId="38" fontId="15" fillId="8" borderId="41" xfId="0" applyNumberFormat="1" applyFont="1" applyFill="1" applyBorder="1" applyAlignment="1">
      <alignment horizontal="right" vertical="center"/>
    </xf>
    <xf numFmtId="0" fontId="15" fillId="8" borderId="51" xfId="0" applyFont="1" applyFill="1" applyBorder="1" applyAlignment="1">
      <alignment horizontal="center" vertical="center"/>
    </xf>
    <xf numFmtId="169" fontId="15" fillId="8" borderId="204" xfId="0" applyNumberFormat="1" applyFont="1" applyFill="1" applyBorder="1" applyAlignment="1">
      <alignment horizontal="center" vertical="center" shrinkToFit="1"/>
    </xf>
    <xf numFmtId="0" fontId="15" fillId="8" borderId="42" xfId="0" applyFont="1" applyFill="1" applyBorder="1" applyAlignment="1">
      <alignment horizontal="center" vertical="center"/>
    </xf>
    <xf numFmtId="0" fontId="45" fillId="8" borderId="21" xfId="0" applyFont="1" applyFill="1" applyBorder="1" applyAlignment="1">
      <alignment horizontal="center" vertical="center" textRotation="255"/>
    </xf>
    <xf numFmtId="0" fontId="15" fillId="8" borderId="62" xfId="0" applyFont="1" applyFill="1" applyBorder="1" applyAlignment="1">
      <alignment horizontal="center" vertical="center"/>
    </xf>
    <xf numFmtId="0" fontId="15" fillId="8" borderId="63" xfId="0" applyFont="1" applyFill="1" applyBorder="1" applyAlignment="1">
      <alignment horizontal="center" vertical="center"/>
    </xf>
    <xf numFmtId="0" fontId="15" fillId="8" borderId="205" xfId="0" applyFont="1" applyFill="1" applyBorder="1" applyAlignment="1">
      <alignment horizontal="center" vertical="center"/>
    </xf>
    <xf numFmtId="169" fontId="15" fillId="8" borderId="206" xfId="0" applyNumberFormat="1" applyFont="1" applyFill="1" applyBorder="1" applyAlignment="1">
      <alignment horizontal="center" vertical="center" shrinkToFit="1"/>
    </xf>
    <xf numFmtId="38" fontId="15" fillId="8" borderId="199" xfId="0" applyNumberFormat="1" applyFont="1" applyFill="1" applyBorder="1" applyAlignment="1">
      <alignment horizontal="right" vertical="center"/>
    </xf>
    <xf numFmtId="38" fontId="15" fillId="8" borderId="63" xfId="0" applyNumberFormat="1" applyFont="1" applyFill="1" applyBorder="1" applyAlignment="1">
      <alignment horizontal="right" vertical="center"/>
    </xf>
    <xf numFmtId="0" fontId="15" fillId="8" borderId="57" xfId="0" applyFont="1" applyFill="1" applyBorder="1" applyAlignment="1">
      <alignment horizontal="center" vertical="center"/>
    </xf>
    <xf numFmtId="169" fontId="15" fillId="8" borderId="207" xfId="0" applyNumberFormat="1" applyFont="1" applyFill="1" applyBorder="1" applyAlignment="1">
      <alignment horizontal="center" vertical="center" shrinkToFit="1"/>
    </xf>
    <xf numFmtId="169" fontId="15" fillId="8" borderId="68" xfId="0" applyNumberFormat="1" applyFont="1" applyFill="1" applyBorder="1" applyAlignment="1">
      <alignment horizontal="center" vertical="center" shrinkToFit="1"/>
    </xf>
    <xf numFmtId="169" fontId="15" fillId="8" borderId="69" xfId="0" applyNumberFormat="1" applyFont="1" applyFill="1" applyBorder="1" applyAlignment="1">
      <alignment horizontal="center" vertical="center" shrinkToFit="1"/>
    </xf>
    <xf numFmtId="169" fontId="15" fillId="8" borderId="208" xfId="0" applyNumberFormat="1" applyFont="1" applyFill="1" applyBorder="1" applyAlignment="1">
      <alignment horizontal="center" vertical="center" shrinkToFit="1"/>
    </xf>
    <xf numFmtId="169" fontId="15" fillId="8" borderId="209" xfId="0" applyNumberFormat="1" applyFont="1" applyFill="1" applyBorder="1" applyAlignment="1">
      <alignment horizontal="center" vertical="center" shrinkToFit="1"/>
    </xf>
    <xf numFmtId="38" fontId="15" fillId="8" borderId="69" xfId="0" applyNumberFormat="1" applyFont="1" applyFill="1" applyBorder="1" applyAlignment="1">
      <alignment horizontal="right" vertical="center"/>
    </xf>
    <xf numFmtId="0" fontId="45" fillId="8" borderId="24" xfId="0" applyFont="1" applyFill="1" applyBorder="1" applyAlignment="1">
      <alignment horizontal="center" vertical="center" textRotation="255"/>
    </xf>
    <xf numFmtId="175" fontId="15" fillId="8" borderId="35" xfId="0" applyNumberFormat="1" applyFont="1" applyFill="1" applyBorder="1" applyAlignment="1">
      <alignment horizontal="right" vertical="center"/>
    </xf>
    <xf numFmtId="38" fontId="15" fillId="8" borderId="80" xfId="0" applyNumberFormat="1" applyFont="1" applyFill="1" applyBorder="1" applyAlignment="1">
      <alignment vertical="center"/>
    </xf>
    <xf numFmtId="0" fontId="36" fillId="8" borderId="41" xfId="0" applyFont="1" applyFill="1" applyBorder="1" applyAlignment="1">
      <alignment horizontal="left" vertical="center"/>
    </xf>
    <xf numFmtId="169" fontId="15" fillId="8" borderId="49" xfId="0" applyNumberFormat="1" applyFont="1" applyFill="1" applyBorder="1" applyAlignment="1">
      <alignment horizontal="center" vertical="center" shrinkToFit="1"/>
    </xf>
    <xf numFmtId="169" fontId="15" fillId="8" borderId="50" xfId="0" applyNumberFormat="1" applyFont="1" applyFill="1" applyBorder="1" applyAlignment="1">
      <alignment horizontal="center" vertical="center" shrinkToFit="1"/>
    </xf>
    <xf numFmtId="169" fontId="15" fillId="8" borderId="210" xfId="0" applyNumberFormat="1" applyFont="1" applyFill="1" applyBorder="1" applyAlignment="1">
      <alignment horizontal="center" vertical="center" shrinkToFit="1"/>
    </xf>
    <xf numFmtId="38" fontId="15" fillId="8" borderId="50" xfId="0" applyNumberFormat="1" applyFont="1" applyFill="1" applyBorder="1" applyAlignment="1">
      <alignment horizontal="right" vertical="center"/>
    </xf>
    <xf numFmtId="0" fontId="15" fillId="8" borderId="50" xfId="0" applyFont="1" applyFill="1" applyBorder="1" applyAlignment="1">
      <alignment horizontal="center" vertical="center"/>
    </xf>
    <xf numFmtId="0" fontId="15" fillId="8" borderId="49" xfId="0" applyFont="1" applyFill="1" applyBorder="1" applyAlignment="1">
      <alignment horizontal="center" vertical="center"/>
    </xf>
    <xf numFmtId="0" fontId="15" fillId="8" borderId="210" xfId="0" applyFont="1" applyFill="1" applyBorder="1" applyAlignment="1">
      <alignment horizontal="center" vertical="center"/>
    </xf>
    <xf numFmtId="0" fontId="15" fillId="8" borderId="211" xfId="0" applyFont="1" applyFill="1" applyBorder="1" applyAlignment="1">
      <alignment horizontal="center" vertical="center"/>
    </xf>
    <xf numFmtId="169" fontId="15" fillId="8" borderId="212" xfId="0" applyNumberFormat="1" applyFont="1" applyFill="1" applyBorder="1" applyAlignment="1">
      <alignment horizontal="center" vertical="center" shrinkToFit="1"/>
    </xf>
    <xf numFmtId="38" fontId="15" fillId="8" borderId="171" xfId="0" applyNumberFormat="1" applyFont="1" applyFill="1" applyBorder="1" applyAlignment="1">
      <alignment horizontal="right" vertical="center"/>
    </xf>
    <xf numFmtId="0" fontId="15" fillId="8" borderId="171" xfId="0" applyFont="1" applyFill="1" applyBorder="1" applyAlignment="1">
      <alignment horizontal="center" vertical="center"/>
    </xf>
    <xf numFmtId="0" fontId="15" fillId="8" borderId="213" xfId="0" applyFont="1" applyFill="1" applyBorder="1" applyAlignment="1">
      <alignment horizontal="center" vertical="center"/>
    </xf>
    <xf numFmtId="38" fontId="15" fillId="8" borderId="214" xfId="0" applyNumberFormat="1" applyFont="1" applyFill="1" applyBorder="1" applyAlignment="1">
      <alignment horizontal="right" vertical="center"/>
    </xf>
    <xf numFmtId="0" fontId="15" fillId="8" borderId="49" xfId="0" applyFont="1" applyFill="1" applyBorder="1" applyAlignment="1">
      <alignment horizontal="center" vertical="center" textRotation="255"/>
    </xf>
    <xf numFmtId="38" fontId="15" fillId="8" borderId="197" xfId="0" applyNumberFormat="1" applyFont="1" applyFill="1" applyBorder="1" applyAlignment="1">
      <alignment horizontal="right" vertical="center"/>
    </xf>
    <xf numFmtId="0" fontId="15" fillId="8" borderId="62" xfId="0" applyFont="1" applyFill="1" applyBorder="1" applyAlignment="1">
      <alignment horizontal="center" vertical="center" textRotation="255"/>
    </xf>
    <xf numFmtId="0" fontId="15" fillId="8" borderId="68" xfId="0" applyFont="1" applyFill="1" applyBorder="1" applyAlignment="1">
      <alignment horizontal="center" vertical="center" textRotation="255"/>
    </xf>
    <xf numFmtId="0" fontId="32" fillId="8" borderId="215" xfId="0" applyFont="1" applyFill="1" applyBorder="1" applyAlignment="1">
      <alignment horizontal="center" vertical="center" textRotation="255"/>
    </xf>
    <xf numFmtId="0" fontId="32" fillId="8" borderId="216" xfId="0" applyFont="1" applyFill="1" applyBorder="1" applyAlignment="1">
      <alignment horizontal="center" vertical="center"/>
    </xf>
    <xf numFmtId="0" fontId="32" fillId="8" borderId="217" xfId="0" applyFont="1" applyFill="1" applyBorder="1" applyAlignment="1">
      <alignment horizontal="center" vertical="center"/>
    </xf>
    <xf numFmtId="0" fontId="32" fillId="8" borderId="218" xfId="0" applyFont="1" applyFill="1" applyBorder="1" applyAlignment="1">
      <alignment horizontal="center" vertical="center"/>
    </xf>
    <xf numFmtId="0" fontId="32" fillId="8" borderId="219" xfId="0" applyFont="1" applyFill="1" applyBorder="1" applyAlignment="1">
      <alignment horizontal="center" vertical="center"/>
    </xf>
    <xf numFmtId="0" fontId="32" fillId="8" borderId="220" xfId="0" applyFont="1" applyFill="1" applyBorder="1" applyAlignment="1">
      <alignment horizontal="center" vertical="center"/>
    </xf>
    <xf numFmtId="0" fontId="32" fillId="8" borderId="221" xfId="0" applyFont="1" applyFill="1" applyBorder="1" applyAlignment="1">
      <alignment horizontal="center" vertical="center" textRotation="255"/>
    </xf>
    <xf numFmtId="168" fontId="32" fillId="8" borderId="222" xfId="0" applyNumberFormat="1" applyFont="1" applyFill="1" applyBorder="1" applyAlignment="1">
      <alignment horizontal="center" vertical="center"/>
    </xf>
    <xf numFmtId="168" fontId="32" fillId="8" borderId="223" xfId="0" applyNumberFormat="1" applyFont="1" applyFill="1" applyBorder="1" applyAlignment="1">
      <alignment horizontal="center" vertical="center"/>
    </xf>
    <xf numFmtId="168" fontId="32" fillId="8" borderId="224" xfId="0" applyNumberFormat="1" applyFont="1" applyFill="1" applyBorder="1" applyAlignment="1">
      <alignment horizontal="center" vertical="center"/>
    </xf>
    <xf numFmtId="175" fontId="32" fillId="8" borderId="225" xfId="0" applyNumberFormat="1" applyFont="1" applyFill="1" applyBorder="1" applyAlignment="1">
      <alignment horizontal="right" vertical="center"/>
    </xf>
    <xf numFmtId="175" fontId="32" fillId="8" borderId="223" xfId="0" applyNumberFormat="1" applyFont="1" applyFill="1" applyBorder="1" applyAlignment="1">
      <alignment horizontal="right" vertical="center"/>
    </xf>
    <xf numFmtId="175" fontId="32" fillId="8" borderId="224" xfId="0" applyNumberFormat="1" applyFont="1" applyFill="1" applyBorder="1" applyAlignment="1">
      <alignment horizontal="right" vertical="center"/>
    </xf>
    <xf numFmtId="0" fontId="32" fillId="8" borderId="225" xfId="0" applyFont="1" applyFill="1" applyBorder="1" applyAlignment="1">
      <alignment horizontal="center" vertical="center"/>
    </xf>
    <xf numFmtId="0" fontId="32" fillId="8" borderId="223" xfId="0" applyFont="1" applyFill="1" applyBorder="1" applyAlignment="1">
      <alignment horizontal="center" vertical="center"/>
    </xf>
    <xf numFmtId="0" fontId="32" fillId="8" borderId="226" xfId="0" applyFont="1" applyFill="1" applyBorder="1" applyAlignment="1">
      <alignment horizontal="center" vertical="center"/>
    </xf>
    <xf numFmtId="0" fontId="40" fillId="8" borderId="0" xfId="0" applyFont="1" applyFill="1" applyAlignment="1">
      <alignment horizontal="left" shrinkToFit="1"/>
    </xf>
    <xf numFmtId="0" fontId="40" fillId="8" borderId="57" xfId="0" applyFont="1" applyFill="1" applyBorder="1" applyAlignment="1">
      <alignment horizontal="left" vertical="center" shrinkToFit="1"/>
    </xf>
    <xf numFmtId="0" fontId="82" fillId="8" borderId="57" xfId="0" applyFont="1" applyFill="1" applyBorder="1" applyAlignment="1">
      <alignment vertical="center" shrinkToFit="1"/>
    </xf>
    <xf numFmtId="0" fontId="76" fillId="8" borderId="0" xfId="0" applyFont="1" applyFill="1" applyAlignment="1">
      <alignment horizontal="center" vertical="center" shrinkToFit="1"/>
    </xf>
    <xf numFmtId="0" fontId="82" fillId="8" borderId="0" xfId="0" applyFont="1" applyFill="1" applyAlignment="1">
      <alignment horizontal="center" vertical="center" shrinkToFit="1"/>
    </xf>
    <xf numFmtId="0" fontId="8" fillId="8" borderId="0" xfId="0" applyFont="1" applyFill="1" applyAlignment="1">
      <alignment vertical="center" shrinkToFit="1"/>
    </xf>
    <xf numFmtId="0" fontId="49" fillId="8" borderId="0" xfId="0" applyFont="1" applyFill="1" applyAlignment="1">
      <alignment vertical="center" shrinkToFit="1"/>
    </xf>
    <xf numFmtId="0" fontId="15" fillId="8" borderId="171" xfId="0" applyFont="1" applyFill="1" applyBorder="1" applyAlignment="1">
      <alignment horizontal="left" vertical="center" shrinkToFit="1"/>
    </xf>
    <xf numFmtId="0" fontId="49" fillId="8" borderId="171" xfId="0" applyFont="1" applyFill="1" applyBorder="1" applyAlignment="1">
      <alignment horizontal="left" vertical="center" shrinkToFit="1"/>
    </xf>
    <xf numFmtId="0" fontId="15" fillId="8" borderId="74" xfId="0" applyFont="1" applyFill="1" applyBorder="1" applyAlignment="1">
      <alignment horizontal="center" vertical="center"/>
    </xf>
    <xf numFmtId="0" fontId="31" fillId="0" borderId="0" xfId="0" applyFont="1"/>
    <xf numFmtId="0" fontId="31" fillId="0" borderId="0" xfId="0" applyFont="1" applyAlignment="1">
      <alignment horizontal="center"/>
    </xf>
    <xf numFmtId="0" fontId="34" fillId="0" borderId="0" xfId="0" applyFont="1"/>
    <xf numFmtId="165" fontId="4" fillId="0" borderId="0" xfId="0" applyNumberFormat="1" applyFont="1" applyAlignment="1">
      <alignment horizontal="center"/>
    </xf>
    <xf numFmtId="0" fontId="4" fillId="0" borderId="78" xfId="0" applyFont="1" applyBorder="1"/>
    <xf numFmtId="0" fontId="4" fillId="0" borderId="21" xfId="0" applyFont="1" applyBorder="1"/>
    <xf numFmtId="0" fontId="4" fillId="0" borderId="45" xfId="0" applyFont="1" applyBorder="1"/>
    <xf numFmtId="0" fontId="4" fillId="0" borderId="24" xfId="0" applyFont="1" applyBorder="1"/>
    <xf numFmtId="165" fontId="4" fillId="0" borderId="0" xfId="0" applyNumberFormat="1" applyFont="1"/>
    <xf numFmtId="0" fontId="36" fillId="0" borderId="0" xfId="0" applyFont="1"/>
    <xf numFmtId="0" fontId="4" fillId="0" borderId="0" xfId="0" applyFont="1" applyAlignment="1">
      <alignment shrinkToFit="1"/>
    </xf>
    <xf numFmtId="0" fontId="4" fillId="8" borderId="0" xfId="0" applyFont="1" applyFill="1" applyAlignment="1">
      <alignment horizontal="center"/>
    </xf>
    <xf numFmtId="0" fontId="83" fillId="0" borderId="0" xfId="0" applyFont="1" applyAlignment="1">
      <alignment horizontal="left" vertical="center"/>
    </xf>
    <xf numFmtId="0" fontId="34" fillId="0" borderId="43" xfId="0" applyFont="1" applyBorder="1" applyAlignment="1">
      <alignment horizontal="center" vertical="center" textRotation="255"/>
    </xf>
    <xf numFmtId="0" fontId="4" fillId="0" borderId="74" xfId="0" applyFont="1" applyBorder="1" applyAlignment="1">
      <alignment horizontal="center"/>
    </xf>
    <xf numFmtId="0" fontId="4" fillId="0" borderId="80" xfId="0" applyFont="1" applyBorder="1" applyAlignment="1">
      <alignment horizontal="center"/>
    </xf>
    <xf numFmtId="0" fontId="4" fillId="0" borderId="118" xfId="0" applyFont="1" applyBorder="1" applyAlignment="1">
      <alignment horizontal="center"/>
    </xf>
    <xf numFmtId="0" fontId="34" fillId="0" borderId="78" xfId="0" applyFont="1" applyBorder="1" applyAlignment="1">
      <alignment horizontal="center" vertical="center" textRotation="255"/>
    </xf>
    <xf numFmtId="0" fontId="4" fillId="0" borderId="45" xfId="0" applyFont="1" applyBorder="1" applyAlignment="1">
      <alignment horizontal="center"/>
    </xf>
    <xf numFmtId="0" fontId="4" fillId="0" borderId="44" xfId="0" applyFont="1" applyBorder="1" applyAlignment="1">
      <alignment horizontal="center"/>
    </xf>
    <xf numFmtId="165" fontId="4" fillId="0" borderId="74" xfId="0" applyNumberFormat="1" applyFont="1" applyBorder="1" applyAlignment="1">
      <alignment horizontal="center"/>
    </xf>
    <xf numFmtId="165" fontId="4" fillId="0" borderId="80" xfId="0" applyNumberFormat="1" applyFont="1" applyBorder="1" applyAlignment="1">
      <alignment horizontal="center"/>
    </xf>
    <xf numFmtId="165" fontId="4" fillId="0" borderId="35" xfId="0" applyNumberFormat="1" applyFont="1" applyBorder="1" applyAlignment="1">
      <alignment horizontal="center"/>
    </xf>
    <xf numFmtId="165" fontId="4" fillId="0" borderId="118" xfId="0" applyNumberFormat="1" applyFont="1" applyBorder="1" applyAlignment="1">
      <alignment horizontal="center"/>
    </xf>
    <xf numFmtId="0" fontId="4" fillId="0" borderId="43" xfId="0" applyFont="1" applyBorder="1" applyAlignment="1">
      <alignment horizontal="center"/>
    </xf>
    <xf numFmtId="0" fontId="4" fillId="0" borderId="41" xfId="0" applyFont="1" applyBorder="1" applyAlignment="1">
      <alignment horizontal="center"/>
    </xf>
    <xf numFmtId="0" fontId="15" fillId="0" borderId="38" xfId="0" applyFont="1" applyBorder="1" applyAlignment="1">
      <alignment horizontal="center" vertical="center"/>
    </xf>
    <xf numFmtId="0" fontId="15" fillId="0" borderId="227" xfId="0" applyFont="1" applyBorder="1" applyAlignment="1">
      <alignment horizontal="center" vertical="center"/>
    </xf>
    <xf numFmtId="0" fontId="15" fillId="0" borderId="228" xfId="0" applyFont="1" applyBorder="1" applyAlignment="1">
      <alignment horizontal="left" vertical="center"/>
    </xf>
    <xf numFmtId="0" fontId="15" fillId="0" borderId="122" xfId="0" applyFont="1" applyBorder="1" applyAlignment="1">
      <alignment horizontal="left" vertical="center"/>
    </xf>
    <xf numFmtId="0" fontId="15" fillId="0" borderId="229" xfId="0" applyFont="1" applyBorder="1" applyAlignment="1">
      <alignment horizontal="left" vertical="center"/>
    </xf>
    <xf numFmtId="0" fontId="34" fillId="0" borderId="45" xfId="0" applyFont="1" applyBorder="1" applyAlignment="1">
      <alignment horizontal="center" vertical="center" textRotation="255"/>
    </xf>
    <xf numFmtId="0" fontId="15" fillId="0" borderId="230" xfId="0" applyFont="1" applyBorder="1" applyAlignment="1">
      <alignment horizontal="left" vertical="center"/>
    </xf>
    <xf numFmtId="0" fontId="15" fillId="0" borderId="231" xfId="0" applyFont="1" applyBorder="1" applyAlignment="1">
      <alignment horizontal="left" vertical="center"/>
    </xf>
    <xf numFmtId="0" fontId="15" fillId="0" borderId="232" xfId="0" applyFont="1" applyBorder="1" applyAlignment="1">
      <alignment horizontal="left" vertical="center"/>
    </xf>
    <xf numFmtId="0" fontId="53" fillId="0" borderId="17" xfId="0" applyFont="1" applyBorder="1" applyAlignment="1">
      <alignment horizontal="center" vertical="center" shrinkToFit="1" textRotation="255"/>
    </xf>
    <xf numFmtId="172" fontId="45" fillId="0" borderId="43" xfId="0" applyNumberFormat="1" applyFont="1" applyBorder="1" applyAlignment="1">
      <alignment horizontal="center" vertical="center" shrinkToFit="1"/>
    </xf>
    <xf numFmtId="172" fontId="45" fillId="0" borderId="41" xfId="0" applyNumberFormat="1" applyFont="1" applyBorder="1" applyAlignment="1">
      <alignment horizontal="center" vertical="center" shrinkToFit="1"/>
    </xf>
    <xf numFmtId="172" fontId="45" fillId="0" borderId="42" xfId="0" applyNumberFormat="1"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43" xfId="0" applyFont="1" applyBorder="1" applyAlignment="1">
      <alignment horizontal="center" vertical="center" shrinkToFit="1"/>
    </xf>
    <xf numFmtId="0" fontId="20" fillId="0" borderId="41" xfId="0" applyFont="1" applyBorder="1" applyAlignment="1">
      <alignment horizontal="center" vertical="center" shrinkToFit="1"/>
    </xf>
    <xf numFmtId="0" fontId="20" fillId="0" borderId="42" xfId="0" applyFont="1" applyBorder="1" applyAlignment="1">
      <alignment horizontal="center" vertical="center" shrinkToFit="1"/>
    </xf>
    <xf numFmtId="0" fontId="53" fillId="0" borderId="21" xfId="0" applyFont="1" applyBorder="1" applyAlignment="1">
      <alignment horizontal="center" vertical="center" shrinkToFit="1" textRotation="255"/>
    </xf>
    <xf numFmtId="172" fontId="45" fillId="0" borderId="78" xfId="0" applyNumberFormat="1" applyFont="1" applyBorder="1" applyAlignment="1">
      <alignment horizontal="center" vertical="center" shrinkToFit="1"/>
    </xf>
    <xf numFmtId="172" fontId="45" fillId="0" borderId="0" xfId="0" applyNumberFormat="1" applyFont="1" applyAlignment="1">
      <alignment horizontal="center" vertical="center" shrinkToFit="1"/>
    </xf>
    <xf numFmtId="172" fontId="45" fillId="0" borderId="34" xfId="0" applyNumberFormat="1" applyFont="1" applyBorder="1" applyAlignment="1">
      <alignment horizontal="center" vertical="center" shrinkToFit="1"/>
    </xf>
    <xf numFmtId="0" fontId="20" fillId="0" borderId="21" xfId="0" applyFont="1" applyBorder="1" applyAlignment="1">
      <alignment horizontal="center" vertical="center" shrinkToFit="1"/>
    </xf>
    <xf numFmtId="0" fontId="20" fillId="0" borderId="78" xfId="0" applyFont="1" applyBorder="1" applyAlignment="1">
      <alignment horizontal="center" vertical="center" shrinkToFit="1"/>
    </xf>
    <xf numFmtId="0" fontId="20" fillId="0" borderId="34" xfId="0" applyFont="1" applyBorder="1" applyAlignment="1">
      <alignment horizontal="center" vertical="center" shrinkToFit="1"/>
    </xf>
    <xf numFmtId="0" fontId="53" fillId="0" borderId="24" xfId="0" applyFont="1" applyBorder="1" applyAlignment="1">
      <alignment horizontal="center" vertical="center" shrinkToFit="1" textRotation="255"/>
    </xf>
    <xf numFmtId="0" fontId="20" fillId="0" borderId="45" xfId="0" applyFont="1" applyBorder="1" applyAlignment="1">
      <alignment horizontal="center" vertical="center" shrinkToFit="1"/>
    </xf>
    <xf numFmtId="0" fontId="20" fillId="0" borderId="31" xfId="0" applyFont="1" applyBorder="1" applyAlignment="1">
      <alignment horizontal="center" vertical="center" shrinkToFit="1"/>
    </xf>
    <xf numFmtId="0" fontId="20" fillId="0" borderId="44" xfId="0" applyFont="1" applyBorder="1" applyAlignment="1">
      <alignment horizontal="center" vertical="center" shrinkToFit="1"/>
    </xf>
    <xf numFmtId="0" fontId="20" fillId="0" borderId="24" xfId="0" applyFont="1" applyBorder="1" applyAlignment="1">
      <alignment horizontal="center" vertical="center" shrinkToFit="1"/>
    </xf>
    <xf numFmtId="0" fontId="53" fillId="0" borderId="0" xfId="0" applyFont="1" applyAlignment="1">
      <alignment vertical="center" shrinkToFit="1" textRotation="255"/>
    </xf>
    <xf numFmtId="0" fontId="24" fillId="0" borderId="0" xfId="0" applyFont="1" applyAlignment="1">
      <alignment horizontal="right"/>
    </xf>
    <xf numFmtId="165" fontId="8" fillId="0" borderId="0" xfId="0" applyNumberFormat="1" applyFont="1" applyAlignment="1">
      <alignment horizontal="center" vertical="center"/>
    </xf>
    <xf numFmtId="0" fontId="84" fillId="0" borderId="0" xfId="0" applyFont="1" applyAlignment="1">
      <alignment horizontal="left" vertical="center"/>
    </xf>
    <xf numFmtId="0" fontId="84" fillId="0" borderId="0" xfId="0" applyFont="1" applyAlignment="1">
      <alignment vertical="center"/>
    </xf>
    <xf numFmtId="0" fontId="84" fillId="0" borderId="57" xfId="0" applyFont="1" applyBorder="1" applyAlignment="1">
      <alignment horizontal="center" vertical="center"/>
    </xf>
    <xf numFmtId="0" fontId="84" fillId="0" borderId="63" xfId="0" applyFont="1" applyBorder="1" applyAlignment="1">
      <alignment horizontal="center" vertical="center"/>
    </xf>
    <xf numFmtId="0" fontId="84" fillId="0" borderId="0" xfId="0" applyFont="1" applyAlignment="1">
      <alignment horizontal="right" vertical="center"/>
    </xf>
    <xf numFmtId="0" fontId="84" fillId="0" borderId="0" xfId="0" applyFont="1" applyAlignment="1">
      <alignment horizontal="center" vertical="center"/>
    </xf>
    <xf numFmtId="0" fontId="84" fillId="0" borderId="57" xfId="0" applyFont="1" applyBorder="1" applyAlignment="1">
      <alignment horizontal="left" vertical="center"/>
    </xf>
    <xf numFmtId="0" fontId="84" fillId="0" borderId="171" xfId="0" applyFont="1" applyBorder="1" applyAlignment="1">
      <alignment horizontal="left" vertical="center"/>
    </xf>
    <xf numFmtId="0" fontId="85" fillId="0" borderId="0" xfId="0" applyFont="1" applyAlignment="1">
      <alignment vertical="center"/>
    </xf>
  </cellXfs>
  <cellStyles count="1">
    <cellStyle name="Normal" xfId="0" builtinId="0"/>
  </cellStyles>
  <dxfs count="8">
    <dxf>
      <fill>
        <patternFill patternType="none"/>
      </fill>
    </dxf>
    <dxf>
      <fill>
        <patternFill patternType="none"/>
      </fill>
      <border>
        <left/>
        <right/>
        <top/>
        <bottom style="thin">
          <color rgb="FF000000"/>
        </bottom>
        <diagonal/>
      </border>
    </dxf>
    <dxf>
      <fill>
        <patternFill patternType="none"/>
      </fill>
      <border>
        <left/>
        <right/>
        <top/>
        <bottom style="thin">
          <color rgb="FF000000"/>
        </bottom>
        <diagonal/>
      </border>
    </dxf>
    <dxf>
      <fill>
        <patternFill patternType="none"/>
      </fill>
    </dxf>
    <dxf>
      <fill>
        <patternFill patternType="none"/>
      </fill>
    </dxf>
    <dxf>
      <fill>
        <patternFill patternType="none"/>
      </fill>
      <border>
        <left/>
        <right/>
        <top/>
        <bottom style="thin">
          <color rgb="FF000000"/>
        </bottom>
        <diagonal/>
      </border>
    </dxf>
    <dxf>
      <fill>
        <patternFill patternType="none"/>
      </fill>
      <border>
        <left/>
        <right/>
        <top/>
        <bottom style="thin">
          <color rgb="FF000000"/>
        </bottom>
        <diagonal/>
      </border>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14.xml"/><Relationship Id="rId8" Type="http://schemas.openxmlformats.org/officeDocument/2006/relationships/worksheet" Target="worksheets/sheet44.xml"/><Relationship Id="rId9" Type="http://schemas.openxmlformats.org/officeDocument/2006/relationships/worksheet" Target="worksheets/sheet41.xml"/><Relationship Id="rId10" Type="http://schemas.openxmlformats.org/officeDocument/2006/relationships/worksheet" Target="worksheets/sheet40.xml"/><Relationship Id="rId11" Type="http://schemas.openxmlformats.org/officeDocument/2006/relationships/worksheet" Target="worksheets/sheet52.xml"/><Relationship Id="rId12" Type="http://schemas.openxmlformats.org/officeDocument/2006/relationships/worksheet" Target="worksheets/sheet42.xml"/><Relationship Id="rId13" Type="http://schemas.openxmlformats.org/officeDocument/2006/relationships/worksheet" Target="worksheets/sheet43.xml"/><Relationship Id="rId14" Type="http://schemas.openxmlformats.org/officeDocument/2006/relationships/worksheet" Target="worksheets/sheet49.xml"/><Relationship Id="rId15" Type="http://schemas.openxmlformats.org/officeDocument/2006/relationships/worksheet" Target="worksheets/sheet50.xml"/><Relationship Id="rId16" Type="http://schemas.openxmlformats.org/officeDocument/2006/relationships/worksheet" Target="worksheets/sheet56.xml"/><Relationship Id="rId17" Type="http://schemas.openxmlformats.org/officeDocument/2006/relationships/worksheet" Target="worksheets/sheet57.xml"/><Relationship Id="rId18" Type="http://schemas.openxmlformats.org/officeDocument/2006/relationships/worksheet" Target="worksheets/sheet48.xml"/><Relationship Id="rId19" Type="http://schemas.openxmlformats.org/officeDocument/2006/relationships/worksheet" Target="worksheets/sheet47.xml"/><Relationship Id="rId20" Type="http://schemas.openxmlformats.org/officeDocument/2006/relationships/worksheet" Target="worksheets/sheet55.xml"/><Relationship Id="rId21" Type="http://schemas.openxmlformats.org/officeDocument/2006/relationships/worksheet" Target="worksheets/sheet11.xml"/><Relationship Id="rId22" Type="http://schemas.openxmlformats.org/officeDocument/2006/relationships/worksheet" Target="worksheets/sheet34.xml"/><Relationship Id="rId23" Type="http://schemas.openxmlformats.org/officeDocument/2006/relationships/worksheet" Target="worksheets/sheet10.xml"/><Relationship Id="rId24" Type="http://schemas.openxmlformats.org/officeDocument/2006/relationships/worksheet" Target="worksheets/sheet38.xml"/><Relationship Id="rId25" Type="http://schemas.openxmlformats.org/officeDocument/2006/relationships/worksheet" Target="worksheets/sheet17.xml"/><Relationship Id="rId26" Type="http://schemas.openxmlformats.org/officeDocument/2006/relationships/worksheet" Target="worksheets/sheet31.xml"/><Relationship Id="rId27" Type="http://schemas.openxmlformats.org/officeDocument/2006/relationships/worksheet" Target="worksheets/sheet45.xml"/><Relationship Id="rId28" Type="http://schemas.openxmlformats.org/officeDocument/2006/relationships/worksheet" Target="worksheets/sheet29.xml"/><Relationship Id="rId29" Type="http://schemas.openxmlformats.org/officeDocument/2006/relationships/worksheet" Target="worksheets/sheet33.xml"/><Relationship Id="rId30" Type="http://schemas.openxmlformats.org/officeDocument/2006/relationships/worksheet" Target="worksheets/sheet5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open?id=1k28Of_cBzy7cpO7yXsV_d3xwIkYlHet6&amp;authuser=my%40g-house.osaka.jp&amp;usp=drive_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Z1002"/>
  <sheetViews>
    <sheetView workbookViewId="0" zoomScale="100" zoomScaleNormal="100" view="pageBreakPreview">
      <selection activeCell="B3" sqref="B3"/>
    </sheetView>
  </sheetViews>
  <sheetFormatPr defaultRowHeight="15" outlineLevelRow="0" outlineLevelCol="0" x14ac:dyDescent="0" defaultColWidth="14.42578125"/>
  <cols>
    <col min="1" max="1" width="17.28515625" style="1" customWidth="1"/>
    <col min="2" max="4" width="7.7109375" style="1" customWidth="1"/>
    <col min="5" max="5" width="7.42578125" style="1" customWidth="1"/>
    <col min="6" max="6" width="9" style="1" customWidth="1"/>
    <col min="7" max="8" width="7.7109375" style="1" customWidth="1"/>
    <col min="9" max="26" width="9" style="1" customWidth="1"/>
    <col min="27" max="16384" width="14.42578125" style="1" customWidth="1"/>
  </cols>
  <sheetData>
    <row r="1" ht="18" customHeight="1" spans="1:26" x14ac:dyDescent="0.25">
      <c r="A1" s="2" t="s">
        <v>0</v>
      </c>
      <c r="B1" s="3" t="s">
        <v>1</v>
      </c>
      <c r="C1" s="3"/>
      <c r="D1" s="3"/>
      <c r="E1" s="3"/>
      <c r="F1" s="3"/>
      <c r="G1" s="3"/>
      <c r="H1" s="3"/>
      <c r="I1" s="3"/>
      <c r="J1" s="3"/>
      <c r="K1" s="3"/>
      <c r="L1" s="3"/>
      <c r="M1" s="3"/>
      <c r="N1" s="3"/>
      <c r="O1" s="3"/>
      <c r="P1" s="3"/>
      <c r="Q1" s="3"/>
      <c r="R1" s="3"/>
      <c r="S1" s="3"/>
      <c r="T1" s="3"/>
      <c r="U1" s="3"/>
      <c r="V1" s="3"/>
      <c r="W1" s="3"/>
      <c r="X1" s="3"/>
      <c r="Y1" s="3"/>
      <c r="Z1" s="3"/>
    </row>
    <row r="2" ht="18" customHeight="1" spans="1:26" x14ac:dyDescent="0.25">
      <c r="A2" s="4" t="s">
        <v>2</v>
      </c>
      <c r="B2" s="5"/>
      <c r="C2" s="5"/>
      <c r="D2" s="5"/>
      <c r="E2" s="5"/>
      <c r="F2" s="5"/>
      <c r="G2" s="5"/>
      <c r="H2" s="6"/>
      <c r="I2" s="3"/>
      <c r="J2" s="3"/>
      <c r="K2" s="3"/>
      <c r="L2" s="3"/>
      <c r="M2" s="3"/>
      <c r="N2" s="3"/>
      <c r="O2" s="3"/>
      <c r="P2" s="3"/>
      <c r="Q2" s="3"/>
      <c r="R2" s="3"/>
      <c r="S2" s="3"/>
      <c r="T2" s="3"/>
      <c r="U2" s="3"/>
      <c r="V2" s="3"/>
      <c r="W2" s="3"/>
      <c r="X2" s="3"/>
      <c r="Y2" s="3"/>
      <c r="Z2" s="3"/>
    </row>
    <row r="3" ht="18" customHeight="1" spans="1:26" x14ac:dyDescent="0.25">
      <c r="A3" s="7" t="s">
        <v>3</v>
      </c>
      <c r="B3" s="8" t="s">
        <v>4</v>
      </c>
      <c r="C3" s="9"/>
      <c r="D3" s="9"/>
      <c r="E3" s="9"/>
      <c r="F3" s="9"/>
      <c r="G3" s="9"/>
      <c r="H3" s="10"/>
      <c r="I3" s="11" t="s">
        <v>5</v>
      </c>
      <c r="J3" s="1"/>
      <c r="K3" s="1"/>
      <c r="L3" s="1"/>
      <c r="M3" s="1"/>
      <c r="N3" s="3"/>
      <c r="O3" s="3"/>
      <c r="P3" s="3"/>
      <c r="Q3" s="3"/>
      <c r="R3" s="3"/>
      <c r="S3" s="3"/>
      <c r="T3" s="3"/>
      <c r="U3" s="3"/>
      <c r="V3" s="3"/>
      <c r="W3" s="3"/>
      <c r="X3" s="3"/>
      <c r="Y3" s="3"/>
      <c r="Z3" s="3"/>
    </row>
    <row r="4" ht="18" customHeight="1" spans="1:26" x14ac:dyDescent="0.25">
      <c r="A4" s="12" t="s">
        <v>6</v>
      </c>
      <c r="B4" s="13" t="s">
        <v>7</v>
      </c>
      <c r="C4" s="14"/>
      <c r="D4" s="14"/>
      <c r="E4" s="14"/>
      <c r="F4" s="14"/>
      <c r="G4" s="14"/>
      <c r="H4" s="15"/>
      <c r="I4" s="16"/>
      <c r="J4" s="1"/>
      <c r="K4" s="1"/>
      <c r="L4" s="1"/>
      <c r="M4" s="1"/>
      <c r="N4" s="3"/>
      <c r="O4" s="3"/>
      <c r="P4" s="3"/>
      <c r="Q4" s="3"/>
      <c r="R4" s="3"/>
      <c r="S4" s="3"/>
      <c r="T4" s="3"/>
      <c r="U4" s="3"/>
      <c r="V4" s="3"/>
      <c r="W4" s="3"/>
      <c r="X4" s="3"/>
      <c r="Y4" s="3"/>
      <c r="Z4" s="3"/>
    </row>
    <row r="5" ht="18" customHeight="1" spans="1:26" x14ac:dyDescent="0.25">
      <c r="A5" s="12" t="s">
        <v>8</v>
      </c>
      <c r="B5" s="13" t="s">
        <v>9</v>
      </c>
      <c r="C5" s="14"/>
      <c r="D5" s="14"/>
      <c r="E5" s="14"/>
      <c r="F5" s="14"/>
      <c r="G5" s="14"/>
      <c r="H5" s="15"/>
      <c r="I5" s="3"/>
      <c r="J5" s="3"/>
      <c r="K5" s="3"/>
      <c r="L5" s="3"/>
      <c r="M5" s="3"/>
      <c r="N5" s="3"/>
      <c r="O5" s="3"/>
      <c r="P5" s="3"/>
      <c r="Q5" s="3"/>
      <c r="R5" s="3"/>
      <c r="S5" s="3"/>
      <c r="T5" s="3"/>
      <c r="U5" s="3"/>
      <c r="V5" s="3"/>
      <c r="W5" s="3"/>
      <c r="X5" s="3"/>
      <c r="Y5" s="3"/>
      <c r="Z5" s="3"/>
    </row>
    <row r="6" ht="18" customHeight="1" spans="1:26" x14ac:dyDescent="0.25">
      <c r="A6" s="12" t="s">
        <v>10</v>
      </c>
      <c r="B6" s="13" t="s">
        <v>11</v>
      </c>
      <c r="C6" s="15"/>
      <c r="D6" s="17" t="s">
        <v>12</v>
      </c>
      <c r="E6" s="18" t="s">
        <v>13</v>
      </c>
      <c r="F6" s="14"/>
      <c r="G6" s="14"/>
      <c r="H6" s="15"/>
      <c r="I6" s="3"/>
      <c r="J6" s="3"/>
      <c r="K6" s="3"/>
      <c r="L6" s="3"/>
      <c r="M6" s="3"/>
      <c r="N6" s="3"/>
      <c r="O6" s="3"/>
      <c r="P6" s="3"/>
      <c r="Q6" s="3"/>
      <c r="R6" s="3"/>
      <c r="S6" s="3"/>
      <c r="T6" s="3"/>
      <c r="U6" s="3"/>
      <c r="V6" s="3"/>
      <c r="W6" s="3"/>
      <c r="X6" s="3"/>
      <c r="Y6" s="3"/>
      <c r="Z6" s="3"/>
    </row>
    <row r="7" ht="18" customHeight="1" spans="1:26" x14ac:dyDescent="0.25">
      <c r="A7" s="12" t="s">
        <v>14</v>
      </c>
      <c r="B7" s="13" t="s">
        <v>9</v>
      </c>
      <c r="C7" s="14"/>
      <c r="D7" s="14"/>
      <c r="E7" s="14"/>
      <c r="F7" s="14"/>
      <c r="G7" s="14"/>
      <c r="H7" s="15"/>
      <c r="I7" s="19" t="s">
        <v>15</v>
      </c>
      <c r="J7" s="19"/>
      <c r="K7" s="19"/>
      <c r="L7" s="19"/>
      <c r="M7" s="19"/>
      <c r="N7" s="3"/>
      <c r="O7" s="3"/>
      <c r="P7" s="3"/>
      <c r="Q7" s="3"/>
      <c r="R7" s="3"/>
      <c r="S7" s="3"/>
      <c r="T7" s="3"/>
      <c r="U7" s="3"/>
      <c r="V7" s="3"/>
      <c r="W7" s="3"/>
      <c r="X7" s="3"/>
      <c r="Y7" s="3"/>
      <c r="Z7" s="3"/>
    </row>
    <row r="8" ht="18" customHeight="1" spans="1:26" x14ac:dyDescent="0.25">
      <c r="A8" s="20" t="s">
        <v>16</v>
      </c>
      <c r="B8" s="13" t="s">
        <v>17</v>
      </c>
      <c r="C8" s="14"/>
      <c r="D8" s="14"/>
      <c r="E8" s="14"/>
      <c r="F8" s="14"/>
      <c r="G8" s="14"/>
      <c r="H8" s="15"/>
      <c r="I8" s="3" t="s">
        <v>18</v>
      </c>
      <c r="J8" s="3"/>
      <c r="K8" s="3"/>
      <c r="L8" s="3"/>
      <c r="M8" s="3"/>
      <c r="N8" s="3"/>
      <c r="O8" s="3"/>
      <c r="P8" s="3"/>
      <c r="Q8" s="3"/>
      <c r="R8" s="3"/>
      <c r="S8" s="3"/>
      <c r="T8" s="3"/>
      <c r="U8" s="3"/>
      <c r="V8" s="3"/>
      <c r="W8" s="3"/>
      <c r="X8" s="3"/>
      <c r="Y8" s="3"/>
      <c r="Z8" s="3"/>
    </row>
    <row r="9" ht="18" customHeight="1" spans="1:26" x14ac:dyDescent="0.25">
      <c r="A9" s="20" t="s">
        <v>19</v>
      </c>
      <c r="B9" s="21" t="str">
        <f>IFERROR(VLOOKUP(B8, L18:O28, 3, FALSE), "値が見つかりません")</f>
        <v>一級</v>
      </c>
      <c r="C9" s="22" t="s">
        <v>20</v>
      </c>
      <c r="D9" s="23" t="str">
        <f>VLOOKUP(B8, L18:O28, 4, FALSE)</f>
        <v>大臣</v>
      </c>
      <c r="E9" s="22" t="s">
        <v>21</v>
      </c>
      <c r="F9" s="3">
        <f>VLOOKUP($B$8,$L$18:$M$28,2,0)</f>
        <v>253424</v>
      </c>
      <c r="G9" s="17" t="s">
        <v>22</v>
      </c>
      <c r="H9" s="17"/>
      <c r="I9" s="23" t="s">
        <v>23</v>
      </c>
      <c r="J9" s="3"/>
      <c r="K9" s="3"/>
      <c r="L9" s="3"/>
      <c r="M9" s="3"/>
      <c r="O9" s="3"/>
      <c r="P9" s="3"/>
      <c r="Q9" s="3"/>
      <c r="R9" s="3"/>
      <c r="S9" s="3"/>
      <c r="T9" s="3"/>
      <c r="U9" s="3"/>
      <c r="V9" s="3"/>
      <c r="W9" s="3"/>
      <c r="X9" s="3"/>
      <c r="Y9" s="3"/>
      <c r="Z9" s="3"/>
    </row>
    <row r="10" ht="18" customHeight="1" spans="1:26" x14ac:dyDescent="0.25">
      <c r="A10" s="20" t="s">
        <v>24</v>
      </c>
      <c r="B10" s="13" t="str">
        <f>IF(B8="田中　聡", "■管理建築士　　□所属する建築士", "□管理建築士　　■所属する建築士")</f>
        <v>■管理建築士　　□所属する建築士</v>
      </c>
      <c r="C10" s="14"/>
      <c r="D10" s="14"/>
      <c r="E10" s="14"/>
      <c r="F10" s="14"/>
      <c r="G10" s="14"/>
      <c r="H10" s="15"/>
      <c r="I10" s="23" t="s">
        <v>25</v>
      </c>
      <c r="J10" s="3"/>
      <c r="K10" s="3"/>
      <c r="L10" s="3"/>
      <c r="M10" s="23"/>
      <c r="N10" s="3"/>
      <c r="O10" s="3"/>
      <c r="P10" s="3"/>
      <c r="Q10" s="3"/>
      <c r="R10" s="3"/>
      <c r="S10" s="3"/>
      <c r="T10" s="3"/>
      <c r="U10" s="3"/>
      <c r="V10" s="3"/>
      <c r="W10" s="3"/>
      <c r="X10" s="3"/>
      <c r="Y10" s="3"/>
      <c r="Z10" s="3"/>
    </row>
    <row r="11" ht="18" customHeight="1" spans="1:26" x14ac:dyDescent="0.25">
      <c r="A11" s="20" t="s">
        <v>26</v>
      </c>
      <c r="B11" s="13" t="s">
        <v>27</v>
      </c>
      <c r="C11" s="14"/>
      <c r="D11" s="14"/>
      <c r="E11" s="14"/>
      <c r="F11" s="14"/>
      <c r="G11" s="14"/>
      <c r="H11" s="15"/>
      <c r="I11" s="23" t="s">
        <v>28</v>
      </c>
      <c r="J11" s="3"/>
      <c r="K11" s="3"/>
      <c r="L11" s="3"/>
      <c r="M11" s="23"/>
      <c r="N11" s="3"/>
      <c r="O11" s="3"/>
      <c r="P11" s="3"/>
      <c r="Q11" s="3"/>
      <c r="R11" s="3"/>
      <c r="S11" s="3"/>
      <c r="T11" s="3"/>
      <c r="U11" s="3"/>
      <c r="V11" s="3"/>
      <c r="W11" s="3"/>
      <c r="X11" s="3"/>
      <c r="Y11" s="3"/>
      <c r="Z11" s="3"/>
    </row>
    <row r="12" ht="18" customHeight="1" spans="1:26" x14ac:dyDescent="0.25">
      <c r="A12" s="12" t="s">
        <v>29</v>
      </c>
      <c r="B12" s="13" t="s">
        <v>30</v>
      </c>
      <c r="C12" s="14"/>
      <c r="D12" s="14"/>
      <c r="E12" s="14"/>
      <c r="F12" s="14"/>
      <c r="G12" s="14"/>
      <c r="H12" s="15"/>
      <c r="I12" s="23" t="s">
        <v>31</v>
      </c>
      <c r="J12" s="3"/>
      <c r="K12" s="3"/>
      <c r="L12" s="3"/>
      <c r="M12" s="23"/>
      <c r="N12" s="3"/>
      <c r="O12" s="3"/>
      <c r="P12" s="3"/>
      <c r="Q12" s="3"/>
      <c r="R12" s="3"/>
      <c r="S12" s="3"/>
      <c r="T12" s="3"/>
      <c r="U12" s="3"/>
      <c r="V12" s="3"/>
      <c r="W12" s="3"/>
      <c r="X12" s="3"/>
      <c r="Y12" s="3"/>
      <c r="Z12" s="3"/>
    </row>
    <row r="13" ht="18" customHeight="1" spans="1:26" x14ac:dyDescent="0.25">
      <c r="A13" s="12" t="s">
        <v>32</v>
      </c>
      <c r="B13" s="22"/>
      <c r="C13" s="24">
        <v>2026</v>
      </c>
      <c r="D13" s="22" t="s">
        <v>33</v>
      </c>
      <c r="E13" s="24">
        <v>1</v>
      </c>
      <c r="F13" s="22" t="s">
        <v>34</v>
      </c>
      <c r="G13" s="24">
        <v>15</v>
      </c>
      <c r="H13" s="22" t="s">
        <v>35</v>
      </c>
      <c r="I13" s="3" t="s">
        <v>36</v>
      </c>
      <c r="J13" s="3"/>
      <c r="K13" s="3"/>
      <c r="L13" s="25" t="s">
        <v>37</v>
      </c>
      <c r="M13" s="3"/>
      <c r="O13" s="3"/>
      <c r="P13" s="3"/>
      <c r="Q13" s="3"/>
      <c r="R13" s="3"/>
      <c r="S13" s="3"/>
      <c r="T13" s="3"/>
      <c r="U13" s="3"/>
      <c r="V13" s="3"/>
      <c r="W13" s="3"/>
      <c r="X13" s="3"/>
      <c r="Y13" s="3"/>
      <c r="Z13" s="3"/>
    </row>
    <row r="14" ht="18" customHeight="1" spans="1:26" x14ac:dyDescent="0.25">
      <c r="A14" s="12" t="s">
        <v>38</v>
      </c>
      <c r="B14" s="22"/>
      <c r="C14" s="26">
        <v>2026</v>
      </c>
      <c r="D14" s="22" t="s">
        <v>33</v>
      </c>
      <c r="E14" s="26">
        <v>3</v>
      </c>
      <c r="F14" s="22" t="s">
        <v>34</v>
      </c>
      <c r="G14" s="26">
        <v>15</v>
      </c>
      <c r="H14" s="22" t="s">
        <v>35</v>
      </c>
      <c r="I14" s="3"/>
      <c r="J14" s="3"/>
      <c r="K14" s="3"/>
      <c r="L14" s="23" t="s">
        <v>39</v>
      </c>
      <c r="N14" s="3"/>
      <c r="O14" s="3"/>
      <c r="P14" s="3"/>
      <c r="Q14" s="3"/>
      <c r="R14" s="3"/>
      <c r="S14" s="3"/>
      <c r="T14" s="3"/>
      <c r="U14" s="3"/>
      <c r="V14" s="3"/>
      <c r="W14" s="3"/>
      <c r="X14" s="3"/>
      <c r="Y14" s="3"/>
      <c r="Z14" s="3"/>
    </row>
    <row r="15" ht="18" customHeight="1" spans="1:26" x14ac:dyDescent="0.25">
      <c r="A15" s="27" t="s">
        <v>40</v>
      </c>
      <c r="B15" s="13" t="s">
        <v>41</v>
      </c>
      <c r="C15" s="14"/>
      <c r="D15" s="14"/>
      <c r="E15" s="14"/>
      <c r="F15" s="14"/>
      <c r="G15" s="14"/>
      <c r="H15" s="15"/>
      <c r="I15" s="3" t="s">
        <v>42</v>
      </c>
      <c r="J15" s="3"/>
      <c r="K15" s="3"/>
      <c r="L15" s="3"/>
      <c r="M15" s="3"/>
      <c r="N15" s="3"/>
      <c r="O15" s="3"/>
      <c r="P15" s="3"/>
      <c r="Q15" s="3"/>
      <c r="R15" s="3"/>
      <c r="S15" s="3"/>
      <c r="T15" s="3"/>
      <c r="U15" s="3"/>
      <c r="V15" s="3"/>
      <c r="W15" s="3"/>
      <c r="X15" s="3"/>
      <c r="Y15" s="3"/>
      <c r="Z15" s="3"/>
    </row>
    <row r="16" ht="18" customHeight="1" spans="1:26" x14ac:dyDescent="0.25">
      <c r="A16" s="27" t="s">
        <v>43</v>
      </c>
      <c r="B16" s="13" t="s">
        <v>44</v>
      </c>
      <c r="C16" s="14"/>
      <c r="D16" s="14"/>
      <c r="E16" s="28"/>
      <c r="F16" s="28"/>
      <c r="G16" s="28"/>
      <c r="H16" s="29"/>
      <c r="I16" s="3"/>
      <c r="J16" s="3"/>
      <c r="K16" s="3"/>
      <c r="L16" s="3"/>
      <c r="M16" s="3"/>
      <c r="N16" s="3"/>
      <c r="O16" s="3"/>
      <c r="P16" s="3"/>
      <c r="Q16" s="3"/>
      <c r="R16" s="3"/>
      <c r="S16" s="3"/>
      <c r="T16" s="3"/>
      <c r="U16" s="3"/>
      <c r="V16" s="3"/>
      <c r="W16" s="3"/>
      <c r="X16" s="3"/>
      <c r="Y16" s="3"/>
      <c r="Z16" s="3"/>
    </row>
    <row r="17" ht="18" customHeight="1" spans="1:26" x14ac:dyDescent="0.25">
      <c r="A17" s="27" t="s">
        <v>45</v>
      </c>
      <c r="B17" s="13">
        <v>2</v>
      </c>
      <c r="C17" s="30"/>
      <c r="D17" s="30"/>
      <c r="E17" s="31" t="s">
        <v>46</v>
      </c>
      <c r="F17" s="32">
        <v>2</v>
      </c>
      <c r="G17" s="33"/>
      <c r="H17" s="34"/>
      <c r="I17" s="3" t="s">
        <v>47</v>
      </c>
      <c r="J17" s="3"/>
      <c r="K17" s="3"/>
      <c r="L17" s="35" t="s">
        <v>48</v>
      </c>
      <c r="M17" s="35" t="s">
        <v>49</v>
      </c>
      <c r="N17" s="35" t="s">
        <v>50</v>
      </c>
      <c r="O17" s="35" t="s">
        <v>51</v>
      </c>
      <c r="R17" s="3"/>
      <c r="S17" s="3"/>
      <c r="T17" s="3"/>
      <c r="U17" s="3"/>
      <c r="V17" s="3"/>
      <c r="W17" s="3"/>
      <c r="X17" s="3"/>
      <c r="Y17" s="3"/>
      <c r="Z17" s="3"/>
    </row>
    <row r="18" ht="18" customHeight="1" spans="1:26" x14ac:dyDescent="0.25">
      <c r="A18" s="27" t="s">
        <v>52</v>
      </c>
      <c r="B18" s="13">
        <v>1</v>
      </c>
      <c r="C18" s="30"/>
      <c r="D18" s="30"/>
      <c r="E18" s="36"/>
      <c r="F18" s="37">
        <v>1</v>
      </c>
      <c r="G18" s="30"/>
      <c r="H18" s="38"/>
      <c r="I18" s="3"/>
      <c r="J18" s="3"/>
      <c r="K18" s="3"/>
      <c r="L18" s="3" t="s">
        <v>17</v>
      </c>
      <c r="M18" s="3">
        <v>253424</v>
      </c>
      <c r="N18" s="3" t="s">
        <v>53</v>
      </c>
      <c r="O18" s="3" t="s">
        <v>54</v>
      </c>
      <c r="R18" s="3"/>
      <c r="S18" s="3"/>
      <c r="T18" s="3"/>
      <c r="U18" s="3"/>
      <c r="V18" s="3"/>
      <c r="W18" s="3"/>
      <c r="X18" s="3"/>
      <c r="Y18" s="3"/>
      <c r="Z18" s="3"/>
    </row>
    <row r="19" ht="18" customHeight="1" spans="1:26" x14ac:dyDescent="0.25">
      <c r="A19" s="27" t="s">
        <v>55</v>
      </c>
      <c r="B19" s="13">
        <v>49.04</v>
      </c>
      <c r="C19" s="30"/>
      <c r="D19" s="30"/>
      <c r="E19" s="36"/>
      <c r="F19" s="37"/>
      <c r="G19" s="30"/>
      <c r="H19" s="38"/>
      <c r="I19" s="3" t="s">
        <v>56</v>
      </c>
      <c r="J19" s="3"/>
      <c r="K19" s="3"/>
      <c r="L19" s="3" t="s">
        <v>57</v>
      </c>
      <c r="M19" s="3">
        <v>362717</v>
      </c>
      <c r="N19" s="3" t="s">
        <v>53</v>
      </c>
      <c r="O19" s="3" t="s">
        <v>54</v>
      </c>
      <c r="R19" s="3"/>
      <c r="S19" s="3"/>
      <c r="T19" s="3"/>
      <c r="U19" s="3"/>
      <c r="V19" s="3"/>
      <c r="W19" s="3"/>
      <c r="X19" s="3"/>
      <c r="Y19" s="3"/>
      <c r="Z19" s="3"/>
    </row>
    <row r="20" ht="18" customHeight="1" spans="1:26" x14ac:dyDescent="0.25">
      <c r="A20" s="27" t="s">
        <v>58</v>
      </c>
      <c r="B20" s="13" t="s">
        <v>59</v>
      </c>
      <c r="C20" s="30"/>
      <c r="D20" s="30"/>
      <c r="E20" s="36"/>
      <c r="F20" s="37" t="s">
        <v>59</v>
      </c>
      <c r="G20" s="30"/>
      <c r="H20" s="38"/>
      <c r="I20" s="3"/>
      <c r="J20" s="3"/>
      <c r="K20" s="3"/>
      <c r="L20" s="1" t="s">
        <v>60</v>
      </c>
      <c r="M20" s="3">
        <v>6667</v>
      </c>
      <c r="N20" s="3" t="s">
        <v>61</v>
      </c>
      <c r="O20" s="3" t="s">
        <v>62</v>
      </c>
      <c r="R20" s="3"/>
      <c r="S20" s="3"/>
      <c r="T20" s="3"/>
      <c r="U20" s="3"/>
      <c r="V20" s="3"/>
      <c r="W20" s="3"/>
      <c r="X20" s="3"/>
      <c r="Y20" s="3"/>
      <c r="Z20" s="3"/>
    </row>
    <row r="21" ht="18" customHeight="1" spans="1:26" x14ac:dyDescent="0.25">
      <c r="A21" s="27" t="s">
        <v>63</v>
      </c>
      <c r="B21" s="13">
        <v>44.81</v>
      </c>
      <c r="C21" s="30"/>
      <c r="D21" s="30"/>
      <c r="E21" s="36"/>
      <c r="F21" s="37"/>
      <c r="G21" s="30"/>
      <c r="H21" s="38"/>
      <c r="I21" s="3" t="s">
        <v>56</v>
      </c>
      <c r="J21" s="3"/>
      <c r="K21" s="3"/>
      <c r="L21" s="1" t="s">
        <v>64</v>
      </c>
      <c r="M21" s="1">
        <v>354989</v>
      </c>
      <c r="N21" s="1" t="s">
        <v>53</v>
      </c>
      <c r="O21" s="1" t="s">
        <v>54</v>
      </c>
      <c r="R21" s="3"/>
      <c r="S21" s="3"/>
      <c r="T21" s="3"/>
      <c r="U21" s="3"/>
      <c r="V21" s="3"/>
      <c r="W21" s="3"/>
      <c r="X21" s="3"/>
      <c r="Y21" s="3"/>
      <c r="Z21" s="3"/>
    </row>
    <row r="22" ht="18" customHeight="1" spans="1:26" x14ac:dyDescent="0.25">
      <c r="A22" s="27" t="s">
        <v>58</v>
      </c>
      <c r="B22" s="13" t="s">
        <v>59</v>
      </c>
      <c r="C22" s="30"/>
      <c r="D22" s="30"/>
      <c r="E22" s="36"/>
      <c r="F22" s="37" t="s">
        <v>59</v>
      </c>
      <c r="G22" s="30"/>
      <c r="H22" s="38"/>
      <c r="I22" s="3"/>
      <c r="J22" s="3"/>
      <c r="K22" s="3"/>
      <c r="L22" s="3" t="s">
        <v>65</v>
      </c>
      <c r="M22" s="3">
        <v>10409</v>
      </c>
      <c r="N22" s="3" t="s">
        <v>61</v>
      </c>
      <c r="O22" s="3" t="s">
        <v>66</v>
      </c>
      <c r="R22" s="3"/>
      <c r="S22" s="3"/>
      <c r="T22" s="3"/>
      <c r="U22" s="3"/>
      <c r="V22" s="3"/>
      <c r="W22" s="3"/>
      <c r="X22" s="3"/>
      <c r="Y22" s="3"/>
      <c r="Z22" s="3"/>
    </row>
    <row r="23" ht="18" customHeight="1" spans="1:26" x14ac:dyDescent="0.25">
      <c r="A23" s="27" t="s">
        <v>67</v>
      </c>
      <c r="B23" s="13">
        <v>0</v>
      </c>
      <c r="C23" s="30"/>
      <c r="D23" s="30"/>
      <c r="E23" s="36"/>
      <c r="F23" s="37"/>
      <c r="G23" s="30"/>
      <c r="H23" s="38"/>
      <c r="I23" s="3" t="s">
        <v>56</v>
      </c>
      <c r="J23" s="3"/>
      <c r="K23" s="3"/>
      <c r="L23" s="3" t="s">
        <v>68</v>
      </c>
      <c r="M23" s="3">
        <v>44439</v>
      </c>
      <c r="N23" s="3" t="s">
        <v>61</v>
      </c>
      <c r="O23" s="3" t="s">
        <v>69</v>
      </c>
      <c r="R23" s="3"/>
      <c r="S23" s="3"/>
      <c r="T23" s="3"/>
      <c r="U23" s="3"/>
      <c r="V23" s="3"/>
      <c r="W23" s="3"/>
      <c r="X23" s="3"/>
      <c r="Y23" s="3"/>
      <c r="Z23" s="3"/>
    </row>
    <row r="24" ht="18" customHeight="1" spans="1:26" x14ac:dyDescent="0.25">
      <c r="A24" s="27" t="s">
        <v>58</v>
      </c>
      <c r="B24" s="13" t="s">
        <v>70</v>
      </c>
      <c r="C24" s="30"/>
      <c r="D24" s="30"/>
      <c r="E24" s="36"/>
      <c r="F24" s="37"/>
      <c r="G24" s="30"/>
      <c r="H24" s="38"/>
      <c r="I24" s="3"/>
      <c r="J24" s="3"/>
      <c r="K24" s="3"/>
      <c r="L24" s="3" t="s">
        <v>71</v>
      </c>
      <c r="M24" s="3">
        <v>319770</v>
      </c>
      <c r="N24" s="3" t="s">
        <v>53</v>
      </c>
      <c r="O24" s="3" t="s">
        <v>54</v>
      </c>
      <c r="R24" s="3"/>
      <c r="S24" s="3"/>
      <c r="T24" s="3"/>
      <c r="U24" s="3"/>
      <c r="V24" s="3"/>
      <c r="W24" s="3"/>
      <c r="X24" s="3"/>
      <c r="Y24" s="3"/>
      <c r="Z24" s="3"/>
    </row>
    <row r="25" ht="18" customHeight="1" spans="1:26" x14ac:dyDescent="0.25">
      <c r="A25" s="27" t="s">
        <v>72</v>
      </c>
      <c r="B25" s="13">
        <v>28.4</v>
      </c>
      <c r="C25" s="30"/>
      <c r="D25" s="30"/>
      <c r="E25" s="36"/>
      <c r="F25" s="37"/>
      <c r="G25" s="30"/>
      <c r="H25" s="38"/>
      <c r="I25" s="3"/>
      <c r="J25" s="3"/>
      <c r="K25" s="3"/>
      <c r="L25" s="3" t="s">
        <v>73</v>
      </c>
      <c r="M25" s="3">
        <v>9571</v>
      </c>
      <c r="N25" s="3" t="s">
        <v>61</v>
      </c>
      <c r="O25" s="3" t="s">
        <v>74</v>
      </c>
      <c r="P25" s="3"/>
      <c r="Q25" s="3"/>
      <c r="R25" s="3"/>
      <c r="S25" s="3"/>
      <c r="T25" s="3"/>
      <c r="U25" s="3"/>
      <c r="V25" s="3"/>
      <c r="W25" s="3"/>
      <c r="X25" s="3"/>
      <c r="Y25" s="3"/>
      <c r="Z25" s="3"/>
    </row>
    <row r="26" ht="18" customHeight="1" spans="1:26" x14ac:dyDescent="0.25">
      <c r="A26" s="27" t="s">
        <v>58</v>
      </c>
      <c r="B26" s="13" t="s">
        <v>59</v>
      </c>
      <c r="C26" s="30"/>
      <c r="D26" s="30"/>
      <c r="E26" s="36"/>
      <c r="F26" s="37" t="s">
        <v>59</v>
      </c>
      <c r="G26" s="30"/>
      <c r="H26" s="38"/>
      <c r="I26" s="3"/>
      <c r="J26" s="3"/>
      <c r="K26" s="3"/>
      <c r="L26" s="3" t="s">
        <v>75</v>
      </c>
      <c r="M26" s="3">
        <v>305600</v>
      </c>
      <c r="N26" s="3" t="s">
        <v>53</v>
      </c>
      <c r="O26" s="3" t="s">
        <v>54</v>
      </c>
      <c r="P26" s="3"/>
      <c r="Q26" s="3"/>
      <c r="R26" s="3"/>
      <c r="S26" s="3"/>
      <c r="T26" s="3"/>
      <c r="U26" s="3"/>
      <c r="V26" s="3"/>
      <c r="W26" s="3"/>
      <c r="X26" s="3"/>
      <c r="Y26" s="3"/>
      <c r="Z26" s="3"/>
    </row>
    <row r="27" ht="18" customHeight="1" spans="1:26" x14ac:dyDescent="0.25">
      <c r="A27" s="27" t="s">
        <v>76</v>
      </c>
      <c r="B27" s="13">
        <v>46143</v>
      </c>
      <c r="C27" s="30"/>
      <c r="D27" s="30"/>
      <c r="E27" s="36"/>
      <c r="F27" s="37">
        <f t="shared" ref="F27:F41" si="0">B27</f>
        <v>45861</v>
      </c>
      <c r="G27" s="30"/>
      <c r="H27" s="38"/>
      <c r="I27" s="3" t="s">
        <v>77</v>
      </c>
      <c r="J27" s="3"/>
      <c r="K27" s="3"/>
      <c r="L27" s="3" t="s">
        <v>78</v>
      </c>
      <c r="M27" s="3">
        <v>58870</v>
      </c>
      <c r="N27" s="3" t="s">
        <v>61</v>
      </c>
      <c r="O27" s="3" t="s">
        <v>69</v>
      </c>
      <c r="P27" s="3"/>
      <c r="Q27" s="3"/>
      <c r="R27" s="3"/>
      <c r="S27" s="3"/>
      <c r="T27" s="3"/>
      <c r="U27" s="3"/>
      <c r="V27" s="3"/>
      <c r="W27" s="3"/>
      <c r="X27" s="3"/>
      <c r="Y27" s="3"/>
      <c r="Z27" s="3"/>
    </row>
    <row r="28" ht="18" customHeight="1" spans="1:26" x14ac:dyDescent="0.25">
      <c r="A28" s="27" t="s">
        <v>79</v>
      </c>
      <c r="B28" s="13">
        <v>46295</v>
      </c>
      <c r="C28" s="30"/>
      <c r="D28" s="30"/>
      <c r="E28" s="36"/>
      <c r="F28" s="37">
        <f t="shared" si="0"/>
        <v>46042</v>
      </c>
      <c r="G28" s="30"/>
      <c r="H28" s="38"/>
      <c r="I28" s="3" t="s">
        <v>80</v>
      </c>
      <c r="J28" s="3"/>
      <c r="K28" s="3"/>
      <c r="L28" s="3" t="s">
        <v>81</v>
      </c>
      <c r="M28" s="3">
        <v>56598</v>
      </c>
      <c r="N28" s="3" t="s">
        <v>61</v>
      </c>
      <c r="O28" s="3" t="s">
        <v>69</v>
      </c>
      <c r="P28" s="3"/>
      <c r="Q28" s="3"/>
      <c r="R28" s="3"/>
      <c r="S28" s="3"/>
      <c r="T28" s="3"/>
      <c r="U28" s="3"/>
      <c r="V28" s="3"/>
      <c r="W28" s="3"/>
      <c r="X28" s="3"/>
      <c r="Y28" s="3"/>
      <c r="Z28" s="3"/>
    </row>
    <row r="29" ht="18" customHeight="1" spans="1:26" x14ac:dyDescent="0.25">
      <c r="A29" s="27" t="s">
        <v>82</v>
      </c>
      <c r="B29" s="13">
        <v>46310</v>
      </c>
      <c r="C29" s="30"/>
      <c r="D29" s="30"/>
      <c r="E29" s="36"/>
      <c r="F29" s="37">
        <f t="shared" si="0"/>
        <v>46066</v>
      </c>
      <c r="G29" s="30"/>
      <c r="H29" s="38"/>
      <c r="I29" s="3"/>
      <c r="J29" s="3"/>
      <c r="K29" s="3"/>
      <c r="L29" s="3"/>
      <c r="M29" s="3"/>
      <c r="N29" s="3"/>
      <c r="O29" s="3"/>
      <c r="P29" s="3"/>
      <c r="Q29" s="3"/>
      <c r="R29" s="3"/>
      <c r="S29" s="3"/>
      <c r="T29" s="3"/>
      <c r="U29" s="3"/>
      <c r="V29" s="3"/>
      <c r="W29" s="3"/>
      <c r="X29" s="3"/>
      <c r="Y29" s="3"/>
      <c r="Z29" s="3"/>
    </row>
    <row r="30" ht="18" customHeight="1" spans="1:26" x14ac:dyDescent="0.25">
      <c r="A30" s="27" t="s">
        <v>83</v>
      </c>
      <c r="B30" s="39">
        <v>46037</v>
      </c>
      <c r="C30" s="40"/>
      <c r="D30" s="41"/>
      <c r="E30" s="36"/>
      <c r="F30" s="37">
        <v>45923</v>
      </c>
      <c r="G30" s="30"/>
      <c r="H30" s="38"/>
      <c r="I30" s="3"/>
      <c r="J30" s="3"/>
      <c r="K30" s="3"/>
      <c r="L30" s="3"/>
      <c r="M30" s="3"/>
      <c r="N30" s="3"/>
      <c r="O30" s="3"/>
      <c r="P30" s="3"/>
      <c r="Q30" s="3"/>
      <c r="R30" s="3"/>
      <c r="S30" s="3"/>
      <c r="T30" s="3"/>
      <c r="U30" s="3"/>
      <c r="V30" s="3"/>
      <c r="W30" s="3"/>
      <c r="X30" s="3"/>
      <c r="Y30" s="3"/>
      <c r="Z30" s="3"/>
    </row>
    <row r="31" ht="18" customHeight="1" spans="1:26" x14ac:dyDescent="0.25">
      <c r="A31" s="27" t="s">
        <v>84</v>
      </c>
      <c r="B31" s="42">
        <v>25208700</v>
      </c>
      <c r="C31" s="43"/>
      <c r="D31" s="44"/>
      <c r="E31" s="36"/>
      <c r="F31" s="45"/>
      <c r="G31" s="43"/>
      <c r="H31" s="44"/>
      <c r="I31" s="3" t="s">
        <v>85</v>
      </c>
      <c r="J31" s="3"/>
      <c r="K31" s="3"/>
      <c r="L31" s="3"/>
      <c r="M31" s="3"/>
      <c r="N31" s="3"/>
      <c r="O31" s="3"/>
      <c r="P31" s="3"/>
      <c r="Q31" s="3"/>
      <c r="R31" s="3"/>
      <c r="S31" s="3"/>
      <c r="T31" s="3"/>
      <c r="U31" s="3"/>
      <c r="V31" s="3"/>
      <c r="W31" s="3"/>
      <c r="X31" s="3"/>
      <c r="Y31" s="3"/>
      <c r="Z31" s="3"/>
    </row>
    <row r="32" ht="18" customHeight="1" spans="1:26" x14ac:dyDescent="0.25">
      <c r="A32" s="46" t="s">
        <v>86</v>
      </c>
      <c r="B32" s="47">
        <f>ROUNDDOWN(B31*0.1,0)</f>
        <v>2520870</v>
      </c>
      <c r="C32" s="30"/>
      <c r="D32" s="30"/>
      <c r="E32" s="36"/>
      <c r="F32" s="48">
        <f>ROUNDDOWN(F31*0.1,0)</f>
        <v>0</v>
      </c>
      <c r="G32" s="49"/>
      <c r="H32" s="50"/>
      <c r="I32" s="3"/>
      <c r="J32" s="3"/>
      <c r="K32" s="3"/>
      <c r="L32" s="3"/>
      <c r="M32" s="3"/>
      <c r="N32" s="3"/>
      <c r="O32" s="3"/>
      <c r="P32" s="3"/>
      <c r="Q32" s="3"/>
      <c r="R32" s="3"/>
      <c r="S32" s="3"/>
      <c r="T32" s="3"/>
      <c r="U32" s="3"/>
      <c r="V32" s="3"/>
      <c r="W32" s="3"/>
      <c r="X32" s="3"/>
      <c r="Y32" s="3"/>
      <c r="Z32" s="3"/>
    </row>
    <row r="33" ht="18" customHeight="1" spans="1:26" x14ac:dyDescent="0.25">
      <c r="A33" s="27" t="s">
        <v>87</v>
      </c>
      <c r="B33" s="47">
        <f>SUM(B31:D32)</f>
        <v>27729570</v>
      </c>
      <c r="C33" s="30"/>
      <c r="D33" s="30"/>
      <c r="E33" s="36"/>
      <c r="F33" s="48">
        <f>SUM(F31:H32)</f>
        <v>0</v>
      </c>
      <c r="G33" s="49"/>
      <c r="H33" s="50"/>
      <c r="I33" s="3"/>
      <c r="J33" s="3"/>
      <c r="K33" s="3"/>
      <c r="L33" s="3"/>
      <c r="M33" s="3"/>
      <c r="N33" s="3"/>
      <c r="O33" s="3"/>
      <c r="P33" s="3"/>
      <c r="Q33" s="3"/>
      <c r="R33" s="3"/>
      <c r="S33" s="3"/>
      <c r="T33" s="3"/>
      <c r="U33" s="3"/>
      <c r="V33" s="3"/>
      <c r="W33" s="3"/>
      <c r="X33" s="3"/>
      <c r="Y33" s="3"/>
      <c r="Z33" s="3"/>
    </row>
    <row r="34" ht="18" customHeight="1" spans="1:26" x14ac:dyDescent="0.25">
      <c r="A34" s="46" t="s">
        <v>88</v>
      </c>
      <c r="B34" s="42">
        <v>100000</v>
      </c>
      <c r="C34" s="43"/>
      <c r="D34" s="43"/>
      <c r="E34" s="36"/>
      <c r="F34" s="45">
        <f t="shared" si="0"/>
        <v>100000</v>
      </c>
      <c r="G34" s="43"/>
      <c r="H34" s="44"/>
      <c r="I34" s="3"/>
      <c r="J34" s="3"/>
      <c r="K34" s="3"/>
      <c r="L34" s="3"/>
      <c r="M34" s="3"/>
      <c r="N34" s="3"/>
      <c r="O34" s="3"/>
      <c r="P34" s="3"/>
      <c r="Q34" s="3"/>
      <c r="R34" s="3"/>
      <c r="S34" s="3"/>
      <c r="T34" s="3"/>
      <c r="U34" s="3"/>
      <c r="V34" s="3"/>
      <c r="W34" s="3"/>
      <c r="X34" s="3"/>
      <c r="Y34" s="3"/>
      <c r="Z34" s="3"/>
    </row>
    <row r="35" ht="18" customHeight="1" spans="1:26" x14ac:dyDescent="0.25">
      <c r="A35" s="27" t="s">
        <v>89</v>
      </c>
      <c r="B35" s="13">
        <v>45992</v>
      </c>
      <c r="C35" s="30"/>
      <c r="D35" s="30"/>
      <c r="E35" s="36"/>
      <c r="F35" s="37">
        <f>IF((初期入力!B35)="","",初期入力!B35)</f>
        <v>45356</v>
      </c>
      <c r="G35" s="30"/>
      <c r="H35" s="38"/>
      <c r="I35" s="3" t="s">
        <v>90</v>
      </c>
      <c r="J35" s="3"/>
      <c r="K35" s="3"/>
      <c r="L35" s="3"/>
      <c r="M35" s="3"/>
      <c r="N35" s="3"/>
      <c r="O35" s="3"/>
      <c r="P35" s="3"/>
      <c r="Q35" s="3"/>
      <c r="R35" s="3"/>
      <c r="S35" s="3"/>
      <c r="T35" s="3"/>
      <c r="U35" s="3"/>
      <c r="V35" s="3"/>
      <c r="W35" s="3"/>
      <c r="X35" s="3"/>
      <c r="Y35" s="3"/>
      <c r="Z35" s="3"/>
    </row>
    <row r="36" ht="18" customHeight="1" spans="1:26" x14ac:dyDescent="0.25">
      <c r="A36" s="46" t="s">
        <v>91</v>
      </c>
      <c r="B36" s="47">
        <v>1000000</v>
      </c>
      <c r="C36" s="30"/>
      <c r="D36" s="30"/>
      <c r="E36" s="36"/>
      <c r="F36" s="48">
        <f t="shared" si="0"/>
        <v>1000000</v>
      </c>
      <c r="G36" s="49"/>
      <c r="H36" s="50"/>
      <c r="I36" s="3"/>
      <c r="J36" s="3"/>
      <c r="K36" s="3"/>
      <c r="L36" s="3"/>
      <c r="M36" s="3"/>
      <c r="N36" s="3"/>
      <c r="O36" s="3"/>
      <c r="P36" s="3"/>
      <c r="Q36" s="3"/>
      <c r="R36" s="3"/>
      <c r="S36" s="3"/>
      <c r="T36" s="3"/>
      <c r="U36" s="3"/>
      <c r="V36" s="3"/>
      <c r="W36" s="3"/>
      <c r="X36" s="3"/>
      <c r="Y36" s="3"/>
      <c r="Z36" s="3"/>
    </row>
    <row r="37" ht="18" customHeight="1" spans="1:26" x14ac:dyDescent="0.25">
      <c r="A37" s="27" t="s">
        <v>89</v>
      </c>
      <c r="B37" s="13">
        <v>46037</v>
      </c>
      <c r="C37" s="30"/>
      <c r="D37" s="30"/>
      <c r="E37" s="36"/>
      <c r="F37" s="37">
        <f t="shared" si="0"/>
        <v>45376</v>
      </c>
      <c r="G37" s="30"/>
      <c r="H37" s="38"/>
      <c r="I37" s="3"/>
      <c r="J37" s="3"/>
      <c r="K37" s="3"/>
      <c r="L37" s="3"/>
      <c r="M37" s="3"/>
      <c r="N37" s="3"/>
      <c r="O37" s="3"/>
      <c r="P37" s="3"/>
      <c r="Q37" s="3"/>
      <c r="R37" s="3"/>
      <c r="S37" s="3"/>
      <c r="T37" s="3"/>
      <c r="U37" s="3"/>
      <c r="V37" s="3"/>
      <c r="W37" s="3"/>
      <c r="X37" s="3"/>
      <c r="Y37" s="3"/>
      <c r="Z37" s="3"/>
    </row>
    <row r="38" ht="18" customHeight="1" spans="1:26" x14ac:dyDescent="0.25">
      <c r="A38" s="27" t="s">
        <v>92</v>
      </c>
      <c r="B38" s="47">
        <v>8300000</v>
      </c>
      <c r="C38" s="30"/>
      <c r="D38" s="30"/>
      <c r="E38" s="36"/>
      <c r="F38" s="48">
        <f t="shared" si="0"/>
        <v>8300000</v>
      </c>
      <c r="G38" s="49"/>
      <c r="H38" s="50"/>
      <c r="I38" s="3"/>
      <c r="J38" s="3"/>
      <c r="K38" s="3"/>
      <c r="L38" s="3"/>
      <c r="M38" s="3"/>
      <c r="N38" s="3"/>
      <c r="O38" s="3"/>
      <c r="P38" s="3"/>
      <c r="Q38" s="3"/>
      <c r="R38" s="3"/>
      <c r="S38" s="3"/>
      <c r="T38" s="3"/>
      <c r="U38" s="3"/>
      <c r="V38" s="3"/>
      <c r="W38" s="3"/>
      <c r="X38" s="3"/>
      <c r="Y38" s="3"/>
      <c r="Z38" s="3"/>
    </row>
    <row r="39" ht="18" customHeight="1" spans="1:26" x14ac:dyDescent="0.25">
      <c r="A39" s="27" t="s">
        <v>89</v>
      </c>
      <c r="B39" s="13">
        <v>46143</v>
      </c>
      <c r="C39" s="30"/>
      <c r="D39" s="30"/>
      <c r="E39" s="36"/>
      <c r="F39" s="37">
        <f t="shared" si="0"/>
        <v>46233</v>
      </c>
      <c r="G39" s="30"/>
      <c r="H39" s="38"/>
      <c r="I39" s="3"/>
      <c r="J39" s="3"/>
      <c r="K39" s="3"/>
      <c r="L39" s="3"/>
      <c r="M39" s="3"/>
      <c r="N39" s="3"/>
      <c r="O39" s="3"/>
      <c r="P39" s="3"/>
      <c r="Q39" s="3"/>
      <c r="R39" s="3"/>
      <c r="S39" s="3"/>
      <c r="T39" s="3"/>
      <c r="U39" s="3"/>
      <c r="V39" s="3"/>
      <c r="W39" s="3"/>
      <c r="X39" s="3"/>
      <c r="Y39" s="3"/>
      <c r="Z39" s="3"/>
    </row>
    <row r="40" ht="18" customHeight="1" spans="1:26" x14ac:dyDescent="0.25">
      <c r="A40" s="27" t="s">
        <v>93</v>
      </c>
      <c r="B40" s="47">
        <v>8300000</v>
      </c>
      <c r="C40" s="30"/>
      <c r="D40" s="30"/>
      <c r="E40" s="36"/>
      <c r="F40" s="48">
        <f t="shared" si="0"/>
        <v>8300000</v>
      </c>
      <c r="G40" s="49"/>
      <c r="H40" s="50"/>
      <c r="I40" s="3"/>
      <c r="J40" s="3"/>
      <c r="K40" s="3"/>
      <c r="L40" s="3"/>
      <c r="M40" s="3"/>
      <c r="N40" s="3"/>
      <c r="O40" s="3"/>
      <c r="P40" s="3"/>
      <c r="Q40" s="3"/>
      <c r="R40" s="3"/>
      <c r="S40" s="3"/>
      <c r="T40" s="3"/>
      <c r="U40" s="3"/>
      <c r="V40" s="3"/>
      <c r="W40" s="3"/>
      <c r="X40" s="3"/>
      <c r="Y40" s="3"/>
      <c r="Z40" s="3"/>
    </row>
    <row r="41" ht="18" customHeight="1" spans="1:26" x14ac:dyDescent="0.25">
      <c r="A41" s="27" t="s">
        <v>89</v>
      </c>
      <c r="B41" s="13">
        <v>46188</v>
      </c>
      <c r="C41" s="30"/>
      <c r="D41" s="30"/>
      <c r="E41" s="36"/>
      <c r="F41" s="37">
        <f t="shared" si="0"/>
        <v>46273</v>
      </c>
      <c r="G41" s="30"/>
      <c r="H41" s="38"/>
      <c r="I41" s="3"/>
      <c r="J41" s="3"/>
      <c r="K41" s="3"/>
      <c r="L41" s="3"/>
      <c r="M41" s="3"/>
      <c r="N41" s="3"/>
      <c r="O41" s="3"/>
      <c r="P41" s="3"/>
      <c r="Q41" s="3"/>
      <c r="R41" s="3"/>
      <c r="S41" s="3"/>
      <c r="T41" s="3"/>
      <c r="U41" s="3"/>
      <c r="V41" s="3"/>
      <c r="W41" s="3"/>
      <c r="X41" s="3"/>
      <c r="Y41" s="3"/>
      <c r="Z41" s="3"/>
    </row>
    <row r="42" ht="18" customHeight="1" spans="1:26" x14ac:dyDescent="0.25">
      <c r="A42" s="27" t="s">
        <v>94</v>
      </c>
      <c r="B42" s="47">
        <f>B33-B34-B36-B38-B40</f>
        <v>10029570</v>
      </c>
      <c r="C42" s="30"/>
      <c r="D42" s="30"/>
      <c r="E42" s="36"/>
      <c r="F42" s="48">
        <f>F33-F34-F36-F38-F40</f>
        <v>-17700000</v>
      </c>
      <c r="G42" s="49"/>
      <c r="H42" s="50"/>
      <c r="I42" s="3" t="s">
        <v>95</v>
      </c>
      <c r="J42" s="3"/>
      <c r="K42" s="3"/>
      <c r="L42" s="3"/>
      <c r="M42" s="3"/>
      <c r="N42" s="3"/>
      <c r="O42" s="3"/>
      <c r="P42" s="3"/>
      <c r="Q42" s="3"/>
      <c r="R42" s="3"/>
      <c r="S42" s="3"/>
      <c r="T42" s="3"/>
      <c r="U42" s="3"/>
      <c r="V42" s="3"/>
      <c r="W42" s="3"/>
      <c r="X42" s="3"/>
      <c r="Y42" s="3"/>
      <c r="Z42" s="3"/>
    </row>
    <row r="43" ht="18" customHeight="1" spans="1:26" x14ac:dyDescent="0.25">
      <c r="A43" s="27" t="s">
        <v>89</v>
      </c>
      <c r="B43" s="13">
        <f>B29</f>
        <v>46066</v>
      </c>
      <c r="C43" s="30"/>
      <c r="D43" s="30"/>
      <c r="E43" s="51"/>
      <c r="F43" s="52">
        <f>F29</f>
        <v>46066</v>
      </c>
      <c r="G43" s="53"/>
      <c r="H43" s="54"/>
      <c r="I43" s="3" t="s">
        <v>90</v>
      </c>
      <c r="J43" s="3"/>
      <c r="K43" s="3"/>
      <c r="L43" s="3"/>
      <c r="M43" s="3"/>
      <c r="N43" s="3"/>
      <c r="O43" s="3"/>
      <c r="P43" s="3"/>
      <c r="Q43" s="3"/>
      <c r="R43" s="3"/>
      <c r="S43" s="3"/>
      <c r="T43" s="3"/>
      <c r="U43" s="3"/>
      <c r="V43" s="3"/>
      <c r="W43" s="3"/>
      <c r="X43" s="3"/>
      <c r="Y43" s="3"/>
      <c r="Z43" s="3"/>
    </row>
    <row r="44" ht="18" customHeight="1" spans="1:26" x14ac:dyDescent="0.25">
      <c r="A44" s="27" t="s">
        <v>96</v>
      </c>
      <c r="B44" s="55" t="s">
        <v>97</v>
      </c>
      <c r="C44" s="56"/>
      <c r="D44" s="56"/>
      <c r="E44" s="57"/>
      <c r="F44" s="57"/>
      <c r="G44" s="57"/>
      <c r="H44" s="58"/>
      <c r="I44" s="3" t="s">
        <v>98</v>
      </c>
      <c r="J44" s="3"/>
      <c r="K44" s="3"/>
      <c r="L44" s="3"/>
      <c r="M44" s="3"/>
      <c r="N44" s="3"/>
      <c r="O44" s="3"/>
      <c r="P44" s="3"/>
      <c r="Q44" s="3"/>
      <c r="R44" s="3"/>
      <c r="S44" s="3"/>
      <c r="T44" s="3"/>
      <c r="U44" s="3"/>
      <c r="V44" s="3"/>
      <c r="W44" s="3"/>
      <c r="X44" s="3"/>
      <c r="Y44" s="3"/>
      <c r="Z44" s="3"/>
    </row>
    <row r="45" ht="18" customHeight="1" spans="1:26" x14ac:dyDescent="0.25">
      <c r="A45" s="27" t="s">
        <v>99</v>
      </c>
      <c r="B45" s="59"/>
      <c r="C45" s="14"/>
      <c r="D45" s="14"/>
      <c r="E45" s="14"/>
      <c r="F45" s="14"/>
      <c r="G45" s="14"/>
      <c r="H45" s="15"/>
      <c r="I45" s="3"/>
      <c r="J45" s="3"/>
      <c r="K45" s="3"/>
      <c r="L45" s="3"/>
      <c r="M45" s="3"/>
      <c r="N45" s="3"/>
      <c r="O45" s="3"/>
      <c r="P45" s="3"/>
      <c r="Q45" s="3"/>
      <c r="R45" s="3"/>
      <c r="S45" s="3"/>
      <c r="T45" s="3"/>
      <c r="U45" s="3"/>
      <c r="V45" s="3"/>
      <c r="W45" s="3"/>
      <c r="X45" s="3"/>
      <c r="Y45" s="3"/>
      <c r="Z45" s="3"/>
    </row>
    <row r="46" ht="18" customHeight="1" spans="1:26" x14ac:dyDescent="0.25">
      <c r="A46" s="27" t="s">
        <v>100</v>
      </c>
      <c r="B46" s="59"/>
      <c r="C46" s="14"/>
      <c r="D46" s="14"/>
      <c r="E46" s="14"/>
      <c r="F46" s="14"/>
      <c r="G46" s="14"/>
      <c r="H46" s="15"/>
      <c r="I46" s="3"/>
      <c r="J46" s="3"/>
      <c r="K46" s="3"/>
      <c r="L46" s="3"/>
      <c r="M46" s="3"/>
      <c r="N46" s="3"/>
      <c r="O46" s="3"/>
      <c r="P46" s="3"/>
      <c r="Q46" s="3"/>
      <c r="R46" s="3"/>
      <c r="S46" s="3"/>
      <c r="T46" s="3"/>
      <c r="U46" s="3"/>
      <c r="V46" s="3"/>
      <c r="W46" s="3"/>
      <c r="X46" s="3"/>
      <c r="Y46" s="3"/>
      <c r="Z46" s="3"/>
    </row>
    <row r="47" ht="18" customHeight="1" spans="1:26" x14ac:dyDescent="0.25">
      <c r="A47" s="60" t="s">
        <v>101</v>
      </c>
      <c r="B47" s="61" t="s">
        <v>102</v>
      </c>
      <c r="C47" s="28"/>
      <c r="D47" s="28"/>
      <c r="E47" s="28"/>
      <c r="F47" s="28"/>
      <c r="G47" s="28"/>
      <c r="H47" s="29"/>
      <c r="I47" s="3"/>
      <c r="J47" s="3"/>
      <c r="K47" s="3"/>
      <c r="L47" s="3"/>
      <c r="M47" s="3"/>
      <c r="N47" s="3"/>
      <c r="O47" s="3"/>
      <c r="P47" s="3"/>
      <c r="Q47" s="3"/>
      <c r="R47" s="3"/>
      <c r="S47" s="3"/>
      <c r="T47" s="3"/>
      <c r="U47" s="3"/>
      <c r="V47" s="3"/>
      <c r="W47" s="3"/>
      <c r="X47" s="3"/>
      <c r="Y47" s="3"/>
      <c r="Z47" s="3"/>
    </row>
    <row r="48" ht="18" customHeight="1" spans="1:26" x14ac:dyDescent="0.25">
      <c r="A48" s="4" t="s">
        <v>103</v>
      </c>
      <c r="B48" s="5"/>
      <c r="C48" s="5"/>
      <c r="D48" s="5"/>
      <c r="E48" s="5"/>
      <c r="F48" s="5"/>
      <c r="G48" s="5"/>
      <c r="H48" s="6"/>
      <c r="I48" s="3"/>
      <c r="J48" s="3"/>
      <c r="K48" s="3"/>
      <c r="L48" s="3"/>
      <c r="M48" s="3"/>
      <c r="N48" s="3"/>
      <c r="O48" s="3"/>
      <c r="P48" s="3"/>
      <c r="Q48" s="3"/>
      <c r="R48" s="3"/>
      <c r="S48" s="3"/>
      <c r="T48" s="3"/>
      <c r="U48" s="3"/>
      <c r="V48" s="3"/>
      <c r="W48" s="3"/>
      <c r="X48" s="3"/>
      <c r="Y48" s="3"/>
      <c r="Z48" s="3"/>
    </row>
    <row r="49" ht="18" customHeight="1" spans="1:26" x14ac:dyDescent="0.25">
      <c r="A49" s="7" t="s">
        <v>83</v>
      </c>
      <c r="B49" s="62"/>
      <c r="C49" s="63">
        <v>0</v>
      </c>
      <c r="D49" s="62" t="s">
        <v>33</v>
      </c>
      <c r="E49" s="63">
        <v>0</v>
      </c>
      <c r="F49" s="62" t="s">
        <v>34</v>
      </c>
      <c r="G49" s="63">
        <v>0</v>
      </c>
      <c r="H49" s="62" t="s">
        <v>35</v>
      </c>
      <c r="I49" s="3" t="s">
        <v>104</v>
      </c>
      <c r="J49" s="3"/>
      <c r="K49" s="3"/>
      <c r="L49" s="3"/>
      <c r="M49" s="3"/>
      <c r="N49" s="3"/>
      <c r="O49" s="3"/>
      <c r="P49" s="3"/>
      <c r="Q49" s="3"/>
      <c r="R49" s="3"/>
      <c r="S49" s="3"/>
      <c r="T49" s="3"/>
      <c r="U49" s="3"/>
      <c r="V49" s="3"/>
      <c r="W49" s="3"/>
      <c r="X49" s="3"/>
      <c r="Y49" s="3"/>
      <c r="Z49" s="3"/>
    </row>
    <row r="50" ht="18" customHeight="1" spans="1:26" x14ac:dyDescent="0.25">
      <c r="A50" s="46" t="s">
        <v>105</v>
      </c>
      <c r="B50" s="13">
        <v>0</v>
      </c>
      <c r="C50" s="14"/>
      <c r="D50" s="14"/>
      <c r="E50" s="14"/>
      <c r="F50" s="14"/>
      <c r="G50" s="14"/>
      <c r="H50" s="15"/>
      <c r="I50" s="3"/>
      <c r="J50" s="3"/>
      <c r="K50" s="3"/>
      <c r="L50" s="3"/>
      <c r="M50" s="3"/>
      <c r="N50" s="3"/>
      <c r="O50" s="3"/>
      <c r="P50" s="3"/>
      <c r="Q50" s="3"/>
      <c r="R50" s="3"/>
      <c r="S50" s="3"/>
      <c r="T50" s="3"/>
      <c r="U50" s="3"/>
      <c r="V50" s="3"/>
      <c r="W50" s="3"/>
      <c r="X50" s="3"/>
      <c r="Y50" s="3"/>
      <c r="Z50" s="3"/>
    </row>
    <row r="51" ht="18" customHeight="1" spans="1:26" x14ac:dyDescent="0.25">
      <c r="A51" s="64" t="s">
        <v>106</v>
      </c>
      <c r="B51" s="13">
        <v>45301</v>
      </c>
      <c r="C51" s="14"/>
      <c r="D51" s="14"/>
      <c r="E51" s="14"/>
      <c r="F51" s="14"/>
      <c r="G51" s="14"/>
      <c r="H51" s="15"/>
      <c r="I51" s="3" t="s">
        <v>90</v>
      </c>
      <c r="J51" s="3"/>
      <c r="K51" s="3"/>
      <c r="L51" s="3"/>
      <c r="M51" s="3"/>
      <c r="N51" s="3"/>
      <c r="O51" s="3"/>
      <c r="P51" s="3"/>
      <c r="Q51" s="3"/>
      <c r="R51" s="3"/>
      <c r="S51" s="3"/>
      <c r="T51" s="3"/>
      <c r="U51" s="3"/>
      <c r="V51" s="3"/>
      <c r="W51" s="3"/>
      <c r="X51" s="3"/>
      <c r="Y51" s="3"/>
      <c r="Z51" s="3"/>
    </row>
    <row r="52" ht="18" customHeight="1" spans="1:26" x14ac:dyDescent="0.25">
      <c r="A52" s="27" t="s">
        <v>84</v>
      </c>
      <c r="B52" s="42">
        <v>1818182</v>
      </c>
      <c r="C52" s="14"/>
      <c r="D52" s="14"/>
      <c r="E52" s="14"/>
      <c r="F52" s="14"/>
      <c r="G52" s="14"/>
      <c r="H52" s="15"/>
      <c r="I52" s="3" t="s">
        <v>85</v>
      </c>
      <c r="J52" s="3"/>
      <c r="K52" s="3"/>
      <c r="L52" s="3"/>
      <c r="M52" s="3"/>
      <c r="N52" s="3"/>
      <c r="O52" s="3"/>
      <c r="P52" s="3"/>
      <c r="Q52" s="3"/>
      <c r="R52" s="3"/>
      <c r="S52" s="3"/>
      <c r="T52" s="3"/>
      <c r="U52" s="3"/>
      <c r="V52" s="3"/>
      <c r="W52" s="3"/>
      <c r="X52" s="3"/>
      <c r="Y52" s="3"/>
      <c r="Z52" s="3"/>
    </row>
    <row r="53" ht="18" customHeight="1" spans="1:26" x14ac:dyDescent="0.25">
      <c r="A53" s="65" t="s">
        <v>86</v>
      </c>
      <c r="B53" s="47">
        <v>181818</v>
      </c>
      <c r="C53" s="14"/>
      <c r="D53" s="14"/>
      <c r="E53" s="14"/>
      <c r="F53" s="14"/>
      <c r="G53" s="14"/>
      <c r="H53" s="15"/>
      <c r="I53" s="3"/>
      <c r="J53" s="3"/>
      <c r="K53" s="3"/>
      <c r="L53" s="3"/>
      <c r="M53" s="3"/>
      <c r="N53" s="3"/>
      <c r="O53" s="3"/>
      <c r="P53" s="3"/>
      <c r="Q53" s="3"/>
      <c r="R53" s="3"/>
      <c r="S53" s="3"/>
      <c r="T53" s="3"/>
      <c r="U53" s="3"/>
      <c r="V53" s="3"/>
      <c r="W53" s="3"/>
      <c r="X53" s="3"/>
      <c r="Y53" s="3"/>
      <c r="Z53" s="3"/>
    </row>
    <row r="54" ht="18" customHeight="1" spans="1:26" x14ac:dyDescent="0.25">
      <c r="A54" s="27" t="s">
        <v>87</v>
      </c>
      <c r="B54" s="47">
        <f>B52+B53</f>
        <v>2000000</v>
      </c>
      <c r="C54" s="14"/>
      <c r="D54" s="14"/>
      <c r="E54" s="14"/>
      <c r="F54" s="14"/>
      <c r="G54" s="14"/>
      <c r="H54" s="15"/>
      <c r="I54" s="3"/>
      <c r="J54" s="3"/>
      <c r="K54" s="3"/>
      <c r="L54" s="3"/>
      <c r="M54" s="3"/>
      <c r="N54" s="3"/>
      <c r="O54" s="3"/>
      <c r="P54" s="3"/>
      <c r="Q54" s="3"/>
      <c r="R54" s="3"/>
      <c r="S54" s="3"/>
      <c r="T54" s="3"/>
      <c r="U54" s="3"/>
      <c r="V54" s="3"/>
      <c r="W54" s="3"/>
      <c r="X54" s="3"/>
      <c r="Y54" s="3"/>
      <c r="Z54" s="3"/>
    </row>
    <row r="55" ht="18" customHeight="1" spans="1:26" x14ac:dyDescent="0.25">
      <c r="A55" s="27" t="s">
        <v>76</v>
      </c>
      <c r="B55" s="13">
        <f>F39</f>
        <v>46233</v>
      </c>
      <c r="C55" s="14"/>
      <c r="D55" s="14"/>
      <c r="E55" s="14"/>
      <c r="F55" s="14"/>
      <c r="G55" s="14"/>
      <c r="H55" s="15"/>
      <c r="I55" s="3" t="s">
        <v>90</v>
      </c>
      <c r="J55" s="3"/>
      <c r="K55" s="3"/>
      <c r="L55" s="3"/>
      <c r="M55" s="3"/>
      <c r="N55" s="3"/>
      <c r="O55" s="3"/>
      <c r="P55" s="3"/>
      <c r="Q55" s="3"/>
      <c r="R55" s="3"/>
      <c r="S55" s="3"/>
      <c r="T55" s="3"/>
      <c r="U55" s="3"/>
      <c r="V55" s="3"/>
      <c r="W55" s="3"/>
      <c r="X55" s="3"/>
      <c r="Y55" s="3"/>
      <c r="Z55" s="3"/>
    </row>
    <row r="56" ht="18" customHeight="1" spans="1:26" x14ac:dyDescent="0.25">
      <c r="A56" s="27" t="s">
        <v>79</v>
      </c>
      <c r="B56" s="13">
        <f>B28</f>
        <v>46042</v>
      </c>
      <c r="C56" s="14"/>
      <c r="D56" s="14"/>
      <c r="E56" s="14"/>
      <c r="F56" s="14"/>
      <c r="G56" s="14"/>
      <c r="H56" s="15"/>
      <c r="I56" s="3"/>
      <c r="J56" s="3"/>
      <c r="K56" s="3"/>
      <c r="L56" s="3"/>
      <c r="M56" s="3"/>
      <c r="N56" s="3"/>
      <c r="O56" s="3"/>
      <c r="P56" s="3"/>
      <c r="Q56" s="3"/>
      <c r="R56" s="3"/>
      <c r="S56" s="3"/>
      <c r="T56" s="3"/>
      <c r="U56" s="3"/>
      <c r="V56" s="3"/>
      <c r="W56" s="3"/>
      <c r="X56" s="3"/>
      <c r="Y56" s="3"/>
      <c r="Z56" s="3"/>
    </row>
    <row r="57" ht="18" customHeight="1" spans="1:26" x14ac:dyDescent="0.25">
      <c r="A57" s="27" t="s">
        <v>82</v>
      </c>
      <c r="B57" s="13">
        <f>F43</f>
        <v>46066</v>
      </c>
      <c r="C57" s="14"/>
      <c r="D57" s="14"/>
      <c r="E57" s="14"/>
      <c r="F57" s="14"/>
      <c r="G57" s="14"/>
      <c r="H57" s="15"/>
      <c r="I57" s="3"/>
      <c r="J57" s="3"/>
      <c r="K57" s="3"/>
      <c r="L57" s="3"/>
      <c r="M57" s="3"/>
      <c r="N57" s="3"/>
      <c r="O57" s="3"/>
      <c r="P57" s="3"/>
      <c r="Q57" s="3"/>
      <c r="R57" s="3"/>
      <c r="S57" s="3"/>
      <c r="T57" s="3"/>
      <c r="U57" s="3"/>
      <c r="V57" s="3"/>
      <c r="W57" s="3"/>
      <c r="X57" s="3"/>
      <c r="Y57" s="3"/>
      <c r="Z57" s="3"/>
    </row>
    <row r="58" ht="18" customHeight="1"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ht="18" customHeight="1"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ht="18" customHeight="1"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ht="18" customHeight="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ht="18" customHeight="1"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ht="18" customHeight="1"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ht="18" customHeight="1"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ht="18" customHeight="1"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ht="18" customHeight="1"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ht="18" customHeight="1"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ht="18" customHeight="1"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ht="18" customHeight="1"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ht="18" customHeight="1"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ht="18" customHeight="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ht="18" customHeight="1"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ht="18" customHeight="1"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ht="18" customHeight="1"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ht="18" customHeight="1"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ht="18" customHeight="1"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ht="18" customHeight="1"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ht="18" customHeight="1"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ht="18" customHeight="1"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ht="18" customHeight="1"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ht="18" customHeight="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ht="18" customHeight="1"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ht="18" customHeight="1"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ht="18" customHeight="1"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ht="18" customHeight="1"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ht="18" customHeight="1"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ht="18" customHeight="1"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ht="18" customHeight="1"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ht="18" customHeight="1"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ht="18" customHeight="1"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ht="18" customHeight="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ht="18" customHeight="1"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ht="18" customHeight="1"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ht="18" customHeight="1"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ht="18" customHeight="1"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ht="18" customHeight="1"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ht="18" customHeight="1"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ht="18" customHeight="1"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ht="18" customHeight="1"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ht="18" customHeight="1"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8" customHeight="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8" customHeight="1"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8" customHeight="1"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8" customHeight="1"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8" customHeight="1"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8" customHeight="1"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8" customHeight="1"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8" customHeight="1"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8" customHeight="1"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8" customHeight="1"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8" customHeight="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8" customHeight="1"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8" customHeight="1"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8" customHeight="1"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8" customHeight="1"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8" customHeight="1"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8" customHeight="1"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8" customHeight="1"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8" customHeight="1"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8" customHeight="1"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8" customHeight="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8" customHeight="1"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8" customHeight="1"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8" customHeight="1"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8" customHeight="1"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8" customHeight="1"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8" customHeight="1"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8" customHeight="1"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8" customHeight="1"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8" customHeight="1"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8" customHeight="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8" customHeight="1"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8" customHeight="1"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8" customHeight="1"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8" customHeight="1"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8" customHeight="1"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8" customHeight="1"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8" customHeight="1"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8" customHeight="1"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8" customHeight="1"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8" customHeight="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8" customHeight="1"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8" customHeight="1"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8" customHeight="1"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8" customHeight="1"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8" customHeight="1"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8" customHeight="1"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8" customHeight="1"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8" customHeight="1"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8" customHeight="1"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8" customHeight="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8" customHeight="1"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8" customHeight="1"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8" customHeight="1"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8" customHeight="1"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8" customHeight="1"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8" customHeight="1"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8" customHeight="1"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8" customHeight="1"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8" customHeight="1"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8" customHeight="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8" customHeight="1"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8" customHeight="1"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8" customHeight="1"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8" customHeight="1"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8" customHeight="1"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8" customHeight="1"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8" customHeight="1"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8" customHeight="1"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8" customHeight="1"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8" customHeight="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8" customHeight="1"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8" customHeight="1"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8" customHeight="1"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8" customHeight="1"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8" customHeight="1"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8" customHeight="1"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8" customHeight="1"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8" customHeight="1"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8" customHeight="1"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8" customHeight="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8" customHeight="1"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8" customHeight="1"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8" customHeight="1"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8" customHeight="1"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8" customHeight="1"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8" customHeight="1"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8" customHeight="1"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8" customHeight="1"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8" customHeight="1"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8" customHeight="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8" customHeight="1"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8" customHeight="1"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8" customHeight="1"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8" customHeight="1"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8" customHeight="1"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8" customHeight="1"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8" customHeight="1"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8" customHeight="1"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8" customHeight="1"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8" customHeight="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8" customHeight="1"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8" customHeight="1"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8" customHeight="1"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8" customHeight="1"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8" customHeight="1"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8" customHeight="1"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8" customHeight="1"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8" customHeight="1"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8" customHeight="1"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8" customHeight="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8" customHeight="1"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8" customHeight="1"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8" customHeight="1"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8" customHeight="1"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8" customHeight="1"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8" customHeight="1"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8" customHeight="1"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8" customHeight="1"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8" customHeight="1"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8" customHeight="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8" customHeight="1"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8" customHeight="1"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8" customHeight="1"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8" customHeight="1"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8" customHeight="1"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8" customHeight="1"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8" customHeight="1"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8" customHeight="1"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8" customHeight="1"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8" customHeight="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8" customHeight="1"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8" customHeight="1"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8" customHeight="1"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8" customHeight="1"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8" customHeight="1"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8" customHeight="1"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8" customHeight="1"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8" customHeight="1"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8" customHeight="1"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8" customHeight="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8" customHeight="1"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8" customHeight="1"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8" customHeight="1"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8" customHeight="1"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8" customHeight="1"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8" customHeight="1"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8" customHeight="1"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8" customHeight="1"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8" customHeight="1"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8" customHeight="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8" customHeight="1"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8" customHeight="1"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8" customHeight="1"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8" customHeight="1"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8" customHeight="1"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8" customHeight="1"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8" customHeight="1"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8" customHeight="1"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8" customHeight="1"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8" customHeight="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8" customHeight="1"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8" customHeight="1"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8" customHeight="1"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8" customHeight="1"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8" customHeight="1"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8" customHeight="1"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8" customHeight="1"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8" customHeight="1"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8" customHeight="1"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8" customHeight="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8" customHeight="1"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8" customHeight="1"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8" customHeight="1"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8" customHeight="1"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8" customHeight="1"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8" customHeight="1"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8" customHeight="1"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8" customHeight="1"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8" customHeight="1"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8" customHeight="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8" customHeight="1"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8" customHeight="1"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8" customHeight="1"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8" customHeight="1"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8" customHeight="1"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8" customHeight="1"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8" customHeight="1"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8" customHeight="1"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8" customHeight="1"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8" customHeight="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8" customHeight="1"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8" customHeight="1"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8" customHeight="1"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8" customHeight="1"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8" customHeight="1"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8" customHeight="1"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8" customHeight="1"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8" customHeight="1"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8" customHeight="1"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8" customHeight="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8" customHeight="1"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8" customHeight="1"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8" customHeight="1"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8" customHeight="1"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8" customHeight="1"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8" customHeight="1"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8" customHeight="1"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8" customHeight="1"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8" customHeight="1"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8" customHeight="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8" customHeight="1"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8" customHeight="1"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8" customHeight="1"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8" customHeight="1"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8" customHeight="1"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 customHeight="1"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 customHeight="1"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8" customHeight="1"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 customHeight="1"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8" customHeight="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8" customHeight="1"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8" customHeight="1"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8" customHeight="1"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8" customHeight="1"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8" customHeight="1"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8" customHeight="1"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8" customHeight="1"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8" customHeight="1"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8" customHeight="1"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8" customHeight="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8" customHeight="1"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8" customHeight="1"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8" customHeight="1"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8" customHeight="1"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8" customHeight="1"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8" customHeight="1"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8" customHeight="1"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8" customHeight="1"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8" customHeight="1"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8" customHeight="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8" customHeight="1"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8" customHeight="1"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8" customHeight="1"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8" customHeight="1"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8" customHeight="1"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8" customHeight="1"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8" customHeight="1"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8" customHeight="1"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8" customHeight="1"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8" customHeight="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8" customHeight="1"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8" customHeight="1"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8" customHeight="1"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8" customHeight="1"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8" customHeight="1"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8" customHeight="1"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8" customHeight="1"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8" customHeight="1"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8" customHeight="1"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8" customHeight="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8" customHeight="1"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8" customHeight="1"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8" customHeight="1"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8" customHeight="1"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8" customHeight="1"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8" customHeight="1"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8" customHeight="1"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8" customHeight="1"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8" customHeight="1"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8" customHeight="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8" customHeight="1"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8" customHeight="1"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8" customHeight="1"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8" customHeight="1"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8" customHeight="1"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8" customHeight="1"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8" customHeight="1"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8" customHeight="1"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8" customHeight="1"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8" customHeight="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8" customHeight="1"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8" customHeight="1"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8" customHeight="1"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8" customHeight="1"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8" customHeight="1"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8" customHeight="1"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8" customHeight="1"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8" customHeight="1"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8" customHeight="1"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8" customHeight="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8" customHeight="1"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8" customHeight="1"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8" customHeight="1"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8" customHeight="1"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8" customHeight="1"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8" customHeight="1"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8" customHeight="1"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8" customHeight="1"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8" customHeight="1"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8" customHeight="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8" customHeight="1"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8" customHeight="1"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8" customHeight="1"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8" customHeight="1"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8" customHeight="1"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8" customHeight="1"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8" customHeight="1"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8" customHeight="1"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8" customHeight="1"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8" customHeight="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8" customHeight="1"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8" customHeight="1"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8" customHeight="1"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8" customHeight="1"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8" customHeight="1"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8" customHeight="1"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8" customHeight="1"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8" customHeight="1"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8" customHeight="1"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8" customHeight="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8" customHeight="1"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8" customHeight="1"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8" customHeight="1"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8" customHeight="1"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8" customHeight="1"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8" customHeight="1"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8" customHeight="1"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8" customHeight="1"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8" customHeight="1"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8" customHeight="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8" customHeight="1"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8" customHeight="1"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8" customHeight="1"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8" customHeight="1"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8" customHeight="1"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8" customHeight="1"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8" customHeight="1"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8" customHeight="1"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8" customHeight="1"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8" customHeight="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8" customHeight="1"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8" customHeight="1"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8" customHeight="1"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8" customHeight="1"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8" customHeight="1"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8" customHeight="1"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8" customHeight="1"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8" customHeight="1"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8" customHeight="1"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8" customHeight="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8" customHeight="1"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8" customHeight="1"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8" customHeight="1"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8" customHeight="1"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8" customHeight="1"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8" customHeight="1"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8" customHeight="1"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8" customHeight="1"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8" customHeight="1"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8" customHeight="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8" customHeight="1"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8" customHeight="1"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8" customHeight="1"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8" customHeight="1"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8" customHeight="1"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8" customHeight="1"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8" customHeight="1"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8" customHeight="1"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8" customHeight="1"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8" customHeight="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8" customHeight="1"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8" customHeight="1"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8" customHeight="1"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8" customHeight="1"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8" customHeight="1"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8" customHeight="1"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8" customHeight="1"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8" customHeight="1"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8" customHeight="1"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8" customHeight="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8" customHeight="1"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8" customHeight="1"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8" customHeight="1"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8" customHeight="1"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8" customHeight="1"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8" customHeight="1"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8" customHeight="1"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8" customHeight="1"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8" customHeight="1"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8" customHeight="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8" customHeight="1"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8" customHeight="1"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8" customHeight="1"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8" customHeight="1"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8" customHeight="1"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8" customHeight="1"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8" customHeight="1"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8" customHeight="1"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8" customHeight="1"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8" customHeight="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8" customHeight="1"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8" customHeight="1"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8" customHeight="1"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8" customHeight="1"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8" customHeight="1"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8" customHeight="1"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8" customHeight="1"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8" customHeight="1"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8" customHeight="1"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8" customHeight="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8" customHeight="1"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8" customHeight="1"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8" customHeight="1"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8" customHeight="1"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8" customHeight="1"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8" customHeight="1"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8" customHeight="1"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8" customHeight="1"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8" customHeight="1"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8" customHeight="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8" customHeight="1"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8" customHeight="1"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8" customHeight="1"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8" customHeight="1"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8" customHeight="1"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8" customHeight="1"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8" customHeight="1"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8" customHeight="1"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8" customHeight="1"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8" customHeight="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8" customHeight="1"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8" customHeight="1"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8" customHeight="1"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8" customHeight="1"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8" customHeight="1"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8" customHeight="1"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8" customHeight="1"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8" customHeight="1"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8" customHeight="1"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8" customHeight="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8" customHeight="1"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8" customHeight="1"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8" customHeight="1"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8" customHeight="1"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8" customHeight="1"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8" customHeight="1"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8" customHeight="1"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8" customHeight="1"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8" customHeight="1"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8" customHeight="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8" customHeight="1"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8" customHeight="1"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8" customHeight="1"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8" customHeight="1"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8" customHeight="1"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8" customHeight="1"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8" customHeight="1"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8" customHeight="1"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8" customHeight="1"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8" customHeight="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8" customHeight="1"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8" customHeight="1"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8" customHeight="1"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8" customHeight="1"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8" customHeight="1"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8" customHeight="1"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8" customHeight="1"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8" customHeight="1"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8" customHeight="1"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8" customHeight="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8" customHeight="1"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8" customHeight="1"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8" customHeight="1"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8" customHeight="1"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8" customHeight="1"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8" customHeight="1"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8" customHeight="1"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8" customHeight="1"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8" customHeight="1"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8" customHeight="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8" customHeight="1"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8" customHeight="1"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8" customHeight="1"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8" customHeight="1"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8" customHeight="1"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8" customHeight="1"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8" customHeight="1"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8" customHeight="1"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8" customHeight="1"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8" customHeight="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8" customHeight="1"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8" customHeight="1"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8" customHeight="1"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8" customHeight="1"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8" customHeight="1"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8" customHeight="1"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8" customHeight="1"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8" customHeight="1"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8" customHeight="1"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8" customHeight="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8" customHeight="1"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8" customHeight="1"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8" customHeight="1"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8" customHeight="1"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8" customHeight="1"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8" customHeight="1"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8" customHeight="1"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8" customHeight="1"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8" customHeight="1"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8" customHeight="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8" customHeight="1"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8" customHeight="1"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8" customHeight="1"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8" customHeight="1"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8" customHeight="1"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8" customHeight="1"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8" customHeight="1"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8" customHeight="1"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8" customHeight="1"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8" customHeight="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8" customHeight="1"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8" customHeight="1"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8" customHeight="1"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8" customHeight="1"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8" customHeight="1"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8" customHeight="1"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8" customHeight="1"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8" customHeight="1"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8" customHeight="1"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8" customHeight="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8" customHeight="1"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8" customHeight="1"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8" customHeight="1"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8" customHeight="1"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8" customHeight="1"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8" customHeight="1"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8" customHeight="1"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8" customHeight="1"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8" customHeight="1"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8" customHeight="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8" customHeight="1"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8" customHeight="1"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8" customHeight="1"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8" customHeight="1"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8" customHeight="1"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8" customHeight="1"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8" customHeight="1"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8" customHeight="1"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8" customHeight="1"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8" customHeight="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8" customHeight="1"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8" customHeight="1"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8" customHeight="1"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8" customHeight="1"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8" customHeight="1"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8" customHeight="1"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8" customHeight="1"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8" customHeight="1"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8" customHeight="1"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8" customHeight="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8" customHeight="1"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8" customHeight="1"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8" customHeight="1"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8" customHeight="1"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8" customHeight="1"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8" customHeight="1"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8" customHeight="1"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8" customHeight="1"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8" customHeight="1"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8" customHeight="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8" customHeight="1"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8" customHeight="1"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8" customHeight="1"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8" customHeight="1"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8" customHeight="1"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8" customHeight="1"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8" customHeight="1"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8" customHeight="1"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8" customHeight="1"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8" customHeight="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8" customHeight="1"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8" customHeight="1"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8" customHeight="1"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8" customHeight="1"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8" customHeight="1"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8" customHeight="1"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8" customHeight="1"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8" customHeight="1"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8" customHeight="1"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8" customHeight="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8" customHeight="1"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8" customHeight="1"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8" customHeight="1"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8" customHeight="1"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8" customHeight="1"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8" customHeight="1"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8" customHeight="1"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8" customHeight="1"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8" customHeight="1"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8" customHeight="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8" customHeight="1"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8" customHeight="1"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8" customHeight="1"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8" customHeight="1"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8" customHeight="1"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8" customHeight="1"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8" customHeight="1"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8" customHeight="1"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8" customHeight="1"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8" customHeight="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8" customHeight="1"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8" customHeight="1"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8" customHeight="1"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8" customHeight="1"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8" customHeight="1"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8" customHeight="1"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8" customHeight="1"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8" customHeight="1"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8" customHeight="1"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8" customHeight="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8" customHeight="1"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8" customHeight="1"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8" customHeight="1"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8" customHeight="1"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8" customHeight="1"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8" customHeight="1"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8" customHeight="1"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8" customHeight="1"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8" customHeight="1"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8" customHeight="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8" customHeight="1"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8" customHeight="1"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8" customHeight="1"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8" customHeight="1"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8" customHeight="1"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8" customHeight="1"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8" customHeight="1"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8" customHeight="1"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8" customHeight="1"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8" customHeight="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8" customHeight="1"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8" customHeight="1"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8" customHeight="1"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8" customHeight="1"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8" customHeight="1"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8" customHeight="1"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8" customHeight="1"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8" customHeight="1"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8" customHeight="1"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8" customHeight="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8" customHeight="1"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8" customHeight="1"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8" customHeight="1"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8" customHeight="1"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8" customHeight="1"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8" customHeight="1"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8" customHeight="1"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8" customHeight="1"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8" customHeight="1"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8" customHeight="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8" customHeight="1"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8" customHeight="1"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8" customHeight="1"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8" customHeight="1"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8" customHeight="1"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8" customHeight="1"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8" customHeight="1"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8" customHeight="1"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8" customHeight="1"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8" customHeight="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8" customHeight="1"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8" customHeight="1"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8" customHeight="1"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8" customHeight="1"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8" customHeight="1"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8" customHeight="1"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8" customHeight="1"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8" customHeight="1"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8" customHeight="1"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8" customHeight="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8" customHeight="1"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8" customHeight="1"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8" customHeight="1"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8" customHeight="1"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8" customHeight="1"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8" customHeight="1"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8" customHeight="1"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8" customHeight="1"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8" customHeight="1"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8" customHeight="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8" customHeight="1"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8" customHeight="1"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8" customHeight="1"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8" customHeight="1"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8" customHeight="1"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8" customHeight="1"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8" customHeight="1"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8" customHeight="1"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8" customHeight="1"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8" customHeight="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8" customHeight="1"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8" customHeight="1"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8" customHeight="1"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8" customHeight="1"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8" customHeight="1"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8" customHeight="1"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8" customHeight="1"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8" customHeight="1"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8" customHeight="1"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8" customHeight="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8" customHeight="1"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8" customHeight="1"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8" customHeight="1"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8" customHeight="1"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8" customHeight="1"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8" customHeight="1"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8" customHeight="1"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8" customHeight="1"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8" customHeight="1"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8" customHeight="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8" customHeight="1"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8" customHeight="1"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8" customHeight="1"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8" customHeight="1"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8" customHeight="1"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8" customHeight="1"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8" customHeight="1"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8" customHeight="1"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8" customHeight="1"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8" customHeight="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8" customHeight="1"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8" customHeight="1"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8" customHeight="1"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8" customHeight="1"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8" customHeight="1"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8" customHeight="1"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8" customHeight="1"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8" customHeight="1"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8" customHeight="1"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8" customHeight="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8" customHeight="1"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8" customHeight="1"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8" customHeight="1"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8" customHeight="1"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8" customHeight="1"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8" customHeight="1"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8" customHeight="1"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8" customHeight="1"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8" customHeight="1"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8" customHeight="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8" customHeight="1"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8" customHeight="1"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8" customHeight="1"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8" customHeight="1"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8" customHeight="1"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8" customHeight="1"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8" customHeight="1"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8" customHeight="1"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8" customHeight="1"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8" customHeight="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8" customHeight="1"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8" customHeight="1"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8" customHeight="1"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8" customHeight="1"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8" customHeight="1"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8" customHeight="1"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8" customHeight="1"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8" customHeight="1"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8" customHeight="1"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8" customHeight="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8" customHeight="1"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8" customHeight="1"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8" customHeight="1"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8" customHeight="1"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8" customHeight="1"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8" customHeight="1"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8" customHeight="1"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8" customHeight="1"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8" customHeight="1"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8" customHeight="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8" customHeight="1"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8" customHeight="1"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8" customHeight="1"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8" customHeight="1"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8" customHeight="1"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8" customHeight="1"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8" customHeight="1"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8" customHeight="1"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8" customHeight="1"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8" customHeight="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8" customHeight="1"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8" customHeight="1"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8" customHeight="1"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8" customHeight="1"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8" customHeight="1"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8" customHeight="1"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8" customHeight="1"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8" customHeight="1"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8" customHeight="1"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8" customHeight="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8" customHeight="1"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8" customHeight="1"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8" customHeight="1"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8" customHeight="1"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8" customHeight="1"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8" customHeight="1"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8" customHeight="1"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8" customHeight="1"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8" customHeight="1"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8" customHeight="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8" customHeight="1"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8" customHeight="1"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8" customHeight="1"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8" customHeight="1"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8" customHeight="1"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8" customHeight="1"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8" customHeight="1"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8" customHeight="1"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8" customHeight="1"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8" customHeight="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8" customHeight="1"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8" customHeight="1"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8" customHeight="1"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8" customHeight="1"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8" customHeight="1"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8" customHeight="1"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8" customHeight="1"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8" customHeight="1"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8" customHeight="1"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8" customHeight="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8" customHeight="1"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8" customHeight="1"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8" customHeight="1"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8" customHeight="1"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8" customHeight="1"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8" customHeight="1"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8" customHeight="1"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8" customHeight="1"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8" customHeight="1"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8" customHeight="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8" customHeight="1"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8" customHeight="1"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8" customHeight="1"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8" customHeight="1"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8" customHeight="1"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8" customHeight="1"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8" customHeight="1"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8" customHeight="1"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8" customHeight="1"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8" customHeight="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8" customHeight="1"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8" customHeight="1"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8" customHeight="1"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8" customHeight="1"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8" customHeight="1"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8" customHeight="1"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8" customHeight="1"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8" customHeight="1"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8" customHeight="1"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8" customHeight="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8" customHeight="1"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8" customHeight="1"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8" customHeight="1"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8" customHeight="1"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8" customHeight="1"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8" customHeight="1"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8" customHeight="1"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8" customHeight="1"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8" customHeight="1"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8" customHeight="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8" customHeight="1"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8" customHeight="1"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8" customHeight="1"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8" customHeight="1"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8" customHeight="1"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8" customHeight="1"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8" customHeight="1"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8" customHeight="1"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8" customHeight="1"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 customHeight="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8" customHeight="1"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8" customHeight="1"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8" customHeight="1"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8" customHeight="1"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8" customHeight="1"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8" customHeight="1"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8" customHeight="1"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8" customHeight="1"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8" customHeight="1"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8" customHeight="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8" customHeight="1"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8" customHeight="1"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8" customHeight="1"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8" customHeight="1"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8" customHeight="1"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8" customHeight="1"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8" customHeight="1"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8" customHeight="1"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8" customHeight="1"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8" customHeight="1" spans="1:26"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8" customHeight="1" spans="1:26"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80">
    <mergeCell ref="A2:H2"/>
    <mergeCell ref="B3:H3"/>
    <mergeCell ref="I3:M4"/>
    <mergeCell ref="B4:H4"/>
    <mergeCell ref="B5:H5"/>
    <mergeCell ref="B6:C6"/>
    <mergeCell ref="E6:H6"/>
    <mergeCell ref="B7:H7"/>
    <mergeCell ref="B8:H8"/>
    <mergeCell ref="B10:H10"/>
    <mergeCell ref="B11:H11"/>
    <mergeCell ref="B12:H12"/>
    <mergeCell ref="B15:H15"/>
    <mergeCell ref="B16:H16"/>
    <mergeCell ref="B17:D17"/>
    <mergeCell ref="F17:H17"/>
    <mergeCell ref="B18:D18"/>
    <mergeCell ref="E17:E43"/>
    <mergeCell ref="F18:H18"/>
    <mergeCell ref="B19:D19"/>
    <mergeCell ref="F19:H19"/>
    <mergeCell ref="B20:D20"/>
    <mergeCell ref="F20:H20"/>
    <mergeCell ref="B21:D21"/>
    <mergeCell ref="F21:H21"/>
    <mergeCell ref="B22:D22"/>
    <mergeCell ref="F22:H22"/>
    <mergeCell ref="B23:D23"/>
    <mergeCell ref="F23:H23"/>
    <mergeCell ref="B24:D24"/>
    <mergeCell ref="F24:H24"/>
    <mergeCell ref="B26:D26"/>
    <mergeCell ref="F26:H26"/>
    <mergeCell ref="B27:D27"/>
    <mergeCell ref="F27:H27"/>
    <mergeCell ref="B28:D28"/>
    <mergeCell ref="F28:H28"/>
    <mergeCell ref="B29:D29"/>
    <mergeCell ref="F29:H29"/>
    <mergeCell ref="B30:D30"/>
    <mergeCell ref="F30:H30"/>
    <mergeCell ref="B31:D31"/>
    <mergeCell ref="F31:H31"/>
    <mergeCell ref="B32:D32"/>
    <mergeCell ref="F32:H32"/>
    <mergeCell ref="B33:D33"/>
    <mergeCell ref="F33:H33"/>
    <mergeCell ref="B34:D34"/>
    <mergeCell ref="F34:H34"/>
    <mergeCell ref="B35:D35"/>
    <mergeCell ref="F35:H35"/>
    <mergeCell ref="B36:D36"/>
    <mergeCell ref="F36:H36"/>
    <mergeCell ref="B37:D37"/>
    <mergeCell ref="F37:H37"/>
    <mergeCell ref="B38:D38"/>
    <mergeCell ref="F38:H38"/>
    <mergeCell ref="B39:D39"/>
    <mergeCell ref="F39:H39"/>
    <mergeCell ref="B40:D40"/>
    <mergeCell ref="F40:H40"/>
    <mergeCell ref="B41:D41"/>
    <mergeCell ref="F41:H41"/>
    <mergeCell ref="B42:D42"/>
    <mergeCell ref="F42:H42"/>
    <mergeCell ref="B43:D43"/>
    <mergeCell ref="F43:H43"/>
    <mergeCell ref="B44:H44"/>
    <mergeCell ref="B45:H45"/>
    <mergeCell ref="B46:H46"/>
    <mergeCell ref="B47:H47"/>
    <mergeCell ref="A48:H48"/>
    <mergeCell ref="B50:H50"/>
    <mergeCell ref="B51:H51"/>
    <mergeCell ref="B52:H52"/>
    <mergeCell ref="B53:H53"/>
    <mergeCell ref="B54:H54"/>
    <mergeCell ref="B55:H55"/>
    <mergeCell ref="B56:H56"/>
    <mergeCell ref="B57:H57"/>
  </mergeCells>
  <dataValidations count="7">
    <dataValidation type="list" allowBlank="1" showErrorMessage="1" sqref="B11">
      <formula1>"単独,共有"</formula1>
    </dataValidation>
    <dataValidation type="list" allowBlank="1" showInputMessage="1" sqref="B12:H12">
      <formula1>"田畑　美香,德田　耕明,吉田　祐,杉村　悠斗,金村  晃功,葉山　一輝,小松  大樹,稲尾　拓慎,舟橋　祐也,湯谷　憲一,阿部　澄人,光川　美緒,西村　貴裕"</formula1>
    </dataValidation>
    <dataValidation type="list" allowBlank="1" showErrorMessage="1" sqref="B17">
      <formula1>"1,2,3"</formula1>
    </dataValidation>
    <dataValidation type="list" allowBlank="1" showErrorMessage="1" sqref="B8:H8">
      <formula1>"田中　聡,北村　晃平,林　恭生,箕浦　三四郎,荘野　善宏,内藤　智之,足立　雅哉,若狹 龍成,髙濱 洋文,佐古　祐太,古久保　知佳子"</formula1>
    </dataValidation>
    <dataValidation type="list" allowBlank="1" showErrorMessage="1" sqref="B9">
      <formula1>"一級,二級"</formula1>
    </dataValidation>
    <dataValidation type="list" allowBlank="1" showInputMessage="1" showErrorMessage="1" sqref="D9">
      <formula1>"大臣,大阪府知事,京都府知事,和歌山県知事"</formula1>
    </dataValidation>
    <dataValidation type="list" allowBlank="1" showErrorMessage="1" sqref="F17">
      <formula1>"1,2,3"</formula1>
    </dataValidation>
  </dataValidations>
  <pageMargins left="0.7" right="0.7" top="0.75" bottom="0.75" header="0" footer="0"/>
  <pageSetup paperSize="9" orientation="portrait" horizontalDpi="4294967295" verticalDpi="4294967295" scale="71"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O1003"/>
  <sheetViews>
    <sheetView workbookViewId="0" zoomScale="90" zoomScaleNormal="100" view="pageBreakPreview">
      <selection activeCell="A4" sqref="A4"/>
    </sheetView>
  </sheetViews>
  <sheetFormatPr defaultRowHeight="15" outlineLevelRow="0" outlineLevelCol="0" x14ac:dyDescent="0" defaultColWidth="14.42578125"/>
  <cols>
    <col min="1" max="14" width="4.5703125" customWidth="1"/>
    <col min="15" max="15" width="5.7109375" customWidth="1"/>
    <col min="16" max="18" width="4.5703125" customWidth="1"/>
    <col min="19" max="19" width="5" customWidth="1"/>
    <col min="20" max="41" width="4.5703125" customWidth="1"/>
  </cols>
  <sheetData>
    <row r="1" ht="20.25" customHeight="1" spans="1:41" x14ac:dyDescent="0.25">
      <c r="A1" s="66" t="s">
        <v>107</v>
      </c>
      <c r="B1" s="1"/>
      <c r="C1" s="1"/>
      <c r="D1" s="1"/>
      <c r="E1" s="1"/>
      <c r="F1" s="1"/>
      <c r="G1" s="1"/>
      <c r="H1" s="1"/>
      <c r="I1" s="1"/>
      <c r="J1" s="1"/>
      <c r="K1" s="1"/>
      <c r="L1" s="1"/>
      <c r="M1" s="1"/>
      <c r="N1" s="1"/>
      <c r="O1" s="1"/>
      <c r="P1" s="1"/>
      <c r="Q1" s="1"/>
      <c r="R1" s="1"/>
      <c r="S1" s="1"/>
      <c r="T1" s="1"/>
      <c r="U1" s="67"/>
      <c r="V1" s="68"/>
      <c r="W1" s="68"/>
      <c r="X1" s="68"/>
      <c r="Y1" s="68"/>
      <c r="Z1" s="68"/>
      <c r="AA1" s="68"/>
      <c r="AB1" s="68"/>
      <c r="AC1" s="68"/>
      <c r="AD1" s="68"/>
      <c r="AE1" s="68"/>
      <c r="AF1" s="68"/>
      <c r="AG1" s="68"/>
      <c r="AH1" s="68"/>
      <c r="AI1" s="68"/>
      <c r="AJ1" s="68"/>
      <c r="AK1" s="68"/>
      <c r="AL1" s="68"/>
      <c r="AM1" s="68"/>
      <c r="AN1" s="68"/>
      <c r="AO1" s="69"/>
    </row>
    <row r="2" ht="20.25" customHeight="1" spans="1:41" x14ac:dyDescent="0.25">
      <c r="A2" s="70"/>
      <c r="B2" s="70"/>
      <c r="C2" s="70"/>
      <c r="D2" s="70"/>
      <c r="E2" s="70"/>
      <c r="F2" s="70"/>
      <c r="G2" s="70"/>
      <c r="H2" s="70"/>
      <c r="I2" s="70"/>
      <c r="J2" s="70"/>
      <c r="K2" s="70"/>
      <c r="L2" s="70"/>
      <c r="M2" s="70"/>
      <c r="N2" s="71">
        <f>初期入力!C13</f>
        <v>2025</v>
      </c>
      <c r="O2" s="71"/>
      <c r="P2" s="72" t="s">
        <v>33</v>
      </c>
      <c r="Q2" s="73">
        <f>初期入力!E13</f>
        <v>7</v>
      </c>
      <c r="R2" s="72" t="s">
        <v>34</v>
      </c>
      <c r="S2" s="73">
        <f>初期入力!G13</f>
        <v>25</v>
      </c>
      <c r="T2" s="70" t="s">
        <v>35</v>
      </c>
      <c r="U2" s="74"/>
      <c r="V2" s="68"/>
      <c r="W2" s="68"/>
      <c r="X2" s="68"/>
      <c r="Y2" s="68"/>
      <c r="Z2" s="68"/>
      <c r="AA2" s="68"/>
      <c r="AB2" s="68"/>
      <c r="AC2" s="68"/>
      <c r="AD2" s="68"/>
      <c r="AE2" s="68"/>
      <c r="AF2" s="68"/>
      <c r="AG2" s="68"/>
      <c r="AH2" s="68"/>
      <c r="AI2" s="68"/>
      <c r="AJ2" s="68"/>
      <c r="AK2" s="68"/>
      <c r="AL2" s="68"/>
      <c r="AM2" s="68"/>
      <c r="AN2" s="68"/>
      <c r="AO2" s="69"/>
    </row>
    <row r="3" ht="20.25" customHeight="1" spans="1:41" x14ac:dyDescent="0.25">
      <c r="A3" s="75">
        <f>初期入力!B4</f>
        <v>0</v>
      </c>
      <c r="B3" s="76"/>
      <c r="C3" s="76"/>
      <c r="D3" s="76"/>
      <c r="E3" s="76"/>
      <c r="F3" s="77" t="s">
        <v>12</v>
      </c>
      <c r="G3" s="70"/>
      <c r="H3" s="70"/>
      <c r="I3" s="70"/>
      <c r="J3" s="70"/>
      <c r="K3" s="70"/>
      <c r="L3" s="70"/>
      <c r="M3" s="70"/>
      <c r="N3" s="70"/>
      <c r="O3" s="70"/>
      <c r="P3" s="70"/>
      <c r="Q3" s="70"/>
      <c r="R3" s="70"/>
      <c r="S3" s="70"/>
      <c r="T3" s="70"/>
      <c r="U3" s="74"/>
      <c r="V3" s="68"/>
      <c r="W3" s="68"/>
      <c r="X3" s="68"/>
      <c r="Y3" s="68"/>
      <c r="Z3" s="68"/>
      <c r="AA3" s="68"/>
      <c r="AB3" s="68"/>
      <c r="AC3" s="68"/>
      <c r="AD3" s="68"/>
      <c r="AE3" s="68"/>
      <c r="AF3" s="68"/>
      <c r="AG3" s="68"/>
      <c r="AH3" s="68"/>
      <c r="AI3" s="68"/>
      <c r="AJ3" s="68"/>
      <c r="AK3" s="68"/>
      <c r="AL3" s="68"/>
      <c r="AM3" s="68"/>
      <c r="AN3" s="68"/>
      <c r="AO3" s="69"/>
    </row>
    <row r="4" ht="20.25" customHeight="1" spans="1:41" x14ac:dyDescent="0.25">
      <c r="A4" s="78">
        <f>IF(初期入力!B6="","",初期入力!B6)</f>
      </c>
      <c r="B4" s="79"/>
      <c r="C4" s="79"/>
      <c r="D4" s="79"/>
      <c r="E4" s="79"/>
      <c r="F4" s="80" t="str">
        <f>初期入力!D6</f>
        <v>様</v>
      </c>
      <c r="G4" s="70"/>
      <c r="H4" s="70"/>
      <c r="I4" s="70"/>
      <c r="J4" s="81"/>
      <c r="K4" s="81"/>
      <c r="L4" s="81"/>
      <c r="M4" s="81"/>
      <c r="N4" s="81"/>
      <c r="O4" s="70"/>
      <c r="P4" s="70"/>
      <c r="Q4" s="70"/>
      <c r="R4" s="70"/>
      <c r="S4" s="70"/>
      <c r="T4" s="70"/>
      <c r="U4" s="74"/>
      <c r="V4" s="82" t="s">
        <v>108</v>
      </c>
      <c r="W4" s="83"/>
      <c r="X4" s="83"/>
      <c r="Y4" s="83"/>
      <c r="Z4" s="83"/>
      <c r="AA4" s="83"/>
      <c r="AB4" s="83"/>
      <c r="AC4" s="83"/>
      <c r="AD4" s="83"/>
      <c r="AE4" s="83"/>
      <c r="AF4" s="83"/>
      <c r="AG4" s="83"/>
      <c r="AH4" s="68"/>
      <c r="AI4" s="68"/>
      <c r="AJ4" s="68"/>
      <c r="AK4" s="68"/>
      <c r="AL4" s="68"/>
      <c r="AM4" s="68"/>
      <c r="AN4" s="68"/>
      <c r="AO4" s="69"/>
    </row>
    <row r="5" ht="20.25" customHeight="1" spans="1:41" x14ac:dyDescent="0.25">
      <c r="A5" s="70"/>
      <c r="B5" s="70"/>
      <c r="C5" s="70"/>
      <c r="D5" s="70"/>
      <c r="E5" s="70"/>
      <c r="F5" s="70"/>
      <c r="G5" s="70"/>
      <c r="H5" s="70"/>
      <c r="I5" s="84"/>
      <c r="J5" s="70"/>
      <c r="K5" s="70"/>
      <c r="L5" s="70"/>
      <c r="M5" s="70"/>
      <c r="N5" s="70"/>
      <c r="O5" s="70"/>
      <c r="P5" s="70"/>
      <c r="Q5" s="70"/>
      <c r="R5" s="70"/>
      <c r="S5" s="70"/>
      <c r="T5" s="70"/>
      <c r="U5" s="74"/>
      <c r="V5" s="83"/>
      <c r="W5" s="83"/>
      <c r="X5" s="83"/>
      <c r="Y5" s="83"/>
      <c r="Z5" s="83"/>
      <c r="AA5" s="83"/>
      <c r="AB5" s="83"/>
      <c r="AC5" s="83"/>
      <c r="AD5" s="83"/>
      <c r="AE5" s="83"/>
      <c r="AF5" s="83"/>
      <c r="AG5" s="83"/>
      <c r="AH5" s="68"/>
      <c r="AI5" s="68"/>
      <c r="AJ5" s="68"/>
      <c r="AK5" s="68"/>
      <c r="AL5" s="68"/>
      <c r="AM5" s="68"/>
      <c r="AN5" s="68"/>
      <c r="AO5" s="69"/>
    </row>
    <row r="6" ht="20.25" customHeight="1" spans="1:41" x14ac:dyDescent="0.25">
      <c r="A6" s="70" t="s">
        <v>109</v>
      </c>
      <c r="B6" s="70"/>
      <c r="C6" s="70"/>
      <c r="D6" s="70"/>
      <c r="E6" s="70"/>
      <c r="F6" s="70"/>
      <c r="G6" s="70"/>
      <c r="H6" s="70"/>
      <c r="I6" s="70"/>
      <c r="J6" s="70"/>
      <c r="K6" s="70"/>
      <c r="L6" s="70"/>
      <c r="M6" s="70"/>
      <c r="N6" s="70"/>
      <c r="O6" s="70"/>
      <c r="P6" s="70"/>
      <c r="Q6" s="70"/>
      <c r="R6" s="70"/>
      <c r="S6" s="70"/>
      <c r="T6" s="70"/>
      <c r="U6" s="74"/>
      <c r="V6" s="83"/>
      <c r="W6" s="83"/>
      <c r="X6" s="83"/>
      <c r="Y6" s="83"/>
      <c r="Z6" s="83"/>
      <c r="AA6" s="83"/>
      <c r="AB6" s="83"/>
      <c r="AC6" s="83"/>
      <c r="AD6" s="83"/>
      <c r="AE6" s="83"/>
      <c r="AF6" s="83"/>
      <c r="AG6" s="83"/>
      <c r="AH6" s="68"/>
      <c r="AI6" s="68"/>
      <c r="AJ6" s="68"/>
      <c r="AK6" s="68"/>
      <c r="AL6" s="68"/>
      <c r="AM6" s="68"/>
      <c r="AN6" s="68"/>
      <c r="AO6" s="69"/>
    </row>
    <row r="7" ht="20.25" customHeight="1" spans="1:41" x14ac:dyDescent="0.25">
      <c r="A7" s="70" t="s">
        <v>110</v>
      </c>
      <c r="B7" s="70"/>
      <c r="C7" s="70"/>
      <c r="D7" s="70"/>
      <c r="E7" s="70"/>
      <c r="F7" s="70"/>
      <c r="G7" s="70"/>
      <c r="H7" s="70"/>
      <c r="I7" s="70"/>
      <c r="J7" s="70"/>
      <c r="K7" s="70"/>
      <c r="L7" s="70"/>
      <c r="M7" s="70"/>
      <c r="N7" s="70"/>
      <c r="O7" s="70"/>
      <c r="P7" s="70"/>
      <c r="Q7" s="70"/>
      <c r="R7" s="70"/>
      <c r="S7" s="70"/>
      <c r="T7" s="70"/>
      <c r="U7" s="74"/>
      <c r="V7" s="85" t="s">
        <v>111</v>
      </c>
      <c r="W7" s="83"/>
      <c r="X7" s="83"/>
      <c r="Y7" s="83"/>
      <c r="Z7" s="83"/>
      <c r="AA7" s="83"/>
      <c r="AB7" s="83"/>
      <c r="AC7" s="83"/>
      <c r="AD7" s="83"/>
      <c r="AE7" s="83"/>
      <c r="AF7" s="83"/>
      <c r="AG7" s="83"/>
      <c r="AH7" s="83"/>
      <c r="AI7" s="83"/>
      <c r="AJ7" s="83"/>
      <c r="AK7" s="83"/>
      <c r="AL7" s="83"/>
      <c r="AM7" s="83"/>
      <c r="AN7" s="83"/>
      <c r="AO7" s="83"/>
    </row>
    <row r="8" ht="20.25" customHeight="1" spans="1:41" x14ac:dyDescent="0.25">
      <c r="A8" s="70" t="s">
        <v>112</v>
      </c>
      <c r="B8" s="70"/>
      <c r="C8" s="70"/>
      <c r="D8" s="70"/>
      <c r="E8" s="70"/>
      <c r="F8" s="70"/>
      <c r="G8" s="70"/>
      <c r="H8" s="70"/>
      <c r="I8" s="70"/>
      <c r="J8" s="70"/>
      <c r="K8" s="70"/>
      <c r="L8" s="70"/>
      <c r="M8" s="70"/>
      <c r="N8" s="70"/>
      <c r="O8" s="70"/>
      <c r="P8" s="70"/>
      <c r="Q8" s="70"/>
      <c r="R8" s="70"/>
      <c r="S8" s="70"/>
      <c r="T8" s="70"/>
      <c r="U8" s="74"/>
      <c r="V8" s="83"/>
      <c r="W8" s="83"/>
      <c r="X8" s="83"/>
      <c r="Y8" s="83"/>
      <c r="Z8" s="83"/>
      <c r="AA8" s="83"/>
      <c r="AB8" s="83"/>
      <c r="AC8" s="83"/>
      <c r="AD8" s="83"/>
      <c r="AE8" s="83"/>
      <c r="AF8" s="83"/>
      <c r="AG8" s="83"/>
      <c r="AH8" s="83"/>
      <c r="AI8" s="83"/>
      <c r="AJ8" s="83"/>
      <c r="AK8" s="83"/>
      <c r="AL8" s="83"/>
      <c r="AM8" s="83"/>
      <c r="AN8" s="83"/>
      <c r="AO8" s="83"/>
    </row>
    <row r="9" ht="20.25" customHeight="1" spans="1:41" x14ac:dyDescent="0.25">
      <c r="A9" s="70"/>
      <c r="B9" s="70"/>
      <c r="C9" s="70"/>
      <c r="D9" s="70"/>
      <c r="E9" s="70"/>
      <c r="F9" s="70"/>
      <c r="G9" s="70"/>
      <c r="H9" s="70"/>
      <c r="I9" s="70"/>
      <c r="J9" s="70"/>
      <c r="K9" s="70"/>
      <c r="L9" s="70"/>
      <c r="M9" s="70"/>
      <c r="N9" s="70"/>
      <c r="O9" s="70"/>
      <c r="P9" s="70"/>
      <c r="Q9" s="70"/>
      <c r="R9" s="70"/>
      <c r="S9" s="70"/>
      <c r="T9" s="70"/>
      <c r="U9" s="74"/>
      <c r="V9" s="83"/>
      <c r="W9" s="83"/>
      <c r="X9" s="83"/>
      <c r="Y9" s="83"/>
      <c r="Z9" s="83"/>
      <c r="AA9" s="83"/>
      <c r="AB9" s="83"/>
      <c r="AC9" s="83"/>
      <c r="AD9" s="83"/>
      <c r="AE9" s="83"/>
      <c r="AF9" s="83"/>
      <c r="AG9" s="83"/>
      <c r="AH9" s="83"/>
      <c r="AI9" s="83"/>
      <c r="AJ9" s="83"/>
      <c r="AK9" s="83"/>
      <c r="AL9" s="83"/>
      <c r="AM9" s="83"/>
      <c r="AN9" s="83"/>
      <c r="AO9" s="83"/>
    </row>
    <row r="10" ht="20.25" customHeight="1" spans="1:41" x14ac:dyDescent="0.25">
      <c r="A10" s="77" t="s">
        <v>113</v>
      </c>
      <c r="B10" s="77"/>
      <c r="C10" s="77"/>
      <c r="D10" s="86" t="str">
        <f>初期入力!B3</f>
        <v>大阪市旭区新森　池田様邸新築工事						</v>
      </c>
      <c r="E10" s="86"/>
      <c r="F10" s="86"/>
      <c r="G10" s="86"/>
      <c r="H10" s="86"/>
      <c r="I10" s="86"/>
      <c r="J10" s="86"/>
      <c r="K10" s="77" t="s">
        <v>114</v>
      </c>
      <c r="L10" s="77"/>
      <c r="M10" s="77"/>
      <c r="N10" s="87"/>
      <c r="O10" s="70"/>
      <c r="P10" s="70"/>
      <c r="Q10" s="70"/>
      <c r="R10" s="70"/>
      <c r="S10" s="70"/>
      <c r="T10" s="70"/>
      <c r="U10" s="74"/>
      <c r="V10" s="83"/>
      <c r="W10" s="83"/>
      <c r="X10" s="83"/>
      <c r="Y10" s="83"/>
      <c r="Z10" s="83"/>
      <c r="AA10" s="83"/>
      <c r="AB10" s="83"/>
      <c r="AC10" s="83"/>
      <c r="AD10" s="83"/>
      <c r="AE10" s="83"/>
      <c r="AF10" s="83"/>
      <c r="AG10" s="83"/>
      <c r="AH10" s="83"/>
      <c r="AI10" s="83"/>
      <c r="AJ10" s="83"/>
      <c r="AK10" s="83"/>
      <c r="AL10" s="83"/>
      <c r="AM10" s="83"/>
      <c r="AN10" s="83"/>
      <c r="AO10" s="83"/>
    </row>
    <row r="11" ht="20.25" customHeight="1" spans="1:41" x14ac:dyDescent="0.25">
      <c r="A11" s="70"/>
      <c r="B11" s="70"/>
      <c r="C11" s="70"/>
      <c r="D11" s="70"/>
      <c r="E11" s="70"/>
      <c r="F11" s="70"/>
      <c r="G11" s="70"/>
      <c r="H11" s="70"/>
      <c r="I11" s="70"/>
      <c r="J11" s="70"/>
      <c r="K11" s="70"/>
      <c r="L11" s="70"/>
      <c r="M11" s="70"/>
      <c r="N11" s="70"/>
      <c r="O11" s="70"/>
      <c r="P11" s="70"/>
      <c r="Q11" s="70"/>
      <c r="R11" s="70"/>
      <c r="S11" s="70"/>
      <c r="T11" s="70"/>
      <c r="U11" s="74"/>
      <c r="V11" s="83"/>
      <c r="W11" s="83"/>
      <c r="X11" s="83"/>
      <c r="Y11" s="83"/>
      <c r="Z11" s="83"/>
      <c r="AA11" s="83"/>
      <c r="AB11" s="83"/>
      <c r="AC11" s="83"/>
      <c r="AD11" s="83"/>
      <c r="AE11" s="83"/>
      <c r="AF11" s="83"/>
      <c r="AG11" s="83"/>
      <c r="AH11" s="83"/>
      <c r="AI11" s="83"/>
      <c r="AJ11" s="83"/>
      <c r="AK11" s="83"/>
      <c r="AL11" s="83"/>
      <c r="AM11" s="83"/>
      <c r="AN11" s="83"/>
      <c r="AO11" s="83"/>
    </row>
    <row r="12" ht="20.25" customHeight="1" spans="1:41" x14ac:dyDescent="0.25">
      <c r="A12" s="88" t="s">
        <v>115</v>
      </c>
      <c r="B12" s="28"/>
      <c r="C12" s="28"/>
      <c r="D12" s="28"/>
      <c r="E12" s="28"/>
      <c r="F12" s="28"/>
      <c r="G12" s="80" t="s">
        <v>116</v>
      </c>
      <c r="H12" s="80" t="s">
        <v>117</v>
      </c>
      <c r="I12" s="80"/>
      <c r="J12" s="80"/>
      <c r="K12" s="80"/>
      <c r="L12" s="80"/>
      <c r="M12" s="80"/>
      <c r="N12" s="80"/>
      <c r="O12" s="80"/>
      <c r="P12" s="80"/>
      <c r="Q12" s="80"/>
      <c r="R12" s="80"/>
      <c r="S12" s="80"/>
      <c r="T12" s="89"/>
      <c r="U12" s="70"/>
      <c r="V12" s="83"/>
      <c r="W12" s="83"/>
      <c r="X12" s="83"/>
      <c r="Y12" s="83"/>
      <c r="Z12" s="83"/>
      <c r="AA12" s="83"/>
      <c r="AB12" s="83"/>
      <c r="AC12" s="83"/>
      <c r="AD12" s="83"/>
      <c r="AE12" s="83"/>
      <c r="AF12" s="83"/>
      <c r="AG12" s="83"/>
      <c r="AH12" s="83"/>
      <c r="AI12" s="83"/>
      <c r="AJ12" s="83"/>
      <c r="AK12" s="83"/>
      <c r="AL12" s="83"/>
      <c r="AM12" s="83"/>
      <c r="AN12" s="83"/>
      <c r="AO12" s="83"/>
    </row>
    <row r="13" ht="20.25" customHeight="1" spans="1:41" x14ac:dyDescent="0.25">
      <c r="A13" s="90" t="s">
        <v>118</v>
      </c>
      <c r="B13" s="1"/>
      <c r="C13" s="1"/>
      <c r="D13" s="1"/>
      <c r="E13" s="1"/>
      <c r="F13" s="1"/>
      <c r="G13" s="70" t="s">
        <v>116</v>
      </c>
      <c r="H13" s="70" t="s">
        <v>119</v>
      </c>
      <c r="I13" s="70"/>
      <c r="J13" s="70"/>
      <c r="K13" s="70"/>
      <c r="L13" s="70"/>
      <c r="M13" s="70"/>
      <c r="N13" s="70"/>
      <c r="O13" s="70"/>
      <c r="P13" s="70"/>
      <c r="Q13" s="70"/>
      <c r="R13" s="70"/>
      <c r="S13" s="70"/>
      <c r="T13" s="91"/>
      <c r="U13" s="70"/>
      <c r="V13" s="83"/>
      <c r="W13" s="83"/>
      <c r="X13" s="83"/>
      <c r="Y13" s="83"/>
      <c r="Z13" s="83"/>
      <c r="AA13" s="83"/>
      <c r="AB13" s="83"/>
      <c r="AC13" s="83"/>
      <c r="AD13" s="83"/>
      <c r="AE13" s="83"/>
      <c r="AF13" s="83"/>
      <c r="AG13" s="83"/>
      <c r="AH13" s="83"/>
      <c r="AI13" s="83"/>
      <c r="AJ13" s="83"/>
      <c r="AK13" s="83"/>
      <c r="AL13" s="83"/>
      <c r="AM13" s="83"/>
      <c r="AN13" s="83"/>
      <c r="AO13" s="83"/>
    </row>
    <row r="14" ht="20.25" customHeight="1" spans="1:41" x14ac:dyDescent="0.25">
      <c r="A14" s="90" t="s">
        <v>120</v>
      </c>
      <c r="B14" s="1"/>
      <c r="C14" s="1"/>
      <c r="D14" s="1"/>
      <c r="E14" s="1"/>
      <c r="F14" s="1"/>
      <c r="G14" s="70" t="s">
        <v>116</v>
      </c>
      <c r="H14" s="70" t="s">
        <v>121</v>
      </c>
      <c r="I14" s="70"/>
      <c r="J14" s="70"/>
      <c r="K14" s="70"/>
      <c r="L14" s="70"/>
      <c r="M14" s="70"/>
      <c r="N14" s="70"/>
      <c r="O14" s="70"/>
      <c r="P14" s="70"/>
      <c r="Q14" s="70"/>
      <c r="R14" s="70"/>
      <c r="S14" s="70"/>
      <c r="T14" s="91"/>
      <c r="U14" s="70"/>
      <c r="V14" s="83"/>
      <c r="W14" s="83"/>
      <c r="X14" s="83"/>
      <c r="Y14" s="83"/>
      <c r="Z14" s="83"/>
      <c r="AA14" s="83"/>
      <c r="AB14" s="83"/>
      <c r="AC14" s="83"/>
      <c r="AD14" s="83"/>
      <c r="AE14" s="83"/>
      <c r="AF14" s="83"/>
      <c r="AG14" s="83"/>
      <c r="AH14" s="83"/>
      <c r="AI14" s="83"/>
      <c r="AJ14" s="83"/>
      <c r="AK14" s="83"/>
      <c r="AL14" s="83"/>
      <c r="AM14" s="83"/>
      <c r="AN14" s="83"/>
      <c r="AO14" s="83"/>
    </row>
    <row r="15" ht="20.25" customHeight="1" spans="1:41" x14ac:dyDescent="0.25">
      <c r="A15" s="92" t="s">
        <v>122</v>
      </c>
      <c r="B15" s="70"/>
      <c r="C15" s="70"/>
      <c r="D15" s="70"/>
      <c r="E15" s="70"/>
      <c r="F15" s="70"/>
      <c r="G15" s="70"/>
      <c r="H15" s="70"/>
      <c r="I15" s="70"/>
      <c r="J15" s="70"/>
      <c r="K15" s="70"/>
      <c r="L15" s="70"/>
      <c r="M15" s="70"/>
      <c r="N15" s="70"/>
      <c r="O15" s="70"/>
      <c r="P15" s="70"/>
      <c r="Q15" s="70"/>
      <c r="R15" s="70"/>
      <c r="S15" s="70"/>
      <c r="T15" s="91"/>
      <c r="U15" s="70"/>
      <c r="V15" s="83"/>
      <c r="W15" s="83"/>
      <c r="X15" s="83"/>
      <c r="Y15" s="83"/>
      <c r="Z15" s="83"/>
      <c r="AA15" s="83"/>
      <c r="AB15" s="83"/>
      <c r="AC15" s="83"/>
      <c r="AD15" s="83"/>
      <c r="AE15" s="83"/>
      <c r="AF15" s="83"/>
      <c r="AG15" s="83"/>
      <c r="AH15" s="83"/>
      <c r="AI15" s="83"/>
      <c r="AJ15" s="83"/>
      <c r="AK15" s="83"/>
      <c r="AL15" s="83"/>
      <c r="AM15" s="83"/>
      <c r="AN15" s="83"/>
      <c r="AO15" s="83"/>
    </row>
    <row r="16" ht="20.25" customHeight="1" spans="1:41" x14ac:dyDescent="0.25">
      <c r="A16" s="93"/>
      <c r="B16" s="77"/>
      <c r="C16" s="77"/>
      <c r="D16" s="77"/>
      <c r="E16" s="77"/>
      <c r="F16" s="77"/>
      <c r="G16" s="77"/>
      <c r="H16" s="77"/>
      <c r="I16" s="77"/>
      <c r="J16" s="77"/>
      <c r="K16" s="77"/>
      <c r="L16" s="77"/>
      <c r="M16" s="77"/>
      <c r="N16" s="77"/>
      <c r="O16" s="77"/>
      <c r="P16" s="77"/>
      <c r="Q16" s="77"/>
      <c r="R16" s="77"/>
      <c r="S16" s="77"/>
      <c r="T16" s="94"/>
      <c r="U16" s="70"/>
      <c r="V16" s="83"/>
      <c r="W16" s="83"/>
      <c r="X16" s="83"/>
      <c r="Y16" s="83"/>
      <c r="Z16" s="83"/>
      <c r="AA16" s="83"/>
      <c r="AB16" s="83"/>
      <c r="AC16" s="83"/>
      <c r="AD16" s="83"/>
      <c r="AE16" s="83"/>
      <c r="AF16" s="83"/>
      <c r="AG16" s="83"/>
      <c r="AH16" s="83"/>
      <c r="AI16" s="83"/>
      <c r="AJ16" s="83"/>
      <c r="AK16" s="83"/>
      <c r="AL16" s="83"/>
      <c r="AM16" s="83"/>
      <c r="AN16" s="83"/>
      <c r="AO16" s="83"/>
    </row>
    <row r="17" ht="20.25" customHeight="1" spans="1:41" x14ac:dyDescent="0.25">
      <c r="A17" s="70"/>
      <c r="B17" s="70"/>
      <c r="C17" s="70"/>
      <c r="D17" s="70"/>
      <c r="E17" s="70"/>
      <c r="F17" s="70"/>
      <c r="G17" s="70"/>
      <c r="H17" s="70"/>
      <c r="I17" s="70"/>
      <c r="J17" s="70"/>
      <c r="K17" s="70"/>
      <c r="L17" s="70"/>
      <c r="M17" s="70"/>
      <c r="N17" s="70"/>
      <c r="O17" s="70"/>
      <c r="P17" s="70"/>
      <c r="Q17" s="70"/>
      <c r="R17" s="70"/>
      <c r="S17" s="70"/>
      <c r="T17" s="70"/>
      <c r="U17" s="70"/>
      <c r="V17" s="83"/>
      <c r="W17" s="83"/>
      <c r="X17" s="83"/>
      <c r="Y17" s="83"/>
      <c r="Z17" s="83"/>
      <c r="AA17" s="83"/>
      <c r="AB17" s="83"/>
      <c r="AC17" s="83"/>
      <c r="AD17" s="83"/>
      <c r="AE17" s="83"/>
      <c r="AF17" s="83"/>
      <c r="AG17" s="83"/>
      <c r="AH17" s="83"/>
      <c r="AI17" s="83"/>
      <c r="AJ17" s="83"/>
      <c r="AK17" s="83"/>
      <c r="AL17" s="83"/>
      <c r="AM17" s="83"/>
      <c r="AN17" s="83"/>
      <c r="AO17" s="83"/>
    </row>
    <row r="18" ht="20.25" customHeight="1" spans="1:41" x14ac:dyDescent="0.25">
      <c r="A18" s="95" t="s">
        <v>123</v>
      </c>
      <c r="B18" s="95"/>
      <c r="C18" s="70"/>
      <c r="D18" s="70"/>
      <c r="E18" s="70"/>
      <c r="F18" s="70"/>
      <c r="G18" s="70"/>
      <c r="H18" s="70"/>
      <c r="I18" s="70"/>
      <c r="J18" s="70"/>
      <c r="K18" s="70"/>
      <c r="L18" s="70"/>
      <c r="M18" s="70"/>
      <c r="N18" s="70"/>
      <c r="O18" s="70"/>
      <c r="P18" s="70"/>
      <c r="Q18" s="70"/>
      <c r="R18" s="70"/>
      <c r="S18" s="70"/>
      <c r="T18" s="70"/>
      <c r="U18" s="70"/>
      <c r="V18" s="83"/>
      <c r="W18" s="83"/>
      <c r="X18" s="83"/>
      <c r="Y18" s="83"/>
      <c r="Z18" s="83"/>
      <c r="AA18" s="83"/>
      <c r="AB18" s="83"/>
      <c r="AC18" s="83"/>
      <c r="AD18" s="83"/>
      <c r="AE18" s="83"/>
      <c r="AF18" s="83"/>
      <c r="AG18" s="83"/>
      <c r="AH18" s="83"/>
      <c r="AI18" s="83"/>
      <c r="AJ18" s="83"/>
      <c r="AK18" s="83"/>
      <c r="AL18" s="83"/>
      <c r="AM18" s="83"/>
      <c r="AN18" s="83"/>
      <c r="AO18" s="83"/>
    </row>
    <row r="19" ht="20.25" customHeight="1" spans="1:41" x14ac:dyDescent="0.25">
      <c r="A19" s="88" t="s">
        <v>124</v>
      </c>
      <c r="B19" s="28"/>
      <c r="C19" s="28"/>
      <c r="D19" s="28"/>
      <c r="E19" s="80" t="s">
        <v>116</v>
      </c>
      <c r="F19" s="96" t="str">
        <f>初期入力!B15</f>
        <v>大阪府大阪市旭区新森</v>
      </c>
      <c r="G19" s="96"/>
      <c r="H19" s="96"/>
      <c r="I19" s="96"/>
      <c r="J19" s="96"/>
      <c r="K19" s="96"/>
      <c r="L19" s="96"/>
      <c r="M19" s="96"/>
      <c r="N19" s="96"/>
      <c r="O19" s="96"/>
      <c r="P19" s="96"/>
      <c r="Q19" s="96"/>
      <c r="R19" s="96"/>
      <c r="S19" s="96"/>
      <c r="T19" s="89"/>
      <c r="U19" s="70"/>
      <c r="V19" s="83"/>
      <c r="W19" s="83"/>
      <c r="X19" s="83"/>
      <c r="Y19" s="83"/>
      <c r="Z19" s="83"/>
      <c r="AA19" s="83"/>
      <c r="AB19" s="83"/>
      <c r="AC19" s="83"/>
      <c r="AD19" s="83"/>
      <c r="AE19" s="83"/>
      <c r="AF19" s="83"/>
      <c r="AG19" s="83"/>
      <c r="AH19" s="83"/>
      <c r="AI19" s="83"/>
      <c r="AJ19" s="83"/>
      <c r="AK19" s="83"/>
      <c r="AL19" s="83"/>
      <c r="AM19" s="83"/>
      <c r="AN19" s="83"/>
      <c r="AO19" s="83"/>
    </row>
    <row r="20" ht="20.25" customHeight="1" spans="1:41" x14ac:dyDescent="0.25">
      <c r="A20" s="90" t="s">
        <v>125</v>
      </c>
      <c r="B20" s="1"/>
      <c r="C20" s="1"/>
      <c r="D20" s="1"/>
      <c r="E20" s="70" t="s">
        <v>116</v>
      </c>
      <c r="F20" s="70" t="s">
        <v>126</v>
      </c>
      <c r="G20" s="70"/>
      <c r="H20" s="70"/>
      <c r="I20" s="70"/>
      <c r="J20" s="70"/>
      <c r="K20" s="70"/>
      <c r="L20" s="70"/>
      <c r="M20" s="70"/>
      <c r="N20" s="70"/>
      <c r="O20" s="70"/>
      <c r="P20" s="70"/>
      <c r="Q20" s="70"/>
      <c r="R20" s="70"/>
      <c r="S20" s="70"/>
      <c r="T20" s="91"/>
      <c r="U20" s="70"/>
      <c r="V20" s="83"/>
      <c r="W20" s="83"/>
      <c r="X20" s="83"/>
      <c r="Y20" s="83"/>
      <c r="Z20" s="83"/>
      <c r="AA20" s="83"/>
      <c r="AB20" s="83"/>
      <c r="AC20" s="83"/>
      <c r="AD20" s="83"/>
      <c r="AE20" s="83"/>
      <c r="AF20" s="83"/>
      <c r="AG20" s="83"/>
      <c r="AH20" s="83"/>
      <c r="AI20" s="83"/>
      <c r="AJ20" s="83"/>
      <c r="AK20" s="83"/>
      <c r="AL20" s="83"/>
      <c r="AM20" s="83"/>
      <c r="AN20" s="83"/>
      <c r="AO20" s="83"/>
    </row>
    <row r="21" ht="20.25" customHeight="1" spans="1:41" x14ac:dyDescent="0.25">
      <c r="A21" s="90" t="s">
        <v>127</v>
      </c>
      <c r="B21" s="1"/>
      <c r="C21" s="1"/>
      <c r="D21" s="1"/>
      <c r="E21" s="70" t="s">
        <v>116</v>
      </c>
      <c r="F21" s="70" t="s">
        <v>128</v>
      </c>
      <c r="G21" s="70"/>
      <c r="H21" s="70"/>
      <c r="I21" s="70"/>
      <c r="J21" s="70"/>
      <c r="K21" s="70"/>
      <c r="L21" s="70"/>
      <c r="M21" s="70"/>
      <c r="N21" s="70"/>
      <c r="O21" s="70"/>
      <c r="P21" s="70"/>
      <c r="Q21" s="70"/>
      <c r="R21" s="70"/>
      <c r="S21" s="70"/>
      <c r="T21" s="91"/>
      <c r="U21" s="70"/>
      <c r="V21" s="69"/>
      <c r="W21" s="69"/>
      <c r="X21" s="69"/>
      <c r="Y21" s="69"/>
      <c r="Z21" s="69"/>
      <c r="AA21" s="69"/>
      <c r="AB21" s="69"/>
      <c r="AC21" s="69"/>
      <c r="AD21" s="69"/>
      <c r="AE21" s="69"/>
      <c r="AF21" s="69"/>
      <c r="AG21" s="69"/>
      <c r="AH21" s="69"/>
      <c r="AI21" s="69"/>
      <c r="AJ21" s="69"/>
      <c r="AK21" s="69"/>
      <c r="AL21" s="69"/>
      <c r="AM21" s="69"/>
      <c r="AN21" s="69"/>
      <c r="AO21" s="69"/>
    </row>
    <row r="22" ht="20.25" customHeight="1" spans="1:41" x14ac:dyDescent="0.25">
      <c r="A22" s="97" t="s">
        <v>129</v>
      </c>
      <c r="B22" s="9"/>
      <c r="C22" s="9"/>
      <c r="D22" s="9"/>
      <c r="E22" s="77" t="s">
        <v>116</v>
      </c>
      <c r="F22" s="98" t="str">
        <f>初期入力!B16</f>
        <v>木造軸組工法</v>
      </c>
      <c r="G22" s="9"/>
      <c r="H22" s="9"/>
      <c r="I22" s="9"/>
      <c r="J22" s="99">
        <f>初期入力!B17</f>
        <v>2</v>
      </c>
      <c r="K22" s="99" t="s">
        <v>130</v>
      </c>
      <c r="L22" s="99"/>
      <c r="M22" s="98">
        <f>工事請負契約書!F111</f>
        <v>100.94999999999999</v>
      </c>
      <c r="N22" s="9"/>
      <c r="O22" s="77" t="s">
        <v>131</v>
      </c>
      <c r="P22" s="77"/>
      <c r="Q22" s="77"/>
      <c r="R22" s="77"/>
      <c r="S22" s="77"/>
      <c r="T22" s="94"/>
      <c r="U22" s="70"/>
      <c r="V22" s="69"/>
      <c r="W22" s="69"/>
      <c r="X22" s="69"/>
      <c r="Y22" s="69"/>
      <c r="Z22" s="69"/>
      <c r="AA22" s="69"/>
      <c r="AB22" s="69"/>
      <c r="AC22" s="69"/>
      <c r="AD22" s="69"/>
      <c r="AE22" s="69"/>
      <c r="AF22" s="69"/>
      <c r="AG22" s="69"/>
      <c r="AH22" s="69"/>
      <c r="AI22" s="69"/>
      <c r="AJ22" s="69"/>
      <c r="AK22" s="69"/>
      <c r="AL22" s="69"/>
      <c r="AM22" s="69"/>
      <c r="AN22" s="69"/>
      <c r="AO22" s="69"/>
    </row>
    <row r="23" ht="20.25" customHeight="1" spans="1:41" x14ac:dyDescent="0.25">
      <c r="A23" s="70"/>
      <c r="B23" s="70"/>
      <c r="C23" s="70"/>
      <c r="D23" s="70"/>
      <c r="E23" s="70"/>
      <c r="F23" s="70"/>
      <c r="G23" s="70"/>
      <c r="H23" s="70"/>
      <c r="I23" s="70"/>
      <c r="J23" s="70"/>
      <c r="K23" s="70"/>
      <c r="L23" s="70"/>
      <c r="M23" s="70"/>
      <c r="N23" s="70"/>
      <c r="O23" s="70"/>
      <c r="P23" s="70"/>
      <c r="Q23" s="70"/>
      <c r="R23" s="70"/>
      <c r="S23" s="70"/>
      <c r="T23" s="70"/>
      <c r="U23" s="70"/>
      <c r="V23" s="69"/>
      <c r="W23" s="69"/>
      <c r="X23" s="69"/>
      <c r="Y23" s="69"/>
      <c r="Z23" s="69"/>
      <c r="AA23" s="69"/>
      <c r="AB23" s="69"/>
      <c r="AC23" s="69"/>
      <c r="AD23" s="69"/>
      <c r="AE23" s="69"/>
      <c r="AF23" s="69"/>
      <c r="AG23" s="69"/>
      <c r="AH23" s="69"/>
      <c r="AI23" s="69"/>
      <c r="AJ23" s="69"/>
      <c r="AK23" s="69"/>
      <c r="AL23" s="69"/>
      <c r="AM23" s="69"/>
      <c r="AN23" s="69"/>
      <c r="AO23" s="69"/>
    </row>
    <row r="24" ht="20.25" customHeight="1" spans="1:41" x14ac:dyDescent="0.25">
      <c r="A24" s="95" t="s">
        <v>132</v>
      </c>
      <c r="B24" s="95"/>
      <c r="C24" s="70"/>
      <c r="D24" s="70"/>
      <c r="E24" s="70"/>
      <c r="F24" s="70"/>
      <c r="G24" s="70"/>
      <c r="H24" s="70"/>
      <c r="I24" s="70"/>
      <c r="J24" s="70"/>
      <c r="K24" s="70"/>
      <c r="L24" s="70"/>
      <c r="M24" s="70"/>
      <c r="N24" s="70"/>
      <c r="O24" s="70"/>
      <c r="P24" s="70"/>
      <c r="Q24" s="70"/>
      <c r="R24" s="70"/>
      <c r="S24" s="70"/>
      <c r="T24" s="70"/>
      <c r="U24" s="70"/>
      <c r="V24" s="69"/>
      <c r="W24" s="69"/>
      <c r="X24" s="69"/>
      <c r="Y24" s="69"/>
      <c r="Z24" s="69"/>
      <c r="AA24" s="69"/>
      <c r="AB24" s="69"/>
      <c r="AC24" s="69"/>
      <c r="AD24" s="69"/>
      <c r="AE24" s="69"/>
      <c r="AF24" s="69"/>
      <c r="AG24" s="69"/>
      <c r="AH24" s="69"/>
      <c r="AI24" s="69"/>
      <c r="AJ24" s="69"/>
      <c r="AK24" s="69"/>
      <c r="AL24" s="69"/>
      <c r="AM24" s="69"/>
      <c r="AN24" s="69"/>
      <c r="AO24" s="69"/>
    </row>
    <row r="25" ht="20.25" customHeight="1" spans="1:41" x14ac:dyDescent="0.25">
      <c r="A25" s="100" t="s">
        <v>133</v>
      </c>
      <c r="B25" s="101"/>
      <c r="C25" s="80"/>
      <c r="D25" s="80"/>
      <c r="E25" s="80"/>
      <c r="F25" s="80"/>
      <c r="G25" s="80"/>
      <c r="H25" s="80"/>
      <c r="I25" s="80"/>
      <c r="J25" s="80"/>
      <c r="K25" s="80"/>
      <c r="L25" s="80"/>
      <c r="M25" s="80"/>
      <c r="N25" s="80"/>
      <c r="O25" s="80"/>
      <c r="P25" s="80"/>
      <c r="Q25" s="80"/>
      <c r="R25" s="80"/>
      <c r="S25" s="80"/>
      <c r="T25" s="89"/>
      <c r="U25" s="70"/>
      <c r="V25" s="69"/>
      <c r="W25" s="69"/>
      <c r="X25" s="69"/>
      <c r="Y25" s="69"/>
      <c r="Z25" s="69"/>
      <c r="AA25" s="69"/>
      <c r="AB25" s="69"/>
      <c r="AC25" s="69"/>
      <c r="AD25" s="69"/>
      <c r="AE25" s="69"/>
      <c r="AF25" s="69"/>
      <c r="AG25" s="69"/>
      <c r="AH25" s="69"/>
      <c r="AI25" s="69"/>
      <c r="AJ25" s="69"/>
      <c r="AK25" s="69"/>
      <c r="AL25" s="69"/>
      <c r="AM25" s="69"/>
      <c r="AN25" s="69"/>
      <c r="AO25" s="69"/>
    </row>
    <row r="26" ht="20.25" customHeight="1" spans="1:41" x14ac:dyDescent="0.25">
      <c r="A26" s="92"/>
      <c r="B26" s="70"/>
      <c r="C26" s="70"/>
      <c r="D26" s="70"/>
      <c r="E26" s="70"/>
      <c r="F26" s="70"/>
      <c r="G26" s="70"/>
      <c r="H26" s="70"/>
      <c r="I26" s="70"/>
      <c r="J26" s="70"/>
      <c r="K26" s="70"/>
      <c r="L26" s="70"/>
      <c r="M26" s="70"/>
      <c r="N26" s="70"/>
      <c r="O26" s="70"/>
      <c r="P26" s="70"/>
      <c r="Q26" s="70"/>
      <c r="R26" s="70"/>
      <c r="S26" s="70"/>
      <c r="T26" s="91"/>
      <c r="U26" s="70"/>
      <c r="V26" s="69"/>
      <c r="W26" s="69"/>
      <c r="X26" s="69"/>
      <c r="Y26" s="69"/>
      <c r="Z26" s="69"/>
      <c r="AA26" s="69"/>
      <c r="AB26" s="69"/>
      <c r="AC26" s="69"/>
      <c r="AD26" s="69"/>
      <c r="AE26" s="69"/>
      <c r="AF26" s="69"/>
      <c r="AG26" s="69"/>
      <c r="AH26" s="69"/>
      <c r="AI26" s="69"/>
      <c r="AJ26" s="69"/>
      <c r="AK26" s="69"/>
      <c r="AL26" s="69"/>
      <c r="AM26" s="69"/>
      <c r="AN26" s="69"/>
      <c r="AO26" s="69"/>
    </row>
    <row r="27" ht="20.25" customHeight="1" spans="1:41" x14ac:dyDescent="0.25">
      <c r="A27" s="92"/>
      <c r="B27" s="70"/>
      <c r="C27" s="70"/>
      <c r="D27" s="70"/>
      <c r="E27" s="70"/>
      <c r="F27" s="70"/>
      <c r="G27" s="70"/>
      <c r="H27" s="70"/>
      <c r="I27" s="70"/>
      <c r="J27" s="70"/>
      <c r="K27" s="70"/>
      <c r="L27" s="70"/>
      <c r="M27" s="70"/>
      <c r="N27" s="70"/>
      <c r="O27" s="70"/>
      <c r="P27" s="70"/>
      <c r="Q27" s="70"/>
      <c r="R27" s="70"/>
      <c r="S27" s="70"/>
      <c r="T27" s="91"/>
      <c r="U27" s="70"/>
      <c r="V27" s="69"/>
      <c r="W27" s="69"/>
      <c r="X27" s="69"/>
      <c r="Y27" s="69"/>
      <c r="Z27" s="69"/>
      <c r="AA27" s="69"/>
      <c r="AB27" s="69"/>
      <c r="AC27" s="69"/>
      <c r="AD27" s="69"/>
      <c r="AE27" s="69"/>
      <c r="AF27" s="69"/>
      <c r="AG27" s="69"/>
      <c r="AH27" s="69"/>
      <c r="AI27" s="69"/>
      <c r="AJ27" s="69"/>
      <c r="AK27" s="69"/>
      <c r="AL27" s="69"/>
      <c r="AM27" s="69"/>
      <c r="AN27" s="69"/>
      <c r="AO27" s="69"/>
    </row>
    <row r="28" ht="20.25" customHeight="1" spans="1:41" x14ac:dyDescent="0.25">
      <c r="A28" s="92"/>
      <c r="B28" s="70"/>
      <c r="C28" s="70"/>
      <c r="D28" s="70"/>
      <c r="E28" s="70"/>
      <c r="F28" s="70"/>
      <c r="G28" s="70"/>
      <c r="H28" s="70"/>
      <c r="I28" s="70"/>
      <c r="J28" s="70"/>
      <c r="K28" s="70"/>
      <c r="L28" s="70"/>
      <c r="M28" s="70"/>
      <c r="N28" s="70"/>
      <c r="O28" s="70"/>
      <c r="P28" s="70"/>
      <c r="Q28" s="70"/>
      <c r="R28" s="70"/>
      <c r="S28" s="70"/>
      <c r="T28" s="91"/>
      <c r="U28" s="70"/>
      <c r="V28" s="69"/>
      <c r="W28" s="69"/>
      <c r="X28" s="69"/>
      <c r="Y28" s="69"/>
      <c r="Z28" s="69"/>
      <c r="AA28" s="69"/>
      <c r="AB28" s="69"/>
      <c r="AC28" s="69"/>
      <c r="AD28" s="69"/>
      <c r="AE28" s="69"/>
      <c r="AF28" s="69"/>
      <c r="AG28" s="69"/>
      <c r="AH28" s="69"/>
      <c r="AI28" s="69"/>
      <c r="AJ28" s="69"/>
      <c r="AK28" s="69"/>
      <c r="AL28" s="69"/>
      <c r="AM28" s="69"/>
      <c r="AN28" s="69"/>
      <c r="AO28" s="69"/>
    </row>
    <row r="29" ht="20.25" customHeight="1" spans="1:41" x14ac:dyDescent="0.25">
      <c r="A29" s="92"/>
      <c r="B29" s="70"/>
      <c r="C29" s="70"/>
      <c r="D29" s="70"/>
      <c r="E29" s="70"/>
      <c r="F29" s="70"/>
      <c r="G29" s="70"/>
      <c r="H29" s="70"/>
      <c r="I29" s="70"/>
      <c r="J29" s="70"/>
      <c r="K29" s="70"/>
      <c r="L29" s="70"/>
      <c r="M29" s="70"/>
      <c r="N29" s="70"/>
      <c r="O29" s="70"/>
      <c r="P29" s="70"/>
      <c r="Q29" s="70"/>
      <c r="R29" s="70"/>
      <c r="S29" s="70"/>
      <c r="T29" s="91"/>
      <c r="U29" s="70"/>
      <c r="V29" s="69"/>
      <c r="W29" s="69"/>
      <c r="X29" s="69"/>
      <c r="Y29" s="69"/>
      <c r="Z29" s="69"/>
      <c r="AA29" s="69"/>
      <c r="AB29" s="69"/>
      <c r="AC29" s="69"/>
      <c r="AD29" s="69"/>
      <c r="AE29" s="69"/>
      <c r="AF29" s="69"/>
      <c r="AG29" s="69"/>
      <c r="AH29" s="69"/>
      <c r="AI29" s="69"/>
      <c r="AJ29" s="69"/>
      <c r="AK29" s="69"/>
      <c r="AL29" s="69"/>
      <c r="AM29" s="69"/>
      <c r="AN29" s="69"/>
      <c r="AO29" s="69"/>
    </row>
    <row r="30" ht="20.25" customHeight="1" spans="1:41" x14ac:dyDescent="0.25">
      <c r="A30" s="93"/>
      <c r="B30" s="77"/>
      <c r="C30" s="77"/>
      <c r="D30" s="77"/>
      <c r="E30" s="77"/>
      <c r="F30" s="77"/>
      <c r="G30" s="77"/>
      <c r="H30" s="77"/>
      <c r="I30" s="77"/>
      <c r="J30" s="77"/>
      <c r="K30" s="77"/>
      <c r="L30" s="77"/>
      <c r="M30" s="77"/>
      <c r="N30" s="77"/>
      <c r="O30" s="77"/>
      <c r="P30" s="77"/>
      <c r="Q30" s="77"/>
      <c r="R30" s="77"/>
      <c r="S30" s="77"/>
      <c r="T30" s="94"/>
      <c r="U30" s="70"/>
      <c r="V30" s="69"/>
      <c r="W30" s="69"/>
      <c r="X30" s="69"/>
      <c r="Y30" s="69"/>
      <c r="Z30" s="69"/>
      <c r="AA30" s="69"/>
      <c r="AB30" s="69"/>
      <c r="AC30" s="69"/>
      <c r="AD30" s="69"/>
      <c r="AE30" s="69"/>
      <c r="AF30" s="69"/>
      <c r="AG30" s="69"/>
      <c r="AH30" s="69"/>
      <c r="AI30" s="69"/>
      <c r="AJ30" s="69"/>
      <c r="AK30" s="69"/>
      <c r="AL30" s="69"/>
      <c r="AM30" s="69"/>
      <c r="AN30" s="69"/>
      <c r="AO30" s="69"/>
    </row>
    <row r="31" ht="20.25" customHeight="1" spans="1:41" x14ac:dyDescent="0.25">
      <c r="A31" s="70"/>
      <c r="B31" s="70"/>
      <c r="C31" s="70"/>
      <c r="D31" s="70"/>
      <c r="E31" s="70"/>
      <c r="F31" s="70"/>
      <c r="G31" s="70"/>
      <c r="H31" s="70"/>
      <c r="I31" s="70"/>
      <c r="J31" s="70"/>
      <c r="K31" s="70"/>
      <c r="L31" s="70"/>
      <c r="M31" s="70"/>
      <c r="N31" s="70"/>
      <c r="O31" s="70"/>
      <c r="P31" s="70"/>
      <c r="Q31" s="70"/>
      <c r="R31" s="70"/>
      <c r="S31" s="70"/>
      <c r="T31" s="70"/>
      <c r="U31" s="70"/>
      <c r="V31" s="69"/>
      <c r="W31" s="69"/>
      <c r="X31" s="69"/>
      <c r="Y31" s="69"/>
      <c r="Z31" s="69"/>
      <c r="AA31" s="69"/>
      <c r="AB31" s="69"/>
      <c r="AC31" s="69"/>
      <c r="AD31" s="69"/>
      <c r="AE31" s="69"/>
      <c r="AF31" s="69"/>
      <c r="AG31" s="69"/>
      <c r="AH31" s="69"/>
      <c r="AI31" s="69"/>
      <c r="AJ31" s="69"/>
      <c r="AK31" s="69"/>
      <c r="AL31" s="69"/>
      <c r="AM31" s="69"/>
      <c r="AN31" s="69"/>
      <c r="AO31" s="69"/>
    </row>
    <row r="32" ht="20.25" customHeight="1" spans="1:41" x14ac:dyDescent="0.25">
      <c r="A32" s="95" t="s">
        <v>134</v>
      </c>
      <c r="B32" s="95"/>
      <c r="C32" s="70"/>
      <c r="D32" s="70"/>
      <c r="E32" s="70"/>
      <c r="F32" s="70"/>
      <c r="G32" s="70"/>
      <c r="H32" s="70"/>
      <c r="I32" s="70"/>
      <c r="J32" s="70"/>
      <c r="K32" s="70"/>
      <c r="L32" s="70"/>
      <c r="M32" s="70"/>
      <c r="N32" s="70"/>
      <c r="O32" s="70"/>
      <c r="P32" s="70"/>
      <c r="Q32" s="70"/>
      <c r="R32" s="70"/>
      <c r="S32" s="70"/>
      <c r="T32" s="70"/>
      <c r="U32" s="70"/>
      <c r="V32" s="69"/>
      <c r="W32" s="69"/>
      <c r="X32" s="69"/>
      <c r="Y32" s="69"/>
      <c r="Z32" s="69"/>
      <c r="AA32" s="69"/>
      <c r="AB32" s="69"/>
      <c r="AC32" s="69"/>
      <c r="AD32" s="69"/>
      <c r="AE32" s="69"/>
      <c r="AF32" s="69"/>
      <c r="AG32" s="69"/>
      <c r="AH32" s="69"/>
      <c r="AI32" s="69"/>
      <c r="AJ32" s="69"/>
      <c r="AK32" s="69"/>
      <c r="AL32" s="69"/>
      <c r="AM32" s="69"/>
      <c r="AN32" s="69"/>
      <c r="AO32" s="69"/>
    </row>
    <row r="33" ht="20.25" customHeight="1" spans="1:41" x14ac:dyDescent="0.25">
      <c r="A33" s="95"/>
      <c r="B33" s="95"/>
      <c r="C33" s="95" t="s">
        <v>135</v>
      </c>
      <c r="D33" s="70"/>
      <c r="E33" s="70"/>
      <c r="F33" s="70"/>
      <c r="G33" s="70"/>
      <c r="H33" s="70"/>
      <c r="I33" s="70"/>
      <c r="J33" s="70"/>
      <c r="K33" s="70"/>
      <c r="L33" s="70"/>
      <c r="M33" s="70"/>
      <c r="N33" s="70"/>
      <c r="O33" s="70"/>
      <c r="P33" s="70"/>
      <c r="Q33" s="70"/>
      <c r="R33" s="70"/>
      <c r="S33" s="70"/>
      <c r="T33" s="70"/>
      <c r="U33" s="70"/>
      <c r="V33" s="69"/>
      <c r="W33" s="69"/>
      <c r="X33" s="69"/>
      <c r="Y33" s="69"/>
      <c r="Z33" s="69"/>
      <c r="AA33" s="69"/>
      <c r="AB33" s="69"/>
      <c r="AC33" s="69"/>
      <c r="AD33" s="69"/>
      <c r="AE33" s="69"/>
      <c r="AF33" s="69"/>
      <c r="AG33" s="69"/>
      <c r="AH33" s="69"/>
      <c r="AI33" s="69"/>
      <c r="AJ33" s="69"/>
      <c r="AK33" s="69"/>
      <c r="AL33" s="69"/>
      <c r="AM33" s="69"/>
      <c r="AN33" s="69"/>
      <c r="AO33" s="69"/>
    </row>
    <row r="34" ht="20.25" customHeight="1" spans="1:41" x14ac:dyDescent="0.25">
      <c r="A34" s="102" t="s">
        <v>136</v>
      </c>
      <c r="B34" s="103"/>
      <c r="C34" s="80"/>
      <c r="D34" s="80"/>
      <c r="E34" s="80"/>
      <c r="F34" s="80"/>
      <c r="G34" s="80"/>
      <c r="H34" s="80"/>
      <c r="I34" s="80"/>
      <c r="J34" s="80"/>
      <c r="K34" s="80"/>
      <c r="L34" s="80"/>
      <c r="M34" s="80"/>
      <c r="N34" s="80"/>
      <c r="O34" s="80"/>
      <c r="P34" s="80"/>
      <c r="Q34" s="80"/>
      <c r="R34" s="80"/>
      <c r="S34" s="80"/>
      <c r="T34" s="89"/>
      <c r="U34" s="70"/>
      <c r="V34" s="69"/>
      <c r="W34" s="69"/>
      <c r="X34" s="69"/>
      <c r="Y34" s="69"/>
      <c r="Z34" s="69"/>
      <c r="AA34" s="69"/>
      <c r="AB34" s="69"/>
      <c r="AC34" s="69"/>
      <c r="AD34" s="69"/>
      <c r="AE34" s="69"/>
      <c r="AF34" s="69"/>
      <c r="AG34" s="69"/>
      <c r="AH34" s="69"/>
      <c r="AI34" s="69"/>
      <c r="AJ34" s="69"/>
      <c r="AK34" s="69"/>
      <c r="AL34" s="69"/>
      <c r="AM34" s="69"/>
      <c r="AN34" s="69"/>
      <c r="AO34" s="69"/>
    </row>
    <row r="35" ht="20.25" customHeight="1" spans="1:41" x14ac:dyDescent="0.25">
      <c r="A35" s="104" t="s">
        <v>137</v>
      </c>
      <c r="B35" s="23"/>
      <c r="C35" s="70"/>
      <c r="D35" s="70"/>
      <c r="E35" s="70"/>
      <c r="F35" s="70"/>
      <c r="G35" s="70"/>
      <c r="H35" s="70"/>
      <c r="I35" s="70"/>
      <c r="J35" s="70"/>
      <c r="K35" s="70"/>
      <c r="L35" s="70"/>
      <c r="M35" s="70"/>
      <c r="N35" s="70"/>
      <c r="O35" s="70"/>
      <c r="P35" s="70"/>
      <c r="Q35" s="70"/>
      <c r="R35" s="70"/>
      <c r="S35" s="70"/>
      <c r="T35" s="91"/>
      <c r="U35" s="70"/>
      <c r="V35" s="69"/>
      <c r="W35" s="69"/>
      <c r="X35" s="69"/>
      <c r="Y35" s="69"/>
      <c r="Z35" s="69"/>
      <c r="AA35" s="69"/>
      <c r="AB35" s="69"/>
      <c r="AC35" s="69"/>
      <c r="AD35" s="69"/>
      <c r="AE35" s="69"/>
      <c r="AF35" s="69"/>
      <c r="AG35" s="69"/>
      <c r="AH35" s="69"/>
      <c r="AI35" s="69"/>
      <c r="AJ35" s="69"/>
      <c r="AK35" s="69"/>
      <c r="AL35" s="69"/>
      <c r="AM35" s="69"/>
      <c r="AN35" s="69"/>
      <c r="AO35" s="69"/>
    </row>
    <row r="36" ht="20.25" customHeight="1" spans="1:41" x14ac:dyDescent="0.25">
      <c r="A36" s="104" t="s">
        <v>138</v>
      </c>
      <c r="B36" s="23"/>
      <c r="C36" s="105" t="str">
        <f>IF(J22=2,"1回","2回")</f>
        <v>1回</v>
      </c>
      <c r="D36" s="23" t="s">
        <v>139</v>
      </c>
      <c r="E36" s="23"/>
      <c r="F36" s="105" t="s">
        <v>140</v>
      </c>
      <c r="G36" s="23" t="s">
        <v>141</v>
      </c>
      <c r="H36" s="23"/>
      <c r="I36" s="105" t="str">
        <f>IF(J22=2,"2回","3回")</f>
        <v>2回</v>
      </c>
      <c r="J36" s="23" t="s">
        <v>142</v>
      </c>
      <c r="K36" s="23"/>
      <c r="L36" s="23"/>
      <c r="M36" s="70"/>
      <c r="N36" s="70"/>
      <c r="O36" s="70"/>
      <c r="P36" s="70"/>
      <c r="Q36" s="70"/>
      <c r="R36" s="70"/>
      <c r="S36" s="70"/>
      <c r="T36" s="91"/>
      <c r="U36" s="70"/>
      <c r="V36" s="69"/>
      <c r="W36" s="69"/>
      <c r="X36" s="69"/>
      <c r="Y36" s="69"/>
      <c r="Z36" s="69"/>
      <c r="AA36" s="69"/>
      <c r="AB36" s="69"/>
      <c r="AC36" s="69"/>
      <c r="AD36" s="69"/>
      <c r="AE36" s="69"/>
      <c r="AF36" s="69"/>
      <c r="AG36" s="69"/>
      <c r="AH36" s="69"/>
      <c r="AI36" s="69"/>
      <c r="AJ36" s="69"/>
      <c r="AK36" s="69"/>
      <c r="AL36" s="69"/>
      <c r="AM36" s="69"/>
      <c r="AN36" s="69"/>
      <c r="AO36" s="69"/>
    </row>
    <row r="37" ht="20.25" customHeight="1" spans="1:41" x14ac:dyDescent="0.25">
      <c r="A37" s="104" t="s">
        <v>143</v>
      </c>
      <c r="B37" s="23"/>
      <c r="C37" s="70"/>
      <c r="D37" s="70"/>
      <c r="E37" s="70"/>
      <c r="F37" s="70"/>
      <c r="G37" s="70"/>
      <c r="H37" s="70"/>
      <c r="I37" s="70"/>
      <c r="J37" s="70"/>
      <c r="K37" s="70"/>
      <c r="L37" s="70"/>
      <c r="M37" s="70"/>
      <c r="N37" s="70"/>
      <c r="O37" s="70"/>
      <c r="P37" s="70"/>
      <c r="Q37" s="70"/>
      <c r="R37" s="70"/>
      <c r="S37" s="70"/>
      <c r="T37" s="91"/>
      <c r="U37" s="70"/>
      <c r="V37" s="69"/>
      <c r="W37" s="69"/>
      <c r="X37" s="69"/>
      <c r="Y37" s="69"/>
      <c r="Z37" s="69"/>
      <c r="AA37" s="69"/>
      <c r="AB37" s="69"/>
      <c r="AC37" s="69"/>
      <c r="AD37" s="69"/>
      <c r="AE37" s="69"/>
      <c r="AF37" s="69"/>
      <c r="AG37" s="69"/>
      <c r="AH37" s="69"/>
      <c r="AI37" s="69"/>
      <c r="AJ37" s="69"/>
      <c r="AK37" s="69"/>
      <c r="AL37" s="69"/>
      <c r="AM37" s="69"/>
      <c r="AN37" s="69"/>
      <c r="AO37" s="69"/>
    </row>
    <row r="38" ht="20.25" customHeight="1" spans="1:41" x14ac:dyDescent="0.25">
      <c r="A38" s="104" t="s">
        <v>144</v>
      </c>
      <c r="B38" s="23"/>
      <c r="C38" s="70"/>
      <c r="D38" s="70"/>
      <c r="E38" s="70"/>
      <c r="F38" s="70"/>
      <c r="G38" s="70"/>
      <c r="H38" s="70"/>
      <c r="I38" s="70"/>
      <c r="J38" s="70"/>
      <c r="K38" s="70"/>
      <c r="L38" s="70"/>
      <c r="M38" s="70"/>
      <c r="N38" s="70"/>
      <c r="O38" s="70"/>
      <c r="P38" s="70"/>
      <c r="Q38" s="70"/>
      <c r="R38" s="70"/>
      <c r="S38" s="70"/>
      <c r="T38" s="91"/>
      <c r="U38" s="70"/>
      <c r="V38" s="69"/>
      <c r="W38" s="69"/>
      <c r="X38" s="69"/>
      <c r="Y38" s="69"/>
      <c r="Z38" s="69"/>
      <c r="AA38" s="69"/>
      <c r="AB38" s="69"/>
      <c r="AC38" s="69"/>
      <c r="AD38" s="69"/>
      <c r="AE38" s="69"/>
      <c r="AF38" s="69"/>
      <c r="AG38" s="69"/>
      <c r="AH38" s="69"/>
      <c r="AI38" s="69"/>
      <c r="AJ38" s="69"/>
      <c r="AK38" s="69"/>
      <c r="AL38" s="69"/>
      <c r="AM38" s="69"/>
      <c r="AN38" s="69"/>
      <c r="AO38" s="69"/>
    </row>
    <row r="39" ht="20.25" customHeight="1" spans="1:41" x14ac:dyDescent="0.25">
      <c r="A39" s="106" t="s">
        <v>145</v>
      </c>
      <c r="B39" s="107"/>
      <c r="C39" s="77"/>
      <c r="D39" s="77"/>
      <c r="E39" s="77"/>
      <c r="F39" s="77"/>
      <c r="G39" s="77"/>
      <c r="H39" s="77"/>
      <c r="I39" s="77"/>
      <c r="J39" s="77"/>
      <c r="K39" s="77"/>
      <c r="L39" s="77"/>
      <c r="M39" s="77"/>
      <c r="N39" s="77"/>
      <c r="O39" s="77"/>
      <c r="P39" s="77"/>
      <c r="Q39" s="77"/>
      <c r="R39" s="77"/>
      <c r="S39" s="77"/>
      <c r="T39" s="94"/>
      <c r="U39" s="70"/>
      <c r="V39" s="69"/>
      <c r="W39" s="69"/>
      <c r="X39" s="69"/>
      <c r="Y39" s="69"/>
      <c r="Z39" s="69"/>
      <c r="AA39" s="69"/>
      <c r="AB39" s="69"/>
      <c r="AC39" s="69"/>
      <c r="AD39" s="69"/>
      <c r="AE39" s="69"/>
      <c r="AF39" s="69"/>
      <c r="AG39" s="69"/>
      <c r="AH39" s="69"/>
      <c r="AI39" s="69"/>
      <c r="AJ39" s="69"/>
      <c r="AK39" s="69"/>
      <c r="AL39" s="69"/>
      <c r="AM39" s="69"/>
      <c r="AN39" s="69"/>
      <c r="AO39" s="69"/>
    </row>
    <row r="40" ht="20.25" customHeight="1" spans="1:41" x14ac:dyDescent="0.25">
      <c r="A40" s="70"/>
      <c r="B40" s="70"/>
      <c r="C40" s="70"/>
      <c r="D40" s="70"/>
      <c r="E40" s="70"/>
      <c r="F40" s="70"/>
      <c r="G40" s="70"/>
      <c r="H40" s="70"/>
      <c r="I40" s="70"/>
      <c r="J40" s="70"/>
      <c r="K40" s="70"/>
      <c r="L40" s="70"/>
      <c r="M40" s="70"/>
      <c r="N40" s="70"/>
      <c r="O40" s="70"/>
      <c r="P40" s="70"/>
      <c r="Q40" s="70"/>
      <c r="R40" s="70"/>
      <c r="S40" s="70"/>
      <c r="T40" s="70"/>
      <c r="U40" s="70"/>
      <c r="V40" s="69"/>
      <c r="W40" s="69"/>
      <c r="X40" s="69"/>
      <c r="Y40" s="69"/>
      <c r="Z40" s="69"/>
      <c r="AA40" s="69"/>
      <c r="AB40" s="69"/>
      <c r="AC40" s="69"/>
      <c r="AD40" s="69"/>
      <c r="AE40" s="69"/>
      <c r="AF40" s="69"/>
      <c r="AG40" s="69"/>
      <c r="AH40" s="69"/>
      <c r="AI40" s="69"/>
      <c r="AJ40" s="69"/>
      <c r="AK40" s="69"/>
      <c r="AL40" s="69"/>
      <c r="AM40" s="69"/>
      <c r="AN40" s="69"/>
      <c r="AO40" s="69"/>
    </row>
    <row r="41" ht="20.25" customHeight="1" spans="1:41" x14ac:dyDescent="0.25">
      <c r="A41" s="70"/>
      <c r="B41" s="70"/>
      <c r="C41" s="70"/>
      <c r="D41" s="70"/>
      <c r="E41" s="70"/>
      <c r="F41" s="70"/>
      <c r="G41" s="70"/>
      <c r="H41" s="70"/>
      <c r="I41" s="70"/>
      <c r="J41" s="70"/>
      <c r="K41" s="70"/>
      <c r="L41" s="70"/>
      <c r="M41" s="70"/>
      <c r="N41" s="70"/>
      <c r="O41" s="70"/>
      <c r="P41" s="70"/>
      <c r="Q41" s="70"/>
      <c r="R41" s="70"/>
      <c r="S41" s="70"/>
      <c r="T41" s="70"/>
      <c r="U41" s="70"/>
      <c r="V41" s="69"/>
      <c r="W41" s="69"/>
      <c r="X41" s="69"/>
      <c r="Y41" s="69"/>
      <c r="Z41" s="69"/>
      <c r="AA41" s="69"/>
      <c r="AB41" s="69"/>
      <c r="AC41" s="69"/>
      <c r="AD41" s="69"/>
      <c r="AE41" s="69"/>
      <c r="AF41" s="69"/>
      <c r="AG41" s="69"/>
      <c r="AH41" s="69"/>
      <c r="AI41" s="69"/>
      <c r="AJ41" s="69"/>
      <c r="AK41" s="69"/>
      <c r="AL41" s="69"/>
      <c r="AM41" s="69"/>
      <c r="AN41" s="69"/>
      <c r="AO41" s="69"/>
    </row>
    <row r="42" ht="20.25" customHeight="1" spans="1:41" x14ac:dyDescent="0.25">
      <c r="A42" s="95" t="s">
        <v>146</v>
      </c>
      <c r="B42" s="95"/>
      <c r="C42" s="70"/>
      <c r="D42" s="70"/>
      <c r="E42" s="70"/>
      <c r="F42" s="70"/>
      <c r="G42" s="70"/>
      <c r="H42" s="70"/>
      <c r="I42" s="70"/>
      <c r="J42" s="70"/>
      <c r="K42" s="70"/>
      <c r="L42" s="70"/>
      <c r="M42" s="70"/>
      <c r="N42" s="70"/>
      <c r="O42" s="70"/>
      <c r="P42" s="70"/>
      <c r="Q42" s="70"/>
      <c r="R42" s="70"/>
      <c r="S42" s="70"/>
      <c r="T42" s="70"/>
      <c r="U42" s="70"/>
      <c r="V42" s="69"/>
      <c r="W42" s="69" t="s">
        <v>147</v>
      </c>
      <c r="X42" s="69"/>
      <c r="Y42" s="69"/>
      <c r="Z42" s="69"/>
      <c r="AA42" s="69"/>
      <c r="AB42" s="69"/>
      <c r="AC42" s="69"/>
      <c r="AD42" s="69"/>
      <c r="AE42" s="69"/>
      <c r="AF42" s="69"/>
      <c r="AG42" s="69"/>
      <c r="AH42" s="69"/>
      <c r="AI42" s="69"/>
      <c r="AJ42" s="69"/>
      <c r="AK42" s="69"/>
      <c r="AL42" s="69"/>
      <c r="AM42" s="69"/>
      <c r="AN42" s="69"/>
      <c r="AO42" s="69"/>
    </row>
    <row r="43" ht="20.25" customHeight="1" spans="1:41" x14ac:dyDescent="0.25">
      <c r="A43" s="70" t="s">
        <v>148</v>
      </c>
      <c r="B43" s="70"/>
      <c r="C43" s="70"/>
      <c r="D43" s="70"/>
      <c r="E43" s="70"/>
      <c r="F43" s="70"/>
      <c r="G43" s="70"/>
      <c r="H43" s="70"/>
      <c r="I43" s="70"/>
      <c r="J43" s="70" t="s">
        <v>149</v>
      </c>
      <c r="K43" s="70"/>
      <c r="L43" s="70"/>
      <c r="M43" s="70"/>
      <c r="N43" s="70"/>
      <c r="O43" s="70"/>
      <c r="P43" s="70"/>
      <c r="Q43" s="70"/>
      <c r="R43" s="70"/>
      <c r="S43" s="70"/>
      <c r="T43" s="70"/>
      <c r="U43" s="70"/>
      <c r="V43" s="69"/>
      <c r="W43" s="69" t="s">
        <v>150</v>
      </c>
      <c r="X43" s="69"/>
      <c r="Y43" s="69"/>
      <c r="Z43" s="69"/>
      <c r="AA43" s="69"/>
      <c r="AB43" s="69"/>
      <c r="AC43" s="69"/>
      <c r="AD43" s="69"/>
      <c r="AE43" s="69"/>
      <c r="AF43" s="69"/>
      <c r="AG43" s="69"/>
      <c r="AH43" s="69"/>
      <c r="AI43" s="69"/>
      <c r="AJ43" s="69"/>
      <c r="AK43" s="69"/>
      <c r="AL43" s="69"/>
      <c r="AM43" s="69"/>
      <c r="AN43" s="69"/>
      <c r="AO43" s="69"/>
    </row>
    <row r="44" ht="20.25" customHeight="1" spans="1:41" x14ac:dyDescent="0.25">
      <c r="A44" s="70" t="s">
        <v>151</v>
      </c>
      <c r="B44" s="70"/>
      <c r="C44" s="70"/>
      <c r="D44" s="70"/>
      <c r="E44" s="70"/>
      <c r="F44" s="70"/>
      <c r="G44" s="70"/>
      <c r="H44" s="70"/>
      <c r="I44" s="70"/>
      <c r="J44" s="70"/>
      <c r="K44" s="70"/>
      <c r="L44" s="70"/>
      <c r="M44" s="70"/>
      <c r="N44" s="70"/>
      <c r="O44" s="70"/>
      <c r="P44" s="70"/>
      <c r="Q44" s="70"/>
      <c r="R44" s="70"/>
      <c r="S44" s="70"/>
      <c r="T44" s="70"/>
      <c r="U44" s="70"/>
      <c r="V44" s="69"/>
      <c r="W44" s="69" t="s">
        <v>152</v>
      </c>
      <c r="X44" s="69"/>
      <c r="Y44" s="69"/>
      <c r="Z44" s="69"/>
      <c r="AA44" s="69"/>
      <c r="AB44" s="69"/>
      <c r="AC44" s="69"/>
      <c r="AD44" s="69"/>
      <c r="AE44" s="69"/>
      <c r="AF44" s="69"/>
      <c r="AG44" s="69"/>
      <c r="AH44" s="69"/>
      <c r="AI44" s="69"/>
      <c r="AJ44" s="69"/>
      <c r="AK44" s="69"/>
      <c r="AL44" s="69"/>
      <c r="AM44" s="69"/>
      <c r="AN44" s="69"/>
      <c r="AO44" s="69"/>
    </row>
    <row r="45" ht="20.25" customHeight="1" spans="1:41" x14ac:dyDescent="0.25">
      <c r="A45" s="108" t="s">
        <v>153</v>
      </c>
      <c r="B45" s="1"/>
      <c r="C45" s="1"/>
      <c r="D45" s="1"/>
      <c r="E45" s="1"/>
      <c r="F45" s="1"/>
      <c r="G45" s="70" t="s">
        <v>116</v>
      </c>
      <c r="H45" s="70" t="s">
        <v>147</v>
      </c>
      <c r="I45" s="70"/>
      <c r="J45" s="70"/>
      <c r="K45" s="70"/>
      <c r="L45" s="70"/>
      <c r="M45" s="70"/>
      <c r="N45" s="70"/>
      <c r="O45" s="70"/>
      <c r="P45" s="70"/>
      <c r="Q45" s="70"/>
      <c r="R45" s="70"/>
      <c r="S45" s="70"/>
      <c r="T45" s="70"/>
      <c r="U45" s="70"/>
      <c r="V45" s="69"/>
      <c r="W45" s="69" t="s">
        <v>154</v>
      </c>
      <c r="X45" s="69"/>
      <c r="Y45" s="69"/>
      <c r="Z45" s="69"/>
      <c r="AA45" s="69"/>
      <c r="AB45" s="69"/>
      <c r="AC45" s="69"/>
      <c r="AD45" s="69"/>
      <c r="AE45" s="69"/>
      <c r="AF45" s="69"/>
      <c r="AG45" s="69"/>
      <c r="AH45" s="69"/>
      <c r="AI45" s="69"/>
      <c r="AJ45" s="69"/>
      <c r="AK45" s="69"/>
      <c r="AL45" s="69"/>
      <c r="AM45" s="69"/>
      <c r="AN45" s="69"/>
      <c r="AO45" s="69"/>
    </row>
    <row r="46" ht="20.25" customHeight="1" spans="1:41" x14ac:dyDescent="0.25">
      <c r="A46" s="108" t="s">
        <v>115</v>
      </c>
      <c r="B46" s="1"/>
      <c r="C46" s="1"/>
      <c r="D46" s="1"/>
      <c r="E46" s="1"/>
      <c r="F46" s="1"/>
      <c r="G46" s="70" t="s">
        <v>116</v>
      </c>
      <c r="H46" s="70" t="s">
        <v>150</v>
      </c>
      <c r="I46" s="70"/>
      <c r="J46" s="70"/>
      <c r="K46" s="70"/>
      <c r="L46" s="70"/>
      <c r="M46" s="70"/>
      <c r="N46" s="70"/>
      <c r="O46" s="70"/>
      <c r="P46" s="70"/>
      <c r="Q46" s="70"/>
      <c r="R46" s="70"/>
      <c r="S46" s="70"/>
      <c r="T46" s="70"/>
      <c r="U46" s="70"/>
      <c r="V46" s="69"/>
      <c r="W46" s="69"/>
      <c r="X46" s="69"/>
      <c r="Y46" s="69"/>
      <c r="Z46" s="69"/>
      <c r="AA46" s="69"/>
      <c r="AB46" s="69"/>
      <c r="AC46" s="69"/>
      <c r="AD46" s="69"/>
      <c r="AE46" s="69"/>
      <c r="AF46" s="69"/>
      <c r="AG46" s="69"/>
      <c r="AH46" s="69"/>
      <c r="AI46" s="69"/>
      <c r="AJ46" s="69"/>
      <c r="AK46" s="69"/>
      <c r="AL46" s="69"/>
      <c r="AM46" s="69"/>
      <c r="AN46" s="69"/>
      <c r="AO46" s="69"/>
    </row>
    <row r="47" ht="20.25" customHeight="1" spans="1:41" x14ac:dyDescent="0.25">
      <c r="A47" s="108" t="s">
        <v>155</v>
      </c>
      <c r="B47" s="1"/>
      <c r="C47" s="1"/>
      <c r="D47" s="1"/>
      <c r="E47" s="1"/>
      <c r="F47" s="1"/>
      <c r="G47" s="70" t="s">
        <v>116</v>
      </c>
      <c r="H47" s="70" t="s">
        <v>152</v>
      </c>
      <c r="I47" s="70"/>
      <c r="J47" s="70"/>
      <c r="K47" s="70"/>
      <c r="L47" s="70"/>
      <c r="M47" s="70"/>
      <c r="N47" s="70"/>
      <c r="O47" s="70"/>
      <c r="P47" s="70"/>
      <c r="Q47" s="70"/>
      <c r="R47" s="70"/>
      <c r="S47" s="70"/>
      <c r="T47" s="70"/>
      <c r="U47" s="70"/>
      <c r="V47" s="69"/>
      <c r="W47" s="69" t="s">
        <v>147</v>
      </c>
      <c r="X47" s="69"/>
      <c r="Y47" s="69"/>
      <c r="Z47" s="69"/>
      <c r="AA47" s="69"/>
      <c r="AB47" s="69"/>
      <c r="AC47" s="69"/>
      <c r="AD47" s="69"/>
      <c r="AE47" s="69"/>
      <c r="AF47" s="69"/>
      <c r="AG47" s="69"/>
      <c r="AH47" s="69"/>
      <c r="AI47" s="69"/>
      <c r="AJ47" s="69"/>
      <c r="AK47" s="69"/>
      <c r="AL47" s="69"/>
      <c r="AM47" s="69"/>
      <c r="AN47" s="69"/>
      <c r="AO47" s="69"/>
    </row>
    <row r="48" ht="20.25" customHeight="1" spans="1:41" x14ac:dyDescent="0.25">
      <c r="A48" s="108" t="s">
        <v>120</v>
      </c>
      <c r="B48" s="1"/>
      <c r="C48" s="1"/>
      <c r="D48" s="1"/>
      <c r="E48" s="1"/>
      <c r="F48" s="1"/>
      <c r="G48" s="70" t="s">
        <v>116</v>
      </c>
      <c r="H48" s="70" t="s">
        <v>154</v>
      </c>
      <c r="I48" s="70"/>
      <c r="J48" s="70"/>
      <c r="K48" s="70"/>
      <c r="L48" s="70"/>
      <c r="M48" s="70"/>
      <c r="N48" s="70"/>
      <c r="O48" s="70"/>
      <c r="P48" s="70"/>
      <c r="Q48" s="70"/>
      <c r="R48" s="70"/>
      <c r="S48" s="70"/>
      <c r="T48" s="70"/>
      <c r="U48" s="70"/>
      <c r="V48" s="69"/>
      <c r="W48" s="69" t="s">
        <v>156</v>
      </c>
      <c r="X48" s="69"/>
      <c r="Y48" s="69"/>
      <c r="Z48" s="69"/>
      <c r="AA48" s="69"/>
      <c r="AB48" s="69"/>
      <c r="AC48" s="69"/>
      <c r="AD48" s="69"/>
      <c r="AE48" s="69"/>
      <c r="AF48" s="69"/>
      <c r="AG48" s="69"/>
      <c r="AH48" s="69"/>
      <c r="AI48" s="69"/>
      <c r="AJ48" s="69"/>
      <c r="AK48" s="69"/>
      <c r="AL48" s="69"/>
      <c r="AM48" s="69"/>
      <c r="AN48" s="69"/>
      <c r="AO48" s="69"/>
    </row>
    <row r="49" ht="20.25" customHeight="1" spans="1:41" x14ac:dyDescent="0.25">
      <c r="A49" s="70"/>
      <c r="B49" s="70"/>
      <c r="C49" s="70"/>
      <c r="D49" s="70"/>
      <c r="E49" s="70"/>
      <c r="F49" s="70"/>
      <c r="G49" s="70"/>
      <c r="H49" s="70"/>
      <c r="I49" s="70"/>
      <c r="J49" s="70"/>
      <c r="K49" s="70"/>
      <c r="L49" s="70"/>
      <c r="M49" s="70"/>
      <c r="N49" s="70"/>
      <c r="O49" s="70"/>
      <c r="P49" s="70"/>
      <c r="Q49" s="70"/>
      <c r="R49" s="70"/>
      <c r="S49" s="70"/>
      <c r="T49" s="70"/>
      <c r="U49" s="70"/>
      <c r="V49" s="69"/>
      <c r="W49" s="69" t="s">
        <v>157</v>
      </c>
      <c r="X49" s="69"/>
      <c r="Y49" s="69"/>
      <c r="Z49" s="69"/>
      <c r="AA49" s="69"/>
      <c r="AB49" s="69"/>
      <c r="AC49" s="69"/>
      <c r="AD49" s="69"/>
      <c r="AE49" s="69"/>
      <c r="AF49" s="69"/>
      <c r="AG49" s="69"/>
      <c r="AH49" s="69"/>
      <c r="AI49" s="69"/>
      <c r="AJ49" s="69"/>
      <c r="AK49" s="69"/>
      <c r="AL49" s="69"/>
      <c r="AM49" s="69"/>
      <c r="AN49" s="69"/>
      <c r="AO49" s="69"/>
    </row>
    <row r="50" ht="20.25" customHeight="1" spans="1:41" x14ac:dyDescent="0.25">
      <c r="A50" s="108" t="s">
        <v>153</v>
      </c>
      <c r="B50" s="1"/>
      <c r="C50" s="1"/>
      <c r="D50" s="1"/>
      <c r="E50" s="1"/>
      <c r="F50" s="1"/>
      <c r="G50" s="70" t="s">
        <v>116</v>
      </c>
      <c r="H50" s="70" t="s">
        <v>158</v>
      </c>
      <c r="I50" s="70"/>
      <c r="J50" s="70"/>
      <c r="K50" s="70"/>
      <c r="L50" s="70"/>
      <c r="M50" s="70"/>
      <c r="N50" s="70"/>
      <c r="O50" s="70"/>
      <c r="P50" s="70"/>
      <c r="Q50" s="70"/>
      <c r="R50" s="70"/>
      <c r="S50" s="70"/>
      <c r="T50" s="70"/>
      <c r="U50" s="70"/>
      <c r="V50" s="69"/>
      <c r="W50" s="69" t="s">
        <v>159</v>
      </c>
      <c r="X50" s="69"/>
      <c r="Y50" s="69"/>
      <c r="Z50" s="69"/>
      <c r="AA50" s="69"/>
      <c r="AB50" s="69"/>
      <c r="AC50" s="69"/>
      <c r="AD50" s="69"/>
      <c r="AE50" s="69"/>
      <c r="AF50" s="69"/>
      <c r="AG50" s="69"/>
      <c r="AH50" s="69"/>
      <c r="AI50" s="69"/>
      <c r="AJ50" s="69"/>
      <c r="AK50" s="69"/>
      <c r="AL50" s="69"/>
      <c r="AM50" s="69"/>
      <c r="AN50" s="69"/>
      <c r="AO50" s="69"/>
    </row>
    <row r="51" ht="20.25" customHeight="1" spans="1:41" x14ac:dyDescent="0.25">
      <c r="A51" s="108" t="s">
        <v>115</v>
      </c>
      <c r="B51" s="1"/>
      <c r="C51" s="1"/>
      <c r="D51" s="1"/>
      <c r="E51" s="1"/>
      <c r="F51" s="1"/>
      <c r="G51" s="70" t="s">
        <v>116</v>
      </c>
      <c r="H51" s="70"/>
      <c r="I51" s="70"/>
      <c r="J51" s="70"/>
      <c r="K51" s="70"/>
      <c r="L51" s="70"/>
      <c r="M51" s="70"/>
      <c r="N51" s="70"/>
      <c r="O51" s="70"/>
      <c r="P51" s="70"/>
      <c r="Q51" s="70"/>
      <c r="R51" s="70"/>
      <c r="S51" s="70"/>
      <c r="T51" s="70"/>
      <c r="U51" s="70"/>
      <c r="V51" s="69"/>
      <c r="W51" s="69"/>
      <c r="X51" s="69"/>
      <c r="Y51" s="69"/>
      <c r="Z51" s="69"/>
      <c r="AA51" s="69"/>
      <c r="AB51" s="69"/>
      <c r="AC51" s="69"/>
      <c r="AD51" s="69"/>
      <c r="AE51" s="69"/>
      <c r="AF51" s="69"/>
      <c r="AG51" s="69"/>
      <c r="AH51" s="69"/>
      <c r="AI51" s="69"/>
      <c r="AJ51" s="69"/>
      <c r="AK51" s="69"/>
      <c r="AL51" s="69"/>
      <c r="AM51" s="69"/>
      <c r="AN51" s="69"/>
      <c r="AO51" s="69"/>
    </row>
    <row r="52" ht="20.25" customHeight="1" spans="1:41" x14ac:dyDescent="0.25">
      <c r="A52" s="108" t="s">
        <v>118</v>
      </c>
      <c r="B52" s="1"/>
      <c r="C52" s="1"/>
      <c r="D52" s="1"/>
      <c r="E52" s="1"/>
      <c r="F52" s="1"/>
      <c r="G52" s="70" t="s">
        <v>116</v>
      </c>
      <c r="H52" s="70"/>
      <c r="I52" s="70"/>
      <c r="J52" s="70"/>
      <c r="K52" s="70"/>
      <c r="L52" s="70"/>
      <c r="M52" s="70"/>
      <c r="N52" s="70"/>
      <c r="O52" s="70"/>
      <c r="P52" s="70"/>
      <c r="Q52" s="70"/>
      <c r="R52" s="70"/>
      <c r="S52" s="70"/>
      <c r="T52" s="70"/>
      <c r="U52" s="70"/>
      <c r="V52" s="69"/>
      <c r="W52" s="69"/>
      <c r="X52" s="69"/>
      <c r="Y52" s="69"/>
      <c r="Z52" s="69"/>
      <c r="AA52" s="69"/>
      <c r="AB52" s="69"/>
      <c r="AC52" s="69"/>
      <c r="AD52" s="69"/>
      <c r="AE52" s="69"/>
      <c r="AF52" s="69"/>
      <c r="AG52" s="69"/>
      <c r="AH52" s="69"/>
      <c r="AI52" s="69"/>
      <c r="AJ52" s="69"/>
      <c r="AK52" s="69"/>
      <c r="AL52" s="69"/>
      <c r="AM52" s="69"/>
      <c r="AN52" s="69"/>
      <c r="AO52" s="69"/>
    </row>
    <row r="53" ht="20.25" customHeight="1" spans="1:41" x14ac:dyDescent="0.25">
      <c r="A53" s="108" t="s">
        <v>120</v>
      </c>
      <c r="B53" s="1"/>
      <c r="C53" s="1"/>
      <c r="D53" s="1"/>
      <c r="E53" s="1"/>
      <c r="F53" s="1"/>
      <c r="G53" s="70" t="s">
        <v>116</v>
      </c>
      <c r="H53" s="70"/>
      <c r="I53" s="70"/>
      <c r="J53" s="70"/>
      <c r="K53" s="70"/>
      <c r="L53" s="70"/>
      <c r="M53" s="70"/>
      <c r="N53" s="70"/>
      <c r="O53" s="70"/>
      <c r="P53" s="70"/>
      <c r="Q53" s="70"/>
      <c r="R53" s="70"/>
      <c r="S53" s="70"/>
      <c r="T53" s="70"/>
      <c r="U53" s="70"/>
      <c r="V53" s="69"/>
      <c r="W53" s="69"/>
      <c r="X53" s="69"/>
      <c r="Y53" s="69"/>
      <c r="Z53" s="69"/>
      <c r="AA53" s="69"/>
      <c r="AB53" s="69"/>
      <c r="AC53" s="69"/>
      <c r="AD53" s="69"/>
      <c r="AE53" s="69"/>
      <c r="AF53" s="69"/>
      <c r="AG53" s="69"/>
      <c r="AH53" s="69"/>
      <c r="AI53" s="69"/>
      <c r="AJ53" s="69"/>
      <c r="AK53" s="69"/>
      <c r="AL53" s="69"/>
      <c r="AM53" s="69"/>
      <c r="AN53" s="69"/>
      <c r="AO53" s="69"/>
    </row>
    <row r="54" ht="20.25" customHeight="1" spans="1:41" x14ac:dyDescent="0.25">
      <c r="A54" s="70"/>
      <c r="B54" s="70"/>
      <c r="C54" s="70"/>
      <c r="D54" s="70"/>
      <c r="E54" s="70"/>
      <c r="F54" s="70"/>
      <c r="G54" s="70"/>
      <c r="H54" s="70"/>
      <c r="I54" s="70"/>
      <c r="J54" s="70"/>
      <c r="K54" s="70"/>
      <c r="L54" s="70"/>
      <c r="M54" s="70"/>
      <c r="N54" s="70"/>
      <c r="O54" s="70"/>
      <c r="P54" s="70"/>
      <c r="Q54" s="70"/>
      <c r="R54" s="70"/>
      <c r="S54" s="70"/>
      <c r="T54" s="70"/>
      <c r="U54" s="70"/>
      <c r="V54" s="69"/>
      <c r="W54" s="69"/>
      <c r="X54" s="69"/>
      <c r="Y54" s="69"/>
      <c r="Z54" s="69"/>
      <c r="AA54" s="69"/>
      <c r="AB54" s="69"/>
      <c r="AC54" s="69"/>
      <c r="AD54" s="69"/>
      <c r="AE54" s="69"/>
      <c r="AF54" s="69"/>
      <c r="AG54" s="69"/>
      <c r="AH54" s="69"/>
      <c r="AI54" s="69"/>
      <c r="AJ54" s="69"/>
      <c r="AK54" s="69"/>
      <c r="AL54" s="69"/>
      <c r="AM54" s="69"/>
      <c r="AN54" s="69"/>
      <c r="AO54" s="69"/>
    </row>
    <row r="55" ht="20.25" customHeight="1" spans="1:41" x14ac:dyDescent="0.25">
      <c r="A55" s="70"/>
      <c r="B55" s="70"/>
      <c r="C55" s="70"/>
      <c r="D55" s="70"/>
      <c r="E55" s="70"/>
      <c r="F55" s="70"/>
      <c r="G55" s="70"/>
      <c r="H55" s="70"/>
      <c r="I55" s="70"/>
      <c r="J55" s="70"/>
      <c r="K55" s="70"/>
      <c r="L55" s="70"/>
      <c r="M55" s="70"/>
      <c r="N55" s="70"/>
      <c r="O55" s="70"/>
      <c r="P55" s="70"/>
      <c r="Q55" s="70"/>
      <c r="R55" s="70"/>
      <c r="S55" s="70"/>
      <c r="T55" s="70"/>
      <c r="U55" s="70"/>
      <c r="V55" s="69"/>
      <c r="W55" s="69"/>
      <c r="X55" s="69"/>
      <c r="Y55" s="69"/>
      <c r="Z55" s="69"/>
      <c r="AA55" s="69"/>
      <c r="AB55" s="69"/>
      <c r="AC55" s="69"/>
      <c r="AD55" s="69"/>
      <c r="AE55" s="69"/>
      <c r="AF55" s="69"/>
      <c r="AG55" s="69"/>
      <c r="AH55" s="69"/>
      <c r="AI55" s="69"/>
      <c r="AJ55" s="69"/>
      <c r="AK55" s="69"/>
      <c r="AL55" s="69"/>
      <c r="AM55" s="69"/>
      <c r="AN55" s="69"/>
      <c r="AO55" s="69"/>
    </row>
    <row r="56" ht="20.25" customHeight="1" spans="1:41" x14ac:dyDescent="0.25">
      <c r="A56" s="95" t="s">
        <v>160</v>
      </c>
      <c r="B56" s="95"/>
      <c r="C56" s="70"/>
      <c r="D56" s="70"/>
      <c r="E56" s="70"/>
      <c r="F56" s="70"/>
      <c r="G56" s="70"/>
      <c r="H56" s="70"/>
      <c r="I56" s="70"/>
      <c r="J56" s="70"/>
      <c r="K56" s="70"/>
      <c r="L56" s="70"/>
      <c r="M56" s="70"/>
      <c r="N56" s="70"/>
      <c r="O56" s="70"/>
      <c r="P56" s="70"/>
      <c r="Q56" s="70"/>
      <c r="R56" s="70"/>
      <c r="S56" s="70"/>
      <c r="T56" s="70"/>
      <c r="U56" s="70"/>
      <c r="V56" s="69"/>
      <c r="W56" s="69"/>
      <c r="X56" s="69"/>
      <c r="Y56" s="69"/>
      <c r="Z56" s="69"/>
      <c r="AA56" s="69"/>
      <c r="AB56" s="69"/>
      <c r="AC56" s="69"/>
      <c r="AD56" s="69"/>
      <c r="AE56" s="69"/>
      <c r="AF56" s="69"/>
      <c r="AG56" s="69"/>
      <c r="AH56" s="69"/>
      <c r="AI56" s="69"/>
      <c r="AJ56" s="69"/>
      <c r="AK56" s="69"/>
      <c r="AL56" s="69"/>
      <c r="AM56" s="69"/>
      <c r="AN56" s="69"/>
      <c r="AO56" s="69"/>
    </row>
    <row r="57" ht="20.25" customHeight="1" spans="1:41" x14ac:dyDescent="0.25">
      <c r="A57" s="109" t="s">
        <v>161</v>
      </c>
      <c r="B57" s="110"/>
      <c r="C57" s="110"/>
      <c r="D57" s="110"/>
      <c r="E57" s="110"/>
      <c r="F57" s="110"/>
      <c r="G57" s="110"/>
      <c r="H57" s="110"/>
      <c r="I57" s="110"/>
      <c r="J57" s="110"/>
      <c r="K57" s="109" t="s">
        <v>162</v>
      </c>
      <c r="L57" s="110"/>
      <c r="M57" s="110"/>
      <c r="N57" s="110"/>
      <c r="O57" s="110"/>
      <c r="P57" s="110"/>
      <c r="Q57" s="110"/>
      <c r="R57" s="110"/>
      <c r="S57" s="110"/>
      <c r="T57" s="111"/>
      <c r="U57" s="23"/>
      <c r="V57" s="112"/>
      <c r="W57" s="112"/>
      <c r="X57" s="112"/>
      <c r="Y57" s="112"/>
      <c r="Z57" s="112"/>
      <c r="AA57" s="112"/>
      <c r="AB57" s="112"/>
      <c r="AC57" s="112"/>
      <c r="AD57" s="112"/>
      <c r="AE57" s="112"/>
      <c r="AF57" s="112"/>
      <c r="AG57" s="112"/>
      <c r="AH57" s="112"/>
      <c r="AI57" s="112"/>
      <c r="AJ57" s="112"/>
      <c r="AK57" s="112"/>
      <c r="AL57" s="112"/>
      <c r="AM57" s="112"/>
      <c r="AN57" s="112"/>
      <c r="AO57" s="112"/>
    </row>
    <row r="58" ht="20.25" customHeight="1" spans="1:41" x14ac:dyDescent="0.25">
      <c r="A58" s="104" t="s">
        <v>163</v>
      </c>
      <c r="B58" s="23"/>
      <c r="C58" s="23"/>
      <c r="D58" s="23" t="s">
        <v>17</v>
      </c>
      <c r="E58" s="23"/>
      <c r="F58" s="23"/>
      <c r="G58" s="23"/>
      <c r="H58" s="23"/>
      <c r="I58" s="23"/>
      <c r="J58" s="23"/>
      <c r="K58" s="104" t="s">
        <v>163</v>
      </c>
      <c r="L58" s="23"/>
      <c r="M58" s="23" t="s">
        <v>17</v>
      </c>
      <c r="N58" s="23"/>
      <c r="O58" s="23"/>
      <c r="P58" s="23"/>
      <c r="Q58" s="23"/>
      <c r="R58" s="23"/>
      <c r="S58" s="23"/>
      <c r="T58" s="113"/>
      <c r="U58" s="23"/>
      <c r="V58" s="112"/>
      <c r="W58" s="112" t="s">
        <v>17</v>
      </c>
      <c r="X58" s="112"/>
      <c r="Y58" s="112"/>
      <c r="Z58" s="112"/>
      <c r="AA58" s="112"/>
      <c r="AB58" s="112"/>
      <c r="AC58" s="112"/>
      <c r="AD58" s="112"/>
      <c r="AE58" s="112"/>
      <c r="AF58" s="112"/>
      <c r="AG58" s="112"/>
      <c r="AH58" s="112"/>
      <c r="AI58" s="112"/>
      <c r="AJ58" s="112"/>
      <c r="AK58" s="112"/>
      <c r="AL58" s="112"/>
      <c r="AM58" s="112"/>
      <c r="AN58" s="112"/>
      <c r="AO58" s="112"/>
    </row>
    <row r="59" ht="20.25" customHeight="1" spans="1:41" x14ac:dyDescent="0.25">
      <c r="A59" s="104" t="s">
        <v>164</v>
      </c>
      <c r="B59" s="23"/>
      <c r="C59" s="23"/>
      <c r="D59" s="23" t="s">
        <v>165</v>
      </c>
      <c r="E59" s="23"/>
      <c r="F59" s="23"/>
      <c r="G59" s="23"/>
      <c r="H59" s="23"/>
      <c r="I59" s="23"/>
      <c r="J59" s="23"/>
      <c r="K59" s="104" t="s">
        <v>164</v>
      </c>
      <c r="L59" s="23"/>
      <c r="M59" s="23" t="s">
        <v>166</v>
      </c>
      <c r="N59" s="23"/>
      <c r="O59" s="23"/>
      <c r="P59" s="23"/>
      <c r="Q59" s="23"/>
      <c r="R59" s="23"/>
      <c r="S59" s="23"/>
      <c r="T59" s="113"/>
      <c r="U59" s="23"/>
      <c r="V59" s="112"/>
      <c r="W59" s="112" t="s">
        <v>166</v>
      </c>
      <c r="X59" s="112"/>
      <c r="Y59" s="112"/>
      <c r="Z59" s="112"/>
      <c r="AA59" s="112"/>
      <c r="AB59" s="112"/>
      <c r="AC59" s="112"/>
      <c r="AD59" s="112"/>
      <c r="AE59" s="112"/>
      <c r="AF59" s="112"/>
      <c r="AG59" s="112"/>
      <c r="AH59" s="112"/>
      <c r="AI59" s="112"/>
      <c r="AJ59" s="112"/>
      <c r="AK59" s="112"/>
      <c r="AL59" s="112"/>
      <c r="AM59" s="112"/>
      <c r="AN59" s="112"/>
      <c r="AO59" s="112"/>
    </row>
    <row r="60" ht="20.25" customHeight="1" spans="1:41" x14ac:dyDescent="0.25">
      <c r="A60" s="104"/>
      <c r="B60" s="23"/>
      <c r="C60" s="23"/>
      <c r="D60" s="23"/>
      <c r="E60" s="23"/>
      <c r="F60" s="23"/>
      <c r="G60" s="23"/>
      <c r="H60" s="23"/>
      <c r="I60" s="23"/>
      <c r="J60" s="23"/>
      <c r="K60" s="104"/>
      <c r="L60" s="23"/>
      <c r="M60" s="23"/>
      <c r="N60" s="23"/>
      <c r="O60" s="23"/>
      <c r="P60" s="23"/>
      <c r="Q60" s="23"/>
      <c r="R60" s="23"/>
      <c r="S60" s="23"/>
      <c r="T60" s="113"/>
      <c r="U60" s="23"/>
      <c r="V60" s="112"/>
      <c r="W60" s="112"/>
      <c r="X60" s="112"/>
      <c r="Y60" s="112"/>
      <c r="Z60" s="112"/>
      <c r="AA60" s="112"/>
      <c r="AB60" s="112"/>
      <c r="AC60" s="112"/>
      <c r="AD60" s="112"/>
      <c r="AE60" s="112"/>
      <c r="AF60" s="112"/>
      <c r="AG60" s="112"/>
      <c r="AH60" s="112"/>
      <c r="AI60" s="112"/>
      <c r="AJ60" s="112"/>
      <c r="AK60" s="112"/>
      <c r="AL60" s="112"/>
      <c r="AM60" s="112"/>
      <c r="AN60" s="112"/>
      <c r="AO60" s="112"/>
    </row>
    <row r="61" ht="20.25" customHeight="1" spans="1:41" x14ac:dyDescent="0.25">
      <c r="A61" s="104" t="s">
        <v>163</v>
      </c>
      <c r="B61" s="23"/>
      <c r="C61" s="23"/>
      <c r="D61" s="114" t="s">
        <v>154</v>
      </c>
      <c r="E61" s="23"/>
      <c r="F61" s="23"/>
      <c r="G61" s="23"/>
      <c r="H61" s="23"/>
      <c r="I61" s="23"/>
      <c r="J61" s="23"/>
      <c r="K61" s="104" t="s">
        <v>163</v>
      </c>
      <c r="L61" s="23"/>
      <c r="M61" s="23" t="s">
        <v>158</v>
      </c>
      <c r="N61" s="23"/>
      <c r="O61" s="23"/>
      <c r="P61" s="23"/>
      <c r="Q61" s="23"/>
      <c r="R61" s="23"/>
      <c r="S61" s="23"/>
      <c r="T61" s="113"/>
      <c r="U61" s="23"/>
      <c r="V61" s="112"/>
      <c r="W61" s="112" t="s">
        <v>154</v>
      </c>
      <c r="X61" s="112"/>
      <c r="Y61" s="112"/>
      <c r="Z61" s="112"/>
      <c r="AA61" s="112"/>
      <c r="AB61" s="112"/>
      <c r="AC61" s="112"/>
      <c r="AD61" s="112"/>
      <c r="AE61" s="112"/>
      <c r="AF61" s="112"/>
      <c r="AG61" s="112"/>
      <c r="AH61" s="112"/>
      <c r="AI61" s="112"/>
      <c r="AJ61" s="112"/>
      <c r="AK61" s="112"/>
      <c r="AL61" s="112"/>
      <c r="AM61" s="112"/>
      <c r="AN61" s="112"/>
      <c r="AO61" s="112"/>
    </row>
    <row r="62" ht="20.25" customHeight="1" spans="1:41" x14ac:dyDescent="0.25">
      <c r="A62" s="104" t="s">
        <v>164</v>
      </c>
      <c r="B62" s="23"/>
      <c r="C62" s="23"/>
      <c r="D62" s="23" t="s">
        <v>167</v>
      </c>
      <c r="E62" s="23"/>
      <c r="F62" s="23"/>
      <c r="G62" s="23"/>
      <c r="H62" s="23"/>
      <c r="I62" s="23"/>
      <c r="J62" s="23"/>
      <c r="K62" s="104" t="s">
        <v>164</v>
      </c>
      <c r="L62" s="23"/>
      <c r="M62" s="23"/>
      <c r="N62" s="23"/>
      <c r="O62" s="23"/>
      <c r="P62" s="23"/>
      <c r="Q62" s="23"/>
      <c r="R62" s="23"/>
      <c r="S62" s="23"/>
      <c r="T62" s="113"/>
      <c r="U62" s="23"/>
      <c r="V62" s="112"/>
      <c r="W62" s="112" t="s">
        <v>168</v>
      </c>
      <c r="X62" s="112"/>
      <c r="Y62" s="112"/>
      <c r="Z62" s="112"/>
      <c r="AA62" s="112"/>
      <c r="AB62" s="112"/>
      <c r="AC62" s="112"/>
      <c r="AD62" s="112"/>
      <c r="AE62" s="112"/>
      <c r="AF62" s="112"/>
      <c r="AG62" s="112"/>
      <c r="AH62" s="112"/>
      <c r="AI62" s="112"/>
      <c r="AJ62" s="112"/>
      <c r="AK62" s="112"/>
      <c r="AL62" s="112"/>
      <c r="AM62" s="112"/>
      <c r="AN62" s="112"/>
      <c r="AO62" s="112"/>
    </row>
    <row r="63" ht="20.25" customHeight="1" spans="1:41" x14ac:dyDescent="0.25">
      <c r="A63" s="104"/>
      <c r="B63" s="23"/>
      <c r="C63" s="23"/>
      <c r="D63" s="23"/>
      <c r="E63" s="23"/>
      <c r="F63" s="23"/>
      <c r="G63" s="23"/>
      <c r="H63" s="23"/>
      <c r="I63" s="23"/>
      <c r="J63" s="23"/>
      <c r="K63" s="104"/>
      <c r="L63" s="23"/>
      <c r="M63" s="23"/>
      <c r="N63" s="23"/>
      <c r="O63" s="23"/>
      <c r="P63" s="23"/>
      <c r="Q63" s="23"/>
      <c r="R63" s="23"/>
      <c r="S63" s="23"/>
      <c r="T63" s="113"/>
      <c r="U63" s="23"/>
      <c r="V63" s="112"/>
      <c r="W63" s="112"/>
      <c r="X63" s="112"/>
      <c r="Y63" s="112"/>
      <c r="Z63" s="112"/>
      <c r="AA63" s="112"/>
      <c r="AB63" s="112"/>
      <c r="AC63" s="112"/>
      <c r="AD63" s="112"/>
      <c r="AE63" s="112"/>
      <c r="AF63" s="112"/>
      <c r="AG63" s="112"/>
      <c r="AH63" s="112"/>
      <c r="AI63" s="112"/>
      <c r="AJ63" s="112"/>
      <c r="AK63" s="112"/>
      <c r="AL63" s="112"/>
      <c r="AM63" s="112"/>
      <c r="AN63" s="112"/>
      <c r="AO63" s="112"/>
    </row>
    <row r="64" ht="20.25" customHeight="1" spans="1:41" x14ac:dyDescent="0.25">
      <c r="A64" s="104" t="s">
        <v>163</v>
      </c>
      <c r="B64" s="23"/>
      <c r="C64" s="23"/>
      <c r="D64" s="23" t="s">
        <v>158</v>
      </c>
      <c r="E64" s="23"/>
      <c r="F64" s="23"/>
      <c r="G64" s="23"/>
      <c r="H64" s="23"/>
      <c r="I64" s="23"/>
      <c r="J64" s="23"/>
      <c r="K64" s="104" t="s">
        <v>163</v>
      </c>
      <c r="L64" s="23"/>
      <c r="M64" s="23" t="s">
        <v>158</v>
      </c>
      <c r="N64" s="23"/>
      <c r="O64" s="23"/>
      <c r="P64" s="23"/>
      <c r="Q64" s="23"/>
      <c r="R64" s="23"/>
      <c r="S64" s="23"/>
      <c r="T64" s="113"/>
      <c r="U64" s="23"/>
      <c r="V64" s="112"/>
      <c r="W64" s="112" t="s">
        <v>159</v>
      </c>
      <c r="X64" s="112"/>
      <c r="Y64" s="112"/>
      <c r="Z64" s="112"/>
      <c r="AA64" s="112"/>
      <c r="AB64" s="112"/>
      <c r="AC64" s="112"/>
      <c r="AD64" s="112"/>
      <c r="AE64" s="112"/>
      <c r="AF64" s="112"/>
      <c r="AG64" s="112"/>
      <c r="AH64" s="112"/>
      <c r="AI64" s="112"/>
      <c r="AJ64" s="112"/>
      <c r="AK64" s="112"/>
      <c r="AL64" s="112"/>
      <c r="AM64" s="112"/>
      <c r="AN64" s="112"/>
      <c r="AO64" s="112"/>
    </row>
    <row r="65" ht="20.25" customHeight="1" spans="1:41" x14ac:dyDescent="0.25">
      <c r="A65" s="104" t="s">
        <v>164</v>
      </c>
      <c r="B65" s="23"/>
      <c r="C65" s="23"/>
      <c r="D65" s="23"/>
      <c r="E65" s="23"/>
      <c r="F65" s="23"/>
      <c r="G65" s="23"/>
      <c r="H65" s="23"/>
      <c r="I65" s="23"/>
      <c r="J65" s="23"/>
      <c r="K65" s="104" t="s">
        <v>164</v>
      </c>
      <c r="L65" s="23"/>
      <c r="M65" s="23"/>
      <c r="N65" s="23"/>
      <c r="O65" s="23"/>
      <c r="P65" s="23"/>
      <c r="Q65" s="23"/>
      <c r="R65" s="23"/>
      <c r="S65" s="23"/>
      <c r="T65" s="113"/>
      <c r="U65" s="23"/>
      <c r="V65" s="112"/>
      <c r="W65" s="112" t="s">
        <v>169</v>
      </c>
      <c r="X65" s="112"/>
      <c r="Y65" s="112"/>
      <c r="Z65" s="112"/>
      <c r="AA65" s="112"/>
      <c r="AB65" s="112"/>
      <c r="AC65" s="112"/>
      <c r="AD65" s="112"/>
      <c r="AE65" s="112"/>
      <c r="AF65" s="112"/>
      <c r="AG65" s="112"/>
      <c r="AH65" s="112"/>
      <c r="AI65" s="112"/>
      <c r="AJ65" s="112"/>
      <c r="AK65" s="112"/>
      <c r="AL65" s="112"/>
      <c r="AM65" s="112"/>
      <c r="AN65" s="112"/>
      <c r="AO65" s="112"/>
    </row>
    <row r="66" ht="20.25" customHeight="1" spans="1:41" x14ac:dyDescent="0.25">
      <c r="A66" s="104"/>
      <c r="B66" s="23"/>
      <c r="C66" s="23"/>
      <c r="D66" s="23"/>
      <c r="E66" s="23"/>
      <c r="F66" s="23"/>
      <c r="G66" s="23"/>
      <c r="H66" s="23"/>
      <c r="I66" s="23"/>
      <c r="J66" s="23"/>
      <c r="K66" s="104"/>
      <c r="L66" s="23"/>
      <c r="M66" s="23"/>
      <c r="N66" s="23"/>
      <c r="O66" s="23"/>
      <c r="P66" s="23"/>
      <c r="Q66" s="23"/>
      <c r="R66" s="23"/>
      <c r="S66" s="23"/>
      <c r="T66" s="113"/>
      <c r="U66" s="23"/>
      <c r="V66" s="112"/>
      <c r="W66" s="112"/>
      <c r="X66" s="112"/>
      <c r="Y66" s="112"/>
      <c r="Z66" s="112"/>
      <c r="AA66" s="112"/>
      <c r="AB66" s="112"/>
      <c r="AC66" s="112"/>
      <c r="AD66" s="112"/>
      <c r="AE66" s="112"/>
      <c r="AF66" s="112"/>
      <c r="AG66" s="112"/>
      <c r="AH66" s="112"/>
      <c r="AI66" s="112"/>
      <c r="AJ66" s="112"/>
      <c r="AK66" s="112"/>
      <c r="AL66" s="112"/>
      <c r="AM66" s="112"/>
      <c r="AN66" s="112"/>
      <c r="AO66" s="112"/>
    </row>
    <row r="67" ht="20.25" customHeight="1" spans="1:41" x14ac:dyDescent="0.25">
      <c r="A67" s="104"/>
      <c r="B67" s="23"/>
      <c r="C67" s="23"/>
      <c r="D67" s="23"/>
      <c r="E67" s="23"/>
      <c r="F67" s="23"/>
      <c r="G67" s="23"/>
      <c r="H67" s="23"/>
      <c r="I67" s="23"/>
      <c r="J67" s="23"/>
      <c r="K67" s="104"/>
      <c r="L67" s="23"/>
      <c r="M67" s="23"/>
      <c r="N67" s="23"/>
      <c r="O67" s="23"/>
      <c r="P67" s="23"/>
      <c r="Q67" s="23"/>
      <c r="R67" s="23"/>
      <c r="S67" s="23"/>
      <c r="T67" s="113"/>
      <c r="U67" s="23"/>
      <c r="V67" s="112"/>
      <c r="W67" s="112" t="s">
        <v>170</v>
      </c>
      <c r="X67" s="112"/>
      <c r="Y67" s="112"/>
      <c r="Z67" s="112"/>
      <c r="AA67" s="112"/>
      <c r="AB67" s="112"/>
      <c r="AC67" s="112"/>
      <c r="AD67" s="112"/>
      <c r="AE67" s="112"/>
      <c r="AF67" s="112"/>
      <c r="AG67" s="112"/>
      <c r="AH67" s="112"/>
      <c r="AI67" s="112"/>
      <c r="AJ67" s="112"/>
      <c r="AK67" s="112"/>
      <c r="AL67" s="112"/>
      <c r="AM67" s="112"/>
      <c r="AN67" s="112"/>
      <c r="AO67" s="112"/>
    </row>
    <row r="68" ht="20.25" customHeight="1" spans="1:41" x14ac:dyDescent="0.25">
      <c r="A68" s="104"/>
      <c r="B68" s="23"/>
      <c r="C68" s="23"/>
      <c r="D68" s="23"/>
      <c r="E68" s="23"/>
      <c r="F68" s="23"/>
      <c r="G68" s="23"/>
      <c r="H68" s="23"/>
      <c r="I68" s="23"/>
      <c r="J68" s="23"/>
      <c r="K68" s="104"/>
      <c r="L68" s="23"/>
      <c r="M68" s="23"/>
      <c r="N68" s="23"/>
      <c r="O68" s="23"/>
      <c r="P68" s="23"/>
      <c r="Q68" s="23"/>
      <c r="R68" s="23"/>
      <c r="S68" s="23"/>
      <c r="T68" s="113"/>
      <c r="U68" s="23"/>
      <c r="V68" s="112"/>
      <c r="W68" s="112" t="s">
        <v>171</v>
      </c>
      <c r="X68" s="112"/>
      <c r="Y68" s="112"/>
      <c r="Z68" s="112"/>
      <c r="AA68" s="112"/>
      <c r="AB68" s="112"/>
      <c r="AC68" s="112"/>
      <c r="AD68" s="112"/>
      <c r="AE68" s="112"/>
      <c r="AF68" s="112"/>
      <c r="AG68" s="112"/>
      <c r="AH68" s="112"/>
      <c r="AI68" s="112"/>
      <c r="AJ68" s="112"/>
      <c r="AK68" s="112"/>
      <c r="AL68" s="112"/>
      <c r="AM68" s="112"/>
      <c r="AN68" s="112"/>
      <c r="AO68" s="112"/>
    </row>
    <row r="69" ht="20.25" customHeight="1" spans="1:41" x14ac:dyDescent="0.25">
      <c r="A69" s="104"/>
      <c r="B69" s="23"/>
      <c r="C69" s="23"/>
      <c r="D69" s="23"/>
      <c r="E69" s="23"/>
      <c r="F69" s="23"/>
      <c r="G69" s="23"/>
      <c r="H69" s="23"/>
      <c r="I69" s="23"/>
      <c r="J69" s="23"/>
      <c r="K69" s="104"/>
      <c r="L69" s="23"/>
      <c r="M69" s="23"/>
      <c r="N69" s="23"/>
      <c r="O69" s="23"/>
      <c r="P69" s="23"/>
      <c r="Q69" s="23"/>
      <c r="R69" s="23"/>
      <c r="S69" s="23"/>
      <c r="T69" s="113"/>
      <c r="U69" s="23"/>
      <c r="V69" s="112"/>
      <c r="W69" s="112"/>
      <c r="X69" s="112"/>
      <c r="Y69" s="112"/>
      <c r="Z69" s="112"/>
      <c r="AA69" s="112"/>
      <c r="AB69" s="112"/>
      <c r="AC69" s="112"/>
      <c r="AD69" s="112"/>
      <c r="AE69" s="112"/>
      <c r="AF69" s="112"/>
      <c r="AG69" s="112"/>
      <c r="AH69" s="112"/>
      <c r="AI69" s="112"/>
      <c r="AJ69" s="112"/>
      <c r="AK69" s="112"/>
      <c r="AL69" s="112"/>
      <c r="AM69" s="112"/>
      <c r="AN69" s="112"/>
      <c r="AO69" s="112"/>
    </row>
    <row r="70" ht="20.25" customHeight="1" spans="1:41" x14ac:dyDescent="0.25">
      <c r="A70" s="104"/>
      <c r="B70" s="23"/>
      <c r="C70" s="23"/>
      <c r="D70" s="23"/>
      <c r="E70" s="23"/>
      <c r="F70" s="23"/>
      <c r="G70" s="23"/>
      <c r="H70" s="23"/>
      <c r="I70" s="23"/>
      <c r="J70" s="23"/>
      <c r="K70" s="104"/>
      <c r="L70" s="23"/>
      <c r="M70" s="23"/>
      <c r="N70" s="23"/>
      <c r="O70" s="23"/>
      <c r="P70" s="23"/>
      <c r="Q70" s="23"/>
      <c r="R70" s="23"/>
      <c r="S70" s="23"/>
      <c r="T70" s="113"/>
      <c r="U70" s="23"/>
      <c r="V70" s="112"/>
      <c r="W70" s="112"/>
      <c r="X70" s="112"/>
      <c r="Y70" s="112"/>
      <c r="Z70" s="112"/>
      <c r="AA70" s="112"/>
      <c r="AB70" s="112"/>
      <c r="AC70" s="112"/>
      <c r="AD70" s="112"/>
      <c r="AE70" s="112"/>
      <c r="AF70" s="112"/>
      <c r="AG70" s="112"/>
      <c r="AH70" s="112"/>
      <c r="AI70" s="112"/>
      <c r="AJ70" s="112"/>
      <c r="AK70" s="112"/>
      <c r="AL70" s="112"/>
      <c r="AM70" s="112"/>
      <c r="AN70" s="112"/>
      <c r="AO70" s="112"/>
    </row>
    <row r="71" ht="20.25" customHeight="1" spans="1:41" x14ac:dyDescent="0.25">
      <c r="A71" s="104"/>
      <c r="B71" s="23"/>
      <c r="C71" s="23"/>
      <c r="D71" s="23"/>
      <c r="E71" s="23"/>
      <c r="F71" s="23"/>
      <c r="G71" s="23"/>
      <c r="H71" s="23"/>
      <c r="I71" s="23"/>
      <c r="J71" s="23"/>
      <c r="K71" s="104"/>
      <c r="L71" s="23"/>
      <c r="M71" s="23"/>
      <c r="N71" s="23"/>
      <c r="O71" s="23"/>
      <c r="P71" s="23"/>
      <c r="Q71" s="23"/>
      <c r="R71" s="23"/>
      <c r="S71" s="23"/>
      <c r="T71" s="113"/>
      <c r="U71" s="23"/>
      <c r="V71" s="112"/>
      <c r="W71" s="112"/>
      <c r="X71" s="112"/>
      <c r="Y71" s="112"/>
      <c r="Z71" s="112"/>
      <c r="AA71" s="112"/>
      <c r="AB71" s="112"/>
      <c r="AC71" s="112"/>
      <c r="AD71" s="112"/>
      <c r="AE71" s="112"/>
      <c r="AF71" s="112"/>
      <c r="AG71" s="112"/>
      <c r="AH71" s="112"/>
      <c r="AI71" s="112"/>
      <c r="AJ71" s="112"/>
      <c r="AK71" s="112"/>
      <c r="AL71" s="112"/>
      <c r="AM71" s="112"/>
      <c r="AN71" s="112"/>
      <c r="AO71" s="112"/>
    </row>
    <row r="72" ht="20.25" customHeight="1" spans="1:41" x14ac:dyDescent="0.25">
      <c r="A72" s="104" t="s">
        <v>172</v>
      </c>
      <c r="B72" s="23"/>
      <c r="C72" s="23"/>
      <c r="D72" s="23"/>
      <c r="E72" s="23"/>
      <c r="F72" s="23"/>
      <c r="G72" s="23"/>
      <c r="H72" s="23"/>
      <c r="I72" s="23"/>
      <c r="J72" s="23"/>
      <c r="K72" s="104" t="s">
        <v>172</v>
      </c>
      <c r="L72" s="23"/>
      <c r="M72" s="23"/>
      <c r="N72" s="23"/>
      <c r="O72" s="23"/>
      <c r="P72" s="23"/>
      <c r="Q72" s="23"/>
      <c r="R72" s="23"/>
      <c r="S72" s="23"/>
      <c r="T72" s="113"/>
      <c r="U72" s="23"/>
      <c r="V72" s="112"/>
      <c r="W72" s="112"/>
      <c r="X72" s="112"/>
      <c r="Y72" s="112"/>
      <c r="Z72" s="112"/>
      <c r="AA72" s="112"/>
      <c r="AB72" s="112"/>
      <c r="AC72" s="112"/>
      <c r="AD72" s="112"/>
      <c r="AE72" s="112"/>
      <c r="AF72" s="112"/>
      <c r="AG72" s="112"/>
      <c r="AH72" s="112"/>
      <c r="AI72" s="112"/>
      <c r="AJ72" s="112"/>
      <c r="AK72" s="112"/>
      <c r="AL72" s="112"/>
      <c r="AM72" s="112"/>
      <c r="AN72" s="112"/>
      <c r="AO72" s="112"/>
    </row>
    <row r="73" ht="20.25" customHeight="1" spans="1:41" x14ac:dyDescent="0.25">
      <c r="A73" s="104" t="s">
        <v>163</v>
      </c>
      <c r="B73" s="23"/>
      <c r="C73" s="23"/>
      <c r="D73" s="23" t="s">
        <v>158</v>
      </c>
      <c r="E73" s="23"/>
      <c r="F73" s="23"/>
      <c r="G73" s="23"/>
      <c r="H73" s="23"/>
      <c r="I73" s="23"/>
      <c r="J73" s="23"/>
      <c r="K73" s="104" t="s">
        <v>163</v>
      </c>
      <c r="L73" s="23"/>
      <c r="M73" s="23"/>
      <c r="N73" s="23" t="s">
        <v>158</v>
      </c>
      <c r="O73" s="23"/>
      <c r="P73" s="23"/>
      <c r="Q73" s="23"/>
      <c r="R73" s="23"/>
      <c r="S73" s="23"/>
      <c r="T73" s="113"/>
      <c r="U73" s="23"/>
      <c r="V73" s="112"/>
      <c r="W73" s="112"/>
      <c r="X73" s="112"/>
      <c r="Y73" s="112"/>
      <c r="Z73" s="112"/>
      <c r="AA73" s="112"/>
      <c r="AB73" s="112"/>
      <c r="AC73" s="112"/>
      <c r="AD73" s="112"/>
      <c r="AE73" s="112"/>
      <c r="AF73" s="112"/>
      <c r="AG73" s="112"/>
      <c r="AH73" s="112"/>
      <c r="AI73" s="112"/>
      <c r="AJ73" s="112"/>
      <c r="AK73" s="112"/>
      <c r="AL73" s="112"/>
      <c r="AM73" s="112"/>
      <c r="AN73" s="112"/>
      <c r="AO73" s="112"/>
    </row>
    <row r="74" ht="20.25" customHeight="1" spans="1:41" x14ac:dyDescent="0.25">
      <c r="A74" s="104" t="s">
        <v>164</v>
      </c>
      <c r="B74" s="23"/>
      <c r="C74" s="23"/>
      <c r="D74" s="23" t="s">
        <v>173</v>
      </c>
      <c r="E74" s="23"/>
      <c r="F74" s="23"/>
      <c r="G74" s="23"/>
      <c r="H74" s="23"/>
      <c r="I74" s="23"/>
      <c r="J74" s="23"/>
      <c r="K74" s="104" t="s">
        <v>164</v>
      </c>
      <c r="L74" s="23"/>
      <c r="M74" s="23"/>
      <c r="N74" s="23" t="s">
        <v>173</v>
      </c>
      <c r="O74" s="23"/>
      <c r="P74" s="23"/>
      <c r="Q74" s="23"/>
      <c r="R74" s="23"/>
      <c r="S74" s="23"/>
      <c r="T74" s="113"/>
      <c r="U74" s="23"/>
      <c r="V74" s="112"/>
      <c r="W74" s="112"/>
      <c r="X74" s="112"/>
      <c r="Y74" s="112"/>
      <c r="Z74" s="112"/>
      <c r="AA74" s="112"/>
      <c r="AB74" s="112"/>
      <c r="AC74" s="112"/>
      <c r="AD74" s="112"/>
      <c r="AE74" s="112"/>
      <c r="AF74" s="112"/>
      <c r="AG74" s="112"/>
      <c r="AH74" s="112"/>
      <c r="AI74" s="112"/>
      <c r="AJ74" s="112"/>
      <c r="AK74" s="112"/>
      <c r="AL74" s="112"/>
      <c r="AM74" s="112"/>
      <c r="AN74" s="112"/>
      <c r="AO74" s="112"/>
    </row>
    <row r="75" ht="20.25" customHeight="1" spans="1:41" x14ac:dyDescent="0.25">
      <c r="A75" s="104"/>
      <c r="B75" s="23"/>
      <c r="C75" s="23"/>
      <c r="D75" s="23"/>
      <c r="E75" s="23"/>
      <c r="F75" s="23"/>
      <c r="G75" s="23"/>
      <c r="H75" s="23"/>
      <c r="I75" s="23"/>
      <c r="J75" s="23"/>
      <c r="K75" s="104"/>
      <c r="L75" s="23"/>
      <c r="M75" s="23"/>
      <c r="N75" s="23"/>
      <c r="O75" s="23"/>
      <c r="P75" s="23"/>
      <c r="Q75" s="23"/>
      <c r="R75" s="23"/>
      <c r="S75" s="23"/>
      <c r="T75" s="113"/>
      <c r="U75" s="23"/>
      <c r="V75" s="112"/>
      <c r="W75" s="112"/>
      <c r="X75" s="112"/>
      <c r="Y75" s="112"/>
      <c r="Z75" s="112"/>
      <c r="AA75" s="112"/>
      <c r="AB75" s="112"/>
      <c r="AC75" s="112"/>
      <c r="AD75" s="112"/>
      <c r="AE75" s="112"/>
      <c r="AF75" s="112"/>
      <c r="AG75" s="112"/>
      <c r="AH75" s="112"/>
      <c r="AI75" s="112"/>
      <c r="AJ75" s="112"/>
      <c r="AK75" s="112"/>
      <c r="AL75" s="112"/>
      <c r="AM75" s="112"/>
      <c r="AN75" s="112"/>
      <c r="AO75" s="112"/>
    </row>
    <row r="76" ht="20.25" customHeight="1" spans="1:41" x14ac:dyDescent="0.25">
      <c r="A76" s="104"/>
      <c r="B76" s="23"/>
      <c r="C76" s="23"/>
      <c r="D76" s="23"/>
      <c r="E76" s="23"/>
      <c r="F76" s="23"/>
      <c r="G76" s="23"/>
      <c r="H76" s="23"/>
      <c r="I76" s="23"/>
      <c r="J76" s="23"/>
      <c r="K76" s="104"/>
      <c r="L76" s="23"/>
      <c r="M76" s="23"/>
      <c r="N76" s="23"/>
      <c r="O76" s="23"/>
      <c r="P76" s="23"/>
      <c r="Q76" s="23"/>
      <c r="R76" s="23"/>
      <c r="S76" s="23"/>
      <c r="T76" s="113"/>
      <c r="U76" s="23"/>
      <c r="V76" s="112"/>
      <c r="W76" s="112"/>
      <c r="X76" s="112"/>
      <c r="Y76" s="112"/>
      <c r="Z76" s="112"/>
      <c r="AA76" s="112"/>
      <c r="AB76" s="112"/>
      <c r="AC76" s="112"/>
      <c r="AD76" s="112"/>
      <c r="AE76" s="112"/>
      <c r="AF76" s="112"/>
      <c r="AG76" s="112"/>
      <c r="AH76" s="112"/>
      <c r="AI76" s="112"/>
      <c r="AJ76" s="112"/>
      <c r="AK76" s="112"/>
      <c r="AL76" s="112"/>
      <c r="AM76" s="112"/>
      <c r="AN76" s="112"/>
      <c r="AO76" s="112"/>
    </row>
    <row r="77" ht="20.25" customHeight="1" spans="1:41" x14ac:dyDescent="0.25">
      <c r="A77" s="106"/>
      <c r="B77" s="107"/>
      <c r="C77" s="107"/>
      <c r="D77" s="107"/>
      <c r="E77" s="107"/>
      <c r="F77" s="107"/>
      <c r="G77" s="107"/>
      <c r="H77" s="107"/>
      <c r="I77" s="107"/>
      <c r="J77" s="107"/>
      <c r="K77" s="106"/>
      <c r="L77" s="107"/>
      <c r="M77" s="107"/>
      <c r="N77" s="107"/>
      <c r="O77" s="107"/>
      <c r="P77" s="107"/>
      <c r="Q77" s="107"/>
      <c r="R77" s="107"/>
      <c r="S77" s="107"/>
      <c r="T77" s="115"/>
      <c r="U77" s="23"/>
      <c r="V77" s="112"/>
      <c r="W77" s="112"/>
      <c r="X77" s="112"/>
      <c r="Y77" s="112"/>
      <c r="Z77" s="112"/>
      <c r="AA77" s="112"/>
      <c r="AB77" s="112"/>
      <c r="AC77" s="112"/>
      <c r="AD77" s="112"/>
      <c r="AE77" s="112"/>
      <c r="AF77" s="112"/>
      <c r="AG77" s="112"/>
      <c r="AH77" s="112"/>
      <c r="AI77" s="112"/>
      <c r="AJ77" s="112"/>
      <c r="AK77" s="112"/>
      <c r="AL77" s="112"/>
      <c r="AM77" s="112"/>
      <c r="AN77" s="112"/>
      <c r="AO77" s="112"/>
    </row>
    <row r="78" ht="20.25" customHeight="1" spans="1:41" x14ac:dyDescent="0.25">
      <c r="A78" s="23" t="s">
        <v>174</v>
      </c>
      <c r="B78" s="23"/>
      <c r="C78" s="23"/>
      <c r="D78" s="23"/>
      <c r="E78" s="23"/>
      <c r="F78" s="23"/>
      <c r="G78" s="23"/>
      <c r="H78" s="23"/>
      <c r="I78" s="23"/>
      <c r="J78" s="23"/>
      <c r="K78" s="23"/>
      <c r="L78" s="23"/>
      <c r="M78" s="23"/>
      <c r="N78" s="23"/>
      <c r="O78" s="23"/>
      <c r="P78" s="23"/>
      <c r="Q78" s="23"/>
      <c r="R78" s="23"/>
      <c r="S78" s="23"/>
      <c r="T78" s="23"/>
      <c r="U78" s="23"/>
      <c r="V78" s="112"/>
      <c r="W78" s="112"/>
      <c r="X78" s="112"/>
      <c r="Y78" s="112"/>
      <c r="Z78" s="112"/>
      <c r="AA78" s="112"/>
      <c r="AB78" s="112"/>
      <c r="AC78" s="112"/>
      <c r="AD78" s="112"/>
      <c r="AE78" s="112"/>
      <c r="AF78" s="112"/>
      <c r="AG78" s="112"/>
      <c r="AH78" s="112"/>
      <c r="AI78" s="112"/>
      <c r="AJ78" s="112"/>
      <c r="AK78" s="112"/>
      <c r="AL78" s="112"/>
      <c r="AM78" s="112"/>
      <c r="AN78" s="112"/>
      <c r="AO78" s="112"/>
    </row>
    <row r="79" ht="20.25" customHeight="1" spans="1:41" x14ac:dyDescent="0.25">
      <c r="A79" s="23" t="s">
        <v>175</v>
      </c>
      <c r="B79" s="23"/>
      <c r="C79" s="23"/>
      <c r="D79" s="23"/>
      <c r="E79" s="23"/>
      <c r="F79" s="23"/>
      <c r="G79" s="23"/>
      <c r="H79" s="23"/>
      <c r="I79" s="23"/>
      <c r="J79" s="23"/>
      <c r="K79" s="23"/>
      <c r="L79" s="23"/>
      <c r="M79" s="23"/>
      <c r="N79" s="23"/>
      <c r="O79" s="23"/>
      <c r="P79" s="23"/>
      <c r="Q79" s="23"/>
      <c r="R79" s="23"/>
      <c r="S79" s="23"/>
      <c r="T79" s="23"/>
      <c r="U79" s="23"/>
      <c r="V79" s="112"/>
      <c r="W79" s="112"/>
      <c r="X79" s="112"/>
      <c r="Y79" s="112"/>
      <c r="Z79" s="112"/>
      <c r="AA79" s="112"/>
      <c r="AB79" s="112"/>
      <c r="AC79" s="112"/>
      <c r="AD79" s="112"/>
      <c r="AE79" s="112"/>
      <c r="AF79" s="112"/>
      <c r="AG79" s="112"/>
      <c r="AH79" s="112"/>
      <c r="AI79" s="112"/>
      <c r="AJ79" s="112"/>
      <c r="AK79" s="112"/>
      <c r="AL79" s="112"/>
      <c r="AM79" s="112"/>
      <c r="AN79" s="112"/>
      <c r="AO79" s="112"/>
    </row>
    <row r="80" ht="20.25" customHeight="1" spans="1:41" x14ac:dyDescent="0.25">
      <c r="A80" s="70"/>
      <c r="B80" s="70"/>
      <c r="C80" s="70"/>
      <c r="D80" s="70"/>
      <c r="E80" s="70"/>
      <c r="F80" s="70"/>
      <c r="G80" s="70"/>
      <c r="H80" s="70"/>
      <c r="I80" s="70"/>
      <c r="J80" s="70"/>
      <c r="K80" s="70"/>
      <c r="L80" s="70"/>
      <c r="M80" s="70"/>
      <c r="N80" s="70"/>
      <c r="O80" s="70"/>
      <c r="P80" s="70"/>
      <c r="Q80" s="70"/>
      <c r="R80" s="70"/>
      <c r="S80" s="70"/>
      <c r="T80" s="70"/>
      <c r="U80" s="70"/>
      <c r="V80" s="69"/>
      <c r="W80" s="69"/>
      <c r="X80" s="69"/>
      <c r="Y80" s="69"/>
      <c r="Z80" s="69"/>
      <c r="AA80" s="69"/>
      <c r="AB80" s="69"/>
      <c r="AC80" s="69"/>
      <c r="AD80" s="69"/>
      <c r="AE80" s="69"/>
      <c r="AF80" s="69"/>
      <c r="AG80" s="69"/>
      <c r="AH80" s="69"/>
      <c r="AI80" s="69"/>
      <c r="AJ80" s="69"/>
      <c r="AK80" s="69"/>
      <c r="AL80" s="69"/>
      <c r="AM80" s="69"/>
      <c r="AN80" s="69"/>
      <c r="AO80" s="69"/>
    </row>
    <row r="81" ht="20.25" customHeight="1" spans="1:41" x14ac:dyDescent="0.25">
      <c r="A81" s="70"/>
      <c r="B81" s="70"/>
      <c r="C81" s="70"/>
      <c r="D81" s="70"/>
      <c r="E81" s="70"/>
      <c r="F81" s="70"/>
      <c r="G81" s="70"/>
      <c r="H81" s="70"/>
      <c r="I81" s="70"/>
      <c r="J81" s="70"/>
      <c r="K81" s="70"/>
      <c r="L81" s="70"/>
      <c r="M81" s="70"/>
      <c r="N81" s="70"/>
      <c r="O81" s="70"/>
      <c r="P81" s="70"/>
      <c r="Q81" s="70"/>
      <c r="R81" s="70"/>
      <c r="S81" s="70"/>
      <c r="T81" s="70"/>
      <c r="U81" s="70"/>
      <c r="V81" s="69"/>
      <c r="W81" s="69"/>
      <c r="X81" s="69"/>
      <c r="Y81" s="69"/>
      <c r="Z81" s="69"/>
      <c r="AA81" s="69"/>
      <c r="AB81" s="69"/>
      <c r="AC81" s="69"/>
      <c r="AD81" s="69"/>
      <c r="AE81" s="69"/>
      <c r="AF81" s="69"/>
      <c r="AG81" s="69"/>
      <c r="AH81" s="69"/>
      <c r="AI81" s="69"/>
      <c r="AJ81" s="69"/>
      <c r="AK81" s="69"/>
      <c r="AL81" s="69"/>
      <c r="AM81" s="69"/>
      <c r="AN81" s="69"/>
      <c r="AO81" s="69"/>
    </row>
    <row r="82" ht="20.25" customHeight="1" spans="1:41" x14ac:dyDescent="0.25">
      <c r="A82" s="70" t="s">
        <v>176</v>
      </c>
      <c r="B82" s="70"/>
      <c r="C82" s="70"/>
      <c r="D82" s="70"/>
      <c r="E82" s="70"/>
      <c r="F82" s="70"/>
      <c r="G82" s="70"/>
      <c r="H82" s="70"/>
      <c r="I82" s="70"/>
      <c r="J82" s="70"/>
      <c r="K82" s="70"/>
      <c r="L82" s="70"/>
      <c r="M82" s="70"/>
      <c r="N82" s="70"/>
      <c r="O82" s="70"/>
      <c r="P82" s="70"/>
      <c r="Q82" s="70"/>
      <c r="R82" s="70"/>
      <c r="S82" s="70"/>
      <c r="T82" s="70"/>
      <c r="U82" s="70"/>
      <c r="V82" s="69"/>
      <c r="W82" s="69"/>
      <c r="X82" s="69"/>
      <c r="Y82" s="69"/>
      <c r="Z82" s="69"/>
      <c r="AA82" s="69"/>
      <c r="AB82" s="69"/>
      <c r="AC82" s="69"/>
      <c r="AD82" s="69"/>
      <c r="AE82" s="69"/>
      <c r="AF82" s="69"/>
      <c r="AG82" s="69"/>
      <c r="AH82" s="69"/>
      <c r="AI82" s="69"/>
      <c r="AJ82" s="69"/>
      <c r="AK82" s="69"/>
      <c r="AL82" s="69"/>
      <c r="AM82" s="69"/>
      <c r="AN82" s="69"/>
      <c r="AO82" s="69"/>
    </row>
    <row r="83" ht="20.25" customHeight="1" spans="1:41" x14ac:dyDescent="0.25">
      <c r="A83" s="100"/>
      <c r="B83" s="80"/>
      <c r="C83" s="80"/>
      <c r="D83" s="80"/>
      <c r="E83" s="80"/>
      <c r="F83" s="80"/>
      <c r="G83" s="80"/>
      <c r="H83" s="80"/>
      <c r="I83" s="80"/>
      <c r="J83" s="80"/>
      <c r="K83" s="80"/>
      <c r="L83" s="80"/>
      <c r="M83" s="80"/>
      <c r="N83" s="80"/>
      <c r="O83" s="80"/>
      <c r="P83" s="80"/>
      <c r="Q83" s="80"/>
      <c r="R83" s="80"/>
      <c r="S83" s="80"/>
      <c r="T83" s="89"/>
      <c r="U83" s="70"/>
      <c r="V83" s="69"/>
      <c r="W83" s="69"/>
      <c r="X83" s="69"/>
      <c r="Y83" s="69"/>
      <c r="Z83" s="69"/>
      <c r="AA83" s="69"/>
      <c r="AB83" s="69"/>
      <c r="AC83" s="69"/>
      <c r="AD83" s="69"/>
      <c r="AE83" s="69"/>
      <c r="AF83" s="69"/>
      <c r="AG83" s="69"/>
      <c r="AH83" s="69"/>
      <c r="AI83" s="69"/>
      <c r="AJ83" s="69"/>
      <c r="AK83" s="69"/>
      <c r="AL83" s="69"/>
      <c r="AM83" s="69"/>
      <c r="AN83" s="69"/>
      <c r="AO83" s="69"/>
    </row>
    <row r="84" ht="20.25" customHeight="1" spans="1:41" x14ac:dyDescent="0.25">
      <c r="A84" s="92"/>
      <c r="B84" s="70"/>
      <c r="C84" s="70" t="s">
        <v>177</v>
      </c>
      <c r="D84" s="70"/>
      <c r="E84" s="70"/>
      <c r="F84" s="70" t="s">
        <v>116</v>
      </c>
      <c r="G84" s="70" t="s">
        <v>178</v>
      </c>
      <c r="H84" s="70"/>
      <c r="I84" s="70"/>
      <c r="J84" s="70"/>
      <c r="K84" s="70"/>
      <c r="L84" s="70"/>
      <c r="M84" s="70"/>
      <c r="N84" s="70"/>
      <c r="O84" s="70"/>
      <c r="P84" s="70"/>
      <c r="Q84" s="70"/>
      <c r="R84" s="70"/>
      <c r="S84" s="70"/>
      <c r="T84" s="91"/>
      <c r="U84" s="70"/>
      <c r="V84" s="69"/>
      <c r="W84" s="69"/>
      <c r="X84" s="69"/>
      <c r="Y84" s="69"/>
      <c r="Z84" s="69"/>
      <c r="AA84" s="69"/>
      <c r="AB84" s="69"/>
      <c r="AC84" s="69"/>
      <c r="AD84" s="69"/>
      <c r="AE84" s="69"/>
      <c r="AF84" s="69"/>
      <c r="AG84" s="69"/>
      <c r="AH84" s="69"/>
      <c r="AI84" s="69"/>
      <c r="AJ84" s="69"/>
      <c r="AK84" s="69"/>
      <c r="AL84" s="69"/>
      <c r="AM84" s="69"/>
      <c r="AN84" s="69"/>
      <c r="AO84" s="69"/>
    </row>
    <row r="85" ht="20.25" customHeight="1" spans="1:41" x14ac:dyDescent="0.25">
      <c r="A85" s="92"/>
      <c r="B85" s="70"/>
      <c r="C85" s="70"/>
      <c r="D85" s="70"/>
      <c r="E85" s="70"/>
      <c r="F85" s="70"/>
      <c r="G85" s="70"/>
      <c r="H85" s="70"/>
      <c r="I85" s="70"/>
      <c r="J85" s="70"/>
      <c r="K85" s="70"/>
      <c r="L85" s="70"/>
      <c r="M85" s="70"/>
      <c r="N85" s="70"/>
      <c r="O85" s="70"/>
      <c r="P85" s="70"/>
      <c r="Q85" s="70"/>
      <c r="R85" s="70"/>
      <c r="S85" s="70"/>
      <c r="T85" s="91"/>
      <c r="U85" s="70"/>
      <c r="V85" s="69"/>
      <c r="W85" s="69"/>
      <c r="X85" s="69"/>
      <c r="Y85" s="69"/>
      <c r="Z85" s="69"/>
      <c r="AA85" s="69"/>
      <c r="AB85" s="69"/>
      <c r="AC85" s="69"/>
      <c r="AD85" s="69"/>
      <c r="AE85" s="69"/>
      <c r="AF85" s="69"/>
      <c r="AG85" s="69"/>
      <c r="AH85" s="69"/>
      <c r="AI85" s="69"/>
      <c r="AJ85" s="69"/>
      <c r="AK85" s="69"/>
      <c r="AL85" s="69"/>
      <c r="AM85" s="69"/>
      <c r="AN85" s="69"/>
      <c r="AO85" s="69"/>
    </row>
    <row r="86" ht="20.25" customHeight="1" spans="1:41" x14ac:dyDescent="0.25">
      <c r="A86" s="92"/>
      <c r="B86" s="70"/>
      <c r="C86" s="70" t="s">
        <v>179</v>
      </c>
      <c r="D86" s="70"/>
      <c r="E86" s="70"/>
      <c r="F86" s="70" t="s">
        <v>116</v>
      </c>
      <c r="G86" s="70" t="s">
        <v>178</v>
      </c>
      <c r="H86" s="70"/>
      <c r="I86" s="70"/>
      <c r="J86" s="70"/>
      <c r="K86" s="70"/>
      <c r="L86" s="70"/>
      <c r="M86" s="70"/>
      <c r="N86" s="70"/>
      <c r="O86" s="70"/>
      <c r="P86" s="70"/>
      <c r="Q86" s="70"/>
      <c r="R86" s="70"/>
      <c r="S86" s="70"/>
      <c r="T86" s="91"/>
      <c r="U86" s="70"/>
      <c r="V86" s="69"/>
      <c r="W86" s="69"/>
      <c r="X86" s="69"/>
      <c r="Y86" s="69"/>
      <c r="Z86" s="69"/>
      <c r="AA86" s="69"/>
      <c r="AB86" s="69"/>
      <c r="AC86" s="69"/>
      <c r="AD86" s="69"/>
      <c r="AE86" s="69"/>
      <c r="AF86" s="69"/>
      <c r="AG86" s="69"/>
      <c r="AH86" s="69"/>
      <c r="AI86" s="69"/>
      <c r="AJ86" s="69"/>
      <c r="AK86" s="69"/>
      <c r="AL86" s="69"/>
      <c r="AM86" s="69"/>
      <c r="AN86" s="69"/>
      <c r="AO86" s="69"/>
    </row>
    <row r="87" ht="20.25" customHeight="1" spans="1:41" x14ac:dyDescent="0.25">
      <c r="A87" s="92"/>
      <c r="B87" s="70"/>
      <c r="C87" s="70"/>
      <c r="D87" s="70"/>
      <c r="E87" s="70"/>
      <c r="F87" s="70"/>
      <c r="G87" s="70"/>
      <c r="H87" s="70"/>
      <c r="I87" s="70"/>
      <c r="J87" s="70"/>
      <c r="K87" s="70"/>
      <c r="L87" s="70"/>
      <c r="M87" s="70"/>
      <c r="N87" s="70"/>
      <c r="O87" s="70"/>
      <c r="P87" s="70"/>
      <c r="Q87" s="70"/>
      <c r="R87" s="70"/>
      <c r="S87" s="70"/>
      <c r="T87" s="91"/>
      <c r="U87" s="70"/>
      <c r="V87" s="69"/>
      <c r="W87" s="69"/>
      <c r="X87" s="69"/>
      <c r="Y87" s="69"/>
      <c r="Z87" s="69"/>
      <c r="AA87" s="69"/>
      <c r="AB87" s="69"/>
      <c r="AC87" s="69"/>
      <c r="AD87" s="69"/>
      <c r="AE87" s="69"/>
      <c r="AF87" s="69"/>
      <c r="AG87" s="69"/>
      <c r="AH87" s="69"/>
      <c r="AI87" s="69"/>
      <c r="AJ87" s="69"/>
      <c r="AK87" s="69"/>
      <c r="AL87" s="69"/>
      <c r="AM87" s="69"/>
      <c r="AN87" s="69"/>
      <c r="AO87" s="69"/>
    </row>
    <row r="88" ht="20.25" customHeight="1" spans="1:41" x14ac:dyDescent="0.25">
      <c r="A88" s="92"/>
      <c r="B88" s="70"/>
      <c r="C88" s="70"/>
      <c r="D88" s="70"/>
      <c r="E88" s="70"/>
      <c r="F88" s="70"/>
      <c r="G88" s="116"/>
      <c r="H88" s="70"/>
      <c r="I88" s="70"/>
      <c r="J88" s="70"/>
      <c r="K88" s="70"/>
      <c r="L88" s="70"/>
      <c r="M88" s="70"/>
      <c r="N88" s="70"/>
      <c r="O88" s="70"/>
      <c r="P88" s="70"/>
      <c r="Q88" s="70"/>
      <c r="R88" s="70"/>
      <c r="S88" s="70"/>
      <c r="T88" s="91"/>
      <c r="U88" s="70"/>
      <c r="V88" s="69"/>
      <c r="W88" s="69"/>
      <c r="X88" s="69"/>
      <c r="Y88" s="69"/>
      <c r="Z88" s="69"/>
      <c r="AA88" s="69"/>
      <c r="AB88" s="69"/>
      <c r="AC88" s="69"/>
      <c r="AD88" s="69"/>
      <c r="AE88" s="69"/>
      <c r="AF88" s="69"/>
      <c r="AG88" s="69"/>
      <c r="AH88" s="69"/>
      <c r="AI88" s="69"/>
      <c r="AJ88" s="69"/>
      <c r="AK88" s="69"/>
      <c r="AL88" s="69"/>
      <c r="AM88" s="69"/>
      <c r="AN88" s="69"/>
      <c r="AO88" s="69"/>
    </row>
    <row r="89" ht="20.25" customHeight="1" spans="1:41" x14ac:dyDescent="0.25">
      <c r="A89" s="93"/>
      <c r="B89" s="77"/>
      <c r="C89" s="77"/>
      <c r="D89" s="77"/>
      <c r="E89" s="77"/>
      <c r="F89" s="77"/>
      <c r="G89" s="77"/>
      <c r="H89" s="77"/>
      <c r="I89" s="77"/>
      <c r="J89" s="77"/>
      <c r="K89" s="77"/>
      <c r="L89" s="77"/>
      <c r="M89" s="77"/>
      <c r="N89" s="77"/>
      <c r="O89" s="77"/>
      <c r="P89" s="77"/>
      <c r="Q89" s="77"/>
      <c r="R89" s="77"/>
      <c r="S89" s="77"/>
      <c r="T89" s="94"/>
      <c r="U89" s="70"/>
      <c r="V89" s="69"/>
      <c r="W89" s="69"/>
      <c r="X89" s="69"/>
      <c r="Y89" s="69"/>
      <c r="Z89" s="69"/>
      <c r="AA89" s="69"/>
      <c r="AB89" s="69"/>
      <c r="AC89" s="69"/>
      <c r="AD89" s="69"/>
      <c r="AE89" s="69"/>
      <c r="AF89" s="69"/>
      <c r="AG89" s="69"/>
      <c r="AH89" s="69"/>
      <c r="AI89" s="69"/>
      <c r="AJ89" s="69"/>
      <c r="AK89" s="69"/>
      <c r="AL89" s="69"/>
      <c r="AM89" s="69"/>
      <c r="AN89" s="69"/>
      <c r="AO89" s="69"/>
    </row>
    <row r="90" ht="20.25" customHeight="1" spans="1:41" x14ac:dyDescent="0.25">
      <c r="A90" s="70"/>
      <c r="B90" s="70"/>
      <c r="C90" s="70"/>
      <c r="D90" s="70"/>
      <c r="E90" s="70"/>
      <c r="F90" s="70"/>
      <c r="G90" s="70"/>
      <c r="H90" s="70"/>
      <c r="I90" s="70"/>
      <c r="J90" s="70"/>
      <c r="K90" s="70"/>
      <c r="L90" s="70"/>
      <c r="M90" s="70"/>
      <c r="N90" s="70"/>
      <c r="O90" s="70"/>
      <c r="P90" s="70"/>
      <c r="Q90" s="70"/>
      <c r="R90" s="70"/>
      <c r="S90" s="70"/>
      <c r="T90" s="70"/>
      <c r="U90" s="70"/>
      <c r="V90" s="69"/>
      <c r="W90" s="69"/>
      <c r="X90" s="69"/>
      <c r="Y90" s="69"/>
      <c r="Z90" s="69"/>
      <c r="AA90" s="69"/>
      <c r="AB90" s="69"/>
      <c r="AC90" s="69"/>
      <c r="AD90" s="69"/>
      <c r="AE90" s="69"/>
      <c r="AF90" s="69"/>
      <c r="AG90" s="69"/>
      <c r="AH90" s="69"/>
      <c r="AI90" s="69"/>
      <c r="AJ90" s="69"/>
      <c r="AK90" s="69"/>
      <c r="AL90" s="69"/>
      <c r="AM90" s="69"/>
      <c r="AN90" s="69"/>
      <c r="AO90" s="69"/>
    </row>
    <row r="91" ht="20.25" customHeight="1" spans="1:41" x14ac:dyDescent="0.25">
      <c r="A91" s="70" t="s">
        <v>180</v>
      </c>
      <c r="B91" s="70"/>
      <c r="C91" s="70"/>
      <c r="D91" s="70"/>
      <c r="E91" s="70"/>
      <c r="F91" s="70"/>
      <c r="G91" s="70"/>
      <c r="H91" s="70"/>
      <c r="I91" s="70"/>
      <c r="J91" s="70"/>
      <c r="K91" s="70"/>
      <c r="L91" s="70"/>
      <c r="M91" s="70"/>
      <c r="N91" s="70"/>
      <c r="O91" s="70"/>
      <c r="P91" s="70"/>
      <c r="Q91" s="70"/>
      <c r="R91" s="70"/>
      <c r="S91" s="70"/>
      <c r="T91" s="70"/>
      <c r="U91" s="70"/>
      <c r="V91" s="69"/>
      <c r="W91" s="69"/>
      <c r="X91" s="69"/>
      <c r="Y91" s="69"/>
      <c r="Z91" s="69"/>
      <c r="AA91" s="69"/>
      <c r="AB91" s="69"/>
      <c r="AC91" s="69"/>
      <c r="AD91" s="69"/>
      <c r="AE91" s="69"/>
      <c r="AF91" s="69"/>
      <c r="AG91" s="69"/>
      <c r="AH91" s="69"/>
      <c r="AI91" s="69"/>
      <c r="AJ91" s="69"/>
      <c r="AK91" s="69"/>
      <c r="AL91" s="69"/>
      <c r="AM91" s="69"/>
      <c r="AN91" s="69"/>
      <c r="AO91" s="69"/>
    </row>
    <row r="92" ht="20.25" customHeight="1" spans="1:41" x14ac:dyDescent="0.25">
      <c r="A92" s="102" t="s">
        <v>181</v>
      </c>
      <c r="B92" s="103"/>
      <c r="C92" s="80"/>
      <c r="D92" s="80"/>
      <c r="E92" s="80"/>
      <c r="F92" s="80"/>
      <c r="G92" s="80"/>
      <c r="H92" s="80"/>
      <c r="I92" s="80"/>
      <c r="J92" s="80"/>
      <c r="K92" s="80"/>
      <c r="L92" s="80"/>
      <c r="M92" s="80"/>
      <c r="N92" s="80"/>
      <c r="O92" s="80"/>
      <c r="P92" s="80"/>
      <c r="Q92" s="80"/>
      <c r="R92" s="80"/>
      <c r="S92" s="80"/>
      <c r="T92" s="117"/>
      <c r="U92" s="70"/>
      <c r="V92" s="69"/>
      <c r="W92" s="69"/>
      <c r="X92" s="69"/>
      <c r="Y92" s="69"/>
      <c r="Z92" s="69"/>
      <c r="AA92" s="69"/>
      <c r="AB92" s="69"/>
      <c r="AC92" s="69"/>
      <c r="AD92" s="69"/>
      <c r="AE92" s="69"/>
      <c r="AF92" s="69"/>
      <c r="AG92" s="69"/>
      <c r="AH92" s="69"/>
      <c r="AI92" s="69"/>
      <c r="AJ92" s="69"/>
      <c r="AK92" s="69"/>
      <c r="AL92" s="69"/>
      <c r="AM92" s="69"/>
      <c r="AN92" s="69"/>
      <c r="AO92" s="69"/>
    </row>
    <row r="93" ht="20.25" customHeight="1" spans="1:41" x14ac:dyDescent="0.25">
      <c r="A93" s="104" t="s">
        <v>182</v>
      </c>
      <c r="B93" s="23"/>
      <c r="C93" s="70"/>
      <c r="D93" s="70"/>
      <c r="E93" s="70"/>
      <c r="F93" s="70"/>
      <c r="G93" s="70"/>
      <c r="H93" s="70"/>
      <c r="I93" s="70"/>
      <c r="J93" s="70"/>
      <c r="K93" s="70"/>
      <c r="L93" s="70"/>
      <c r="M93" s="70"/>
      <c r="N93" s="70"/>
      <c r="O93" s="70"/>
      <c r="P93" s="70"/>
      <c r="Q93" s="70"/>
      <c r="R93" s="70"/>
      <c r="S93" s="70"/>
      <c r="T93" s="118"/>
      <c r="U93" s="70"/>
      <c r="V93" s="69"/>
      <c r="W93" s="69"/>
      <c r="X93" s="69"/>
      <c r="Y93" s="69"/>
      <c r="Z93" s="69"/>
      <c r="AA93" s="69"/>
      <c r="AB93" s="69"/>
      <c r="AC93" s="69"/>
      <c r="AD93" s="69"/>
      <c r="AE93" s="69"/>
      <c r="AF93" s="69"/>
      <c r="AG93" s="69"/>
      <c r="AH93" s="69"/>
      <c r="AI93" s="69"/>
      <c r="AJ93" s="69"/>
      <c r="AK93" s="69"/>
      <c r="AL93" s="69"/>
      <c r="AM93" s="69"/>
      <c r="AN93" s="69"/>
      <c r="AO93" s="69"/>
    </row>
    <row r="94" ht="20.25" customHeight="1" spans="1:41" x14ac:dyDescent="0.25">
      <c r="A94" s="104" t="s">
        <v>183</v>
      </c>
      <c r="B94" s="23"/>
      <c r="C94" s="70"/>
      <c r="D94" s="70"/>
      <c r="E94" s="70"/>
      <c r="F94" s="70"/>
      <c r="G94" s="70"/>
      <c r="H94" s="70"/>
      <c r="I94" s="70"/>
      <c r="J94" s="70"/>
      <c r="K94" s="70"/>
      <c r="L94" s="70"/>
      <c r="M94" s="70"/>
      <c r="N94" s="70"/>
      <c r="O94" s="70"/>
      <c r="P94" s="70"/>
      <c r="Q94" s="70"/>
      <c r="R94" s="70"/>
      <c r="S94" s="70"/>
      <c r="T94" s="91"/>
      <c r="U94" s="70"/>
      <c r="V94" s="69"/>
      <c r="W94" s="69"/>
      <c r="X94" s="69"/>
      <c r="Y94" s="69"/>
      <c r="Z94" s="69"/>
      <c r="AA94" s="69"/>
      <c r="AB94" s="69"/>
      <c r="AC94" s="69"/>
      <c r="AD94" s="69"/>
      <c r="AE94" s="69"/>
      <c r="AF94" s="69"/>
      <c r="AG94" s="69"/>
      <c r="AH94" s="69"/>
      <c r="AI94" s="69"/>
      <c r="AJ94" s="69"/>
      <c r="AK94" s="69"/>
      <c r="AL94" s="69"/>
      <c r="AM94" s="69"/>
      <c r="AN94" s="69"/>
      <c r="AO94" s="69"/>
    </row>
    <row r="95" ht="20.25" customHeight="1" spans="1:41" x14ac:dyDescent="0.25">
      <c r="A95" s="92"/>
      <c r="B95" s="70"/>
      <c r="C95" s="70"/>
      <c r="D95" s="70"/>
      <c r="E95" s="70"/>
      <c r="F95" s="70"/>
      <c r="G95" s="70"/>
      <c r="H95" s="70"/>
      <c r="I95" s="70"/>
      <c r="J95" s="70"/>
      <c r="K95" s="70"/>
      <c r="L95" s="70"/>
      <c r="M95" s="70"/>
      <c r="N95" s="70"/>
      <c r="O95" s="70"/>
      <c r="P95" s="70"/>
      <c r="Q95" s="70"/>
      <c r="R95" s="70"/>
      <c r="S95" s="70"/>
      <c r="T95" s="91"/>
      <c r="U95" s="70"/>
      <c r="V95" s="69"/>
      <c r="W95" s="69"/>
      <c r="X95" s="69"/>
      <c r="Y95" s="69"/>
      <c r="Z95" s="69"/>
      <c r="AA95" s="69"/>
      <c r="AB95" s="69"/>
      <c r="AC95" s="69"/>
      <c r="AD95" s="69"/>
      <c r="AE95" s="69"/>
      <c r="AF95" s="69"/>
      <c r="AG95" s="69"/>
      <c r="AH95" s="69"/>
      <c r="AI95" s="69"/>
      <c r="AJ95" s="69"/>
      <c r="AK95" s="69"/>
      <c r="AL95" s="69"/>
      <c r="AM95" s="69"/>
      <c r="AN95" s="69"/>
      <c r="AO95" s="69"/>
    </row>
    <row r="96" ht="20.25" customHeight="1" spans="1:41" x14ac:dyDescent="0.25">
      <c r="A96" s="92"/>
      <c r="B96" s="70"/>
      <c r="C96" s="70"/>
      <c r="D96" s="70"/>
      <c r="E96" s="70"/>
      <c r="F96" s="70"/>
      <c r="G96" s="70"/>
      <c r="H96" s="70"/>
      <c r="I96" s="70"/>
      <c r="J96" s="70"/>
      <c r="K96" s="70"/>
      <c r="L96" s="70"/>
      <c r="M96" s="70"/>
      <c r="N96" s="70"/>
      <c r="O96" s="70"/>
      <c r="P96" s="70"/>
      <c r="Q96" s="70"/>
      <c r="R96" s="70"/>
      <c r="S96" s="70"/>
      <c r="T96" s="91"/>
      <c r="U96" s="70"/>
      <c r="V96" s="69"/>
      <c r="W96" s="69"/>
      <c r="X96" s="69"/>
      <c r="Y96" s="69"/>
      <c r="Z96" s="69"/>
      <c r="AA96" s="69"/>
      <c r="AB96" s="69"/>
      <c r="AC96" s="69"/>
      <c r="AD96" s="69"/>
      <c r="AE96" s="69"/>
      <c r="AF96" s="69"/>
      <c r="AG96" s="69"/>
      <c r="AH96" s="69"/>
      <c r="AI96" s="69"/>
      <c r="AJ96" s="69"/>
      <c r="AK96" s="69"/>
      <c r="AL96" s="69"/>
      <c r="AM96" s="69"/>
      <c r="AN96" s="69"/>
      <c r="AO96" s="69"/>
    </row>
    <row r="97" ht="20.25" customHeight="1" spans="1:41" x14ac:dyDescent="0.25">
      <c r="A97" s="93"/>
      <c r="B97" s="77"/>
      <c r="C97" s="77"/>
      <c r="D97" s="77"/>
      <c r="E97" s="77"/>
      <c r="F97" s="77"/>
      <c r="G97" s="77"/>
      <c r="H97" s="77"/>
      <c r="I97" s="77"/>
      <c r="J97" s="77"/>
      <c r="K97" s="77"/>
      <c r="L97" s="77"/>
      <c r="M97" s="77"/>
      <c r="N97" s="77"/>
      <c r="O97" s="77"/>
      <c r="P97" s="77"/>
      <c r="Q97" s="77"/>
      <c r="R97" s="77"/>
      <c r="S97" s="77"/>
      <c r="T97" s="94"/>
      <c r="U97" s="70"/>
      <c r="V97" s="69"/>
      <c r="W97" s="69"/>
      <c r="X97" s="69"/>
      <c r="Y97" s="69"/>
      <c r="Z97" s="69"/>
      <c r="AA97" s="69"/>
      <c r="AB97" s="69"/>
      <c r="AC97" s="69"/>
      <c r="AD97" s="69"/>
      <c r="AE97" s="69"/>
      <c r="AF97" s="69"/>
      <c r="AG97" s="69"/>
      <c r="AH97" s="69"/>
      <c r="AI97" s="69"/>
      <c r="AJ97" s="69"/>
      <c r="AK97" s="69"/>
      <c r="AL97" s="69"/>
      <c r="AM97" s="69"/>
      <c r="AN97" s="69"/>
      <c r="AO97" s="69"/>
    </row>
    <row r="98" ht="20.25" customHeight="1" spans="1:41" x14ac:dyDescent="0.25">
      <c r="A98" s="70"/>
      <c r="B98" s="70"/>
      <c r="C98" s="70"/>
      <c r="D98" s="70"/>
      <c r="E98" s="70"/>
      <c r="F98" s="70"/>
      <c r="G98" s="70"/>
      <c r="H98" s="70"/>
      <c r="I98" s="70"/>
      <c r="J98" s="70"/>
      <c r="K98" s="70"/>
      <c r="L98" s="70"/>
      <c r="M98" s="70"/>
      <c r="N98" s="70"/>
      <c r="O98" s="70"/>
      <c r="P98" s="70"/>
      <c r="Q98" s="70"/>
      <c r="R98" s="70"/>
      <c r="S98" s="70"/>
      <c r="T98" s="70"/>
      <c r="U98" s="70"/>
      <c r="V98" s="69"/>
      <c r="W98" s="69"/>
      <c r="X98" s="69"/>
      <c r="Y98" s="69"/>
      <c r="Z98" s="69"/>
      <c r="AA98" s="69"/>
      <c r="AB98" s="69"/>
      <c r="AC98" s="69"/>
      <c r="AD98" s="69"/>
      <c r="AE98" s="69"/>
      <c r="AF98" s="69"/>
      <c r="AG98" s="69"/>
      <c r="AH98" s="69"/>
      <c r="AI98" s="69"/>
      <c r="AJ98" s="69"/>
      <c r="AK98" s="69"/>
      <c r="AL98" s="69"/>
      <c r="AM98" s="69"/>
      <c r="AN98" s="69"/>
      <c r="AO98" s="69"/>
    </row>
    <row r="99" ht="20.25" customHeight="1" spans="1:41" x14ac:dyDescent="0.25">
      <c r="A99" s="70"/>
      <c r="B99" s="70"/>
      <c r="C99" s="70"/>
      <c r="D99" s="70"/>
      <c r="E99" s="70"/>
      <c r="F99" s="70"/>
      <c r="G99" s="70"/>
      <c r="H99" s="70"/>
      <c r="I99" s="70"/>
      <c r="J99" s="70"/>
      <c r="K99" s="70"/>
      <c r="L99" s="70"/>
      <c r="M99" s="70"/>
      <c r="N99" s="70"/>
      <c r="O99" s="70"/>
      <c r="P99" s="70"/>
      <c r="Q99" s="70"/>
      <c r="R99" s="70"/>
      <c r="S99" s="70"/>
      <c r="T99" s="70"/>
      <c r="U99" s="70"/>
      <c r="V99" s="69"/>
      <c r="W99" s="69"/>
      <c r="X99" s="69"/>
      <c r="Y99" s="69"/>
      <c r="Z99" s="69"/>
      <c r="AA99" s="69"/>
      <c r="AB99" s="69"/>
      <c r="AC99" s="69"/>
      <c r="AD99" s="69"/>
      <c r="AE99" s="69"/>
      <c r="AF99" s="69"/>
      <c r="AG99" s="69"/>
      <c r="AH99" s="69"/>
      <c r="AI99" s="69"/>
      <c r="AJ99" s="69"/>
      <c r="AK99" s="69"/>
      <c r="AL99" s="69"/>
      <c r="AM99" s="69"/>
      <c r="AN99" s="69"/>
      <c r="AO99" s="69"/>
    </row>
    <row r="100" ht="20.25" customHeight="1" spans="1:41" x14ac:dyDescent="0.25">
      <c r="A100" s="70"/>
      <c r="B100" s="70"/>
      <c r="C100" s="70"/>
      <c r="D100" s="70"/>
      <c r="E100" s="70"/>
      <c r="F100" s="70"/>
      <c r="G100" s="70"/>
      <c r="H100" s="70"/>
      <c r="I100" s="70"/>
      <c r="J100" s="70"/>
      <c r="K100" s="70"/>
      <c r="L100" s="70"/>
      <c r="M100" s="70"/>
      <c r="N100" s="70"/>
      <c r="O100" s="70"/>
      <c r="P100" s="70"/>
      <c r="Q100" s="70"/>
      <c r="R100" s="70"/>
      <c r="S100" s="70"/>
      <c r="T100" s="70"/>
      <c r="U100" s="70"/>
      <c r="V100" s="69"/>
      <c r="W100" s="69"/>
      <c r="X100" s="69"/>
      <c r="Y100" s="69"/>
      <c r="Z100" s="69"/>
      <c r="AA100" s="69"/>
      <c r="AB100" s="69"/>
      <c r="AC100" s="69"/>
      <c r="AD100" s="69"/>
      <c r="AE100" s="69"/>
      <c r="AF100" s="69"/>
      <c r="AG100" s="69"/>
      <c r="AH100" s="69"/>
      <c r="AI100" s="69"/>
      <c r="AJ100" s="69"/>
      <c r="AK100" s="69"/>
      <c r="AL100" s="69"/>
      <c r="AM100" s="69"/>
      <c r="AN100" s="69"/>
      <c r="AO100" s="69"/>
    </row>
    <row r="101" ht="30" customHeight="1" spans="1:41" x14ac:dyDescent="0.25">
      <c r="A101" s="119" t="s">
        <v>184</v>
      </c>
      <c r="B101" s="119"/>
      <c r="C101" s="119"/>
      <c r="D101" s="119"/>
      <c r="E101" s="119"/>
      <c r="F101" s="119"/>
      <c r="G101" s="119"/>
      <c r="H101" s="119"/>
      <c r="I101" s="119"/>
      <c r="J101" s="119"/>
      <c r="K101" s="119"/>
      <c r="L101" s="119"/>
      <c r="M101" s="119"/>
      <c r="N101" s="119"/>
      <c r="O101" s="119"/>
      <c r="P101" s="119"/>
      <c r="Q101" s="119"/>
      <c r="R101" s="119"/>
      <c r="S101" s="119"/>
      <c r="T101" s="119"/>
      <c r="U101" s="70"/>
      <c r="V101" s="69"/>
      <c r="W101" s="69"/>
      <c r="X101" s="69"/>
      <c r="Y101" s="69"/>
      <c r="Z101" s="69"/>
      <c r="AA101" s="69"/>
      <c r="AB101" s="69"/>
      <c r="AC101" s="69"/>
      <c r="AD101" s="69"/>
      <c r="AE101" s="69"/>
      <c r="AF101" s="69"/>
      <c r="AG101" s="69"/>
      <c r="AH101" s="69"/>
      <c r="AI101" s="69"/>
      <c r="AJ101" s="69"/>
      <c r="AK101" s="69"/>
      <c r="AL101" s="69"/>
      <c r="AM101" s="69"/>
      <c r="AN101" s="69"/>
      <c r="AO101" s="69"/>
    </row>
    <row r="102" ht="30" customHeight="1" spans="1:41" x14ac:dyDescent="0.25">
      <c r="A102" s="120" t="s">
        <v>185</v>
      </c>
      <c r="B102" s="9"/>
      <c r="C102" s="121" t="s">
        <v>116</v>
      </c>
      <c r="D102" s="122" t="str">
        <f>初期入力!B8</f>
        <v>田中　聡</v>
      </c>
      <c r="E102" s="122"/>
      <c r="F102" s="122"/>
      <c r="G102" s="122"/>
      <c r="H102" s="123"/>
      <c r="I102" s="123"/>
      <c r="J102" s="123"/>
      <c r="K102" s="123"/>
      <c r="L102" s="123"/>
      <c r="M102" s="124"/>
      <c r="N102" s="125"/>
      <c r="O102" s="119"/>
      <c r="P102" s="119"/>
      <c r="Q102" s="119"/>
      <c r="R102" s="119"/>
      <c r="S102" s="119"/>
      <c r="T102" s="119"/>
      <c r="U102" s="70"/>
      <c r="V102" s="69"/>
      <c r="W102" s="126"/>
      <c r="X102" s="69"/>
      <c r="Y102" s="69"/>
      <c r="Z102" s="69"/>
      <c r="AA102" s="69"/>
      <c r="AB102" s="69"/>
      <c r="AC102" s="69"/>
      <c r="AD102" s="69"/>
      <c r="AE102" s="69"/>
      <c r="AF102" s="69"/>
      <c r="AG102" s="69"/>
      <c r="AH102" s="69"/>
      <c r="AI102" s="69"/>
      <c r="AJ102" s="69"/>
      <c r="AK102" s="69"/>
      <c r="AL102" s="69"/>
      <c r="AM102" s="69"/>
      <c r="AN102" s="69"/>
      <c r="AO102" s="69"/>
    </row>
    <row r="103" ht="30" customHeight="1" spans="1:41" x14ac:dyDescent="0.25">
      <c r="A103" s="127" t="s">
        <v>186</v>
      </c>
      <c r="B103" s="14"/>
      <c r="C103" s="121" t="s">
        <v>116</v>
      </c>
      <c r="D103" s="120" t="str">
        <f>初期入力!B9</f>
        <v>一級</v>
      </c>
      <c r="E103" s="9"/>
      <c r="F103" s="121" t="s">
        <v>20</v>
      </c>
      <c r="G103" s="121"/>
      <c r="H103" s="121" t="str">
        <f>初期入力!B10</f>
        <v>■管理建築士　　□所属する建築士</v>
      </c>
      <c r="I103" s="121"/>
      <c r="J103" s="121"/>
      <c r="K103" s="121"/>
      <c r="L103" s="121"/>
      <c r="M103" s="121"/>
      <c r="N103" s="125"/>
      <c r="O103" s="119"/>
      <c r="P103" s="119"/>
      <c r="Q103" s="119"/>
      <c r="R103" s="119"/>
      <c r="S103" s="119"/>
      <c r="T103" s="119"/>
      <c r="U103" s="119"/>
      <c r="V103" s="69"/>
      <c r="W103" s="69"/>
      <c r="X103" s="69"/>
      <c r="Y103" s="69"/>
      <c r="Z103" s="69"/>
      <c r="AA103" s="69"/>
      <c r="AB103" s="69"/>
      <c r="AC103" s="69"/>
      <c r="AD103" s="69"/>
      <c r="AE103" s="69"/>
      <c r="AF103" s="69"/>
      <c r="AG103" s="69"/>
      <c r="AH103" s="69"/>
      <c r="AI103" s="69"/>
      <c r="AJ103" s="69"/>
      <c r="AK103" s="69"/>
      <c r="AL103" s="69"/>
      <c r="AM103" s="69"/>
      <c r="AN103" s="69"/>
      <c r="AO103" s="69"/>
    </row>
    <row r="104" ht="30" customHeight="1" spans="1:41" x14ac:dyDescent="0.25">
      <c r="A104" s="119"/>
      <c r="B104" s="119"/>
      <c r="C104" s="119"/>
      <c r="D104" s="119"/>
      <c r="E104" s="119"/>
      <c r="F104" s="119"/>
      <c r="G104" s="119"/>
      <c r="H104" s="119"/>
      <c r="I104" s="119"/>
      <c r="J104" s="119"/>
      <c r="K104" s="119"/>
      <c r="L104" s="119"/>
      <c r="M104" s="119"/>
      <c r="N104" s="119"/>
      <c r="O104" s="119"/>
      <c r="P104" s="119"/>
      <c r="Q104" s="119"/>
      <c r="R104" s="119"/>
      <c r="S104" s="119"/>
      <c r="T104" s="119"/>
      <c r="U104" s="70"/>
      <c r="V104" s="69"/>
      <c r="W104" s="69"/>
      <c r="X104" s="69"/>
      <c r="Y104" s="69"/>
      <c r="Z104" s="69"/>
      <c r="AA104" s="69"/>
      <c r="AB104" s="69"/>
      <c r="AC104" s="69"/>
      <c r="AD104" s="69"/>
      <c r="AE104" s="69"/>
      <c r="AF104" s="69"/>
      <c r="AG104" s="69"/>
      <c r="AH104" s="69"/>
      <c r="AI104" s="69"/>
      <c r="AJ104" s="69"/>
      <c r="AK104" s="69"/>
      <c r="AL104" s="69"/>
      <c r="AM104" s="69"/>
      <c r="AN104" s="69"/>
      <c r="AO104" s="69"/>
    </row>
    <row r="105" ht="30" customHeight="1" spans="1:41" x14ac:dyDescent="0.25">
      <c r="A105" s="119"/>
      <c r="B105" s="119"/>
      <c r="C105" s="119"/>
      <c r="D105" s="119"/>
      <c r="E105" s="119"/>
      <c r="F105" s="119"/>
      <c r="G105" s="119"/>
      <c r="H105" s="119"/>
      <c r="I105" s="119"/>
      <c r="J105" s="119"/>
      <c r="K105" s="119"/>
      <c r="L105" s="119"/>
      <c r="M105" s="119"/>
      <c r="N105" s="119"/>
      <c r="O105" s="119"/>
      <c r="P105" s="119"/>
      <c r="Q105" s="119"/>
      <c r="R105" s="119"/>
      <c r="S105" s="119"/>
      <c r="T105" s="119"/>
      <c r="U105" s="70"/>
      <c r="V105" s="69"/>
      <c r="W105" s="69"/>
      <c r="X105" s="69"/>
      <c r="Y105" s="69"/>
      <c r="Z105" s="69"/>
      <c r="AA105" s="69"/>
      <c r="AB105" s="69"/>
      <c r="AC105" s="69"/>
      <c r="AD105" s="69"/>
      <c r="AE105" s="69"/>
      <c r="AF105" s="69"/>
      <c r="AG105" s="69"/>
      <c r="AH105" s="69"/>
      <c r="AI105" s="69"/>
      <c r="AJ105" s="69"/>
      <c r="AK105" s="69"/>
      <c r="AL105" s="69"/>
      <c r="AM105" s="69"/>
      <c r="AN105" s="69"/>
      <c r="AO105" s="69"/>
    </row>
    <row r="106" ht="30" customHeight="1" spans="1:41" x14ac:dyDescent="0.25">
      <c r="A106" s="119" t="s">
        <v>187</v>
      </c>
      <c r="B106" s="119"/>
      <c r="C106" s="119"/>
      <c r="D106" s="119"/>
      <c r="E106" s="119"/>
      <c r="F106" s="119"/>
      <c r="G106" s="119"/>
      <c r="H106" s="119"/>
      <c r="I106" s="119"/>
      <c r="J106" s="119"/>
      <c r="K106" s="119"/>
      <c r="L106" s="119"/>
      <c r="M106" s="119"/>
      <c r="N106" s="119"/>
      <c r="O106" s="119"/>
      <c r="P106" s="119"/>
      <c r="Q106" s="119"/>
      <c r="R106" s="119"/>
      <c r="S106" s="119"/>
      <c r="T106" s="119"/>
      <c r="U106" s="70"/>
      <c r="V106" s="69"/>
      <c r="W106" s="69"/>
      <c r="X106" s="69"/>
      <c r="Y106" s="69"/>
      <c r="Z106" s="69"/>
      <c r="AA106" s="69"/>
      <c r="AB106" s="69"/>
      <c r="AC106" s="69"/>
      <c r="AD106" s="69"/>
      <c r="AE106" s="69"/>
      <c r="AF106" s="69"/>
      <c r="AG106" s="69"/>
      <c r="AH106" s="69"/>
      <c r="AI106" s="69"/>
      <c r="AJ106" s="69"/>
      <c r="AK106" s="69"/>
      <c r="AL106" s="69"/>
      <c r="AM106" s="69"/>
      <c r="AN106" s="69"/>
      <c r="AO106" s="69"/>
    </row>
    <row r="107" ht="30" customHeight="1" spans="1:41" x14ac:dyDescent="0.25">
      <c r="A107" s="119"/>
      <c r="B107" s="119"/>
      <c r="C107" s="119"/>
      <c r="D107" s="119"/>
      <c r="E107" s="119"/>
      <c r="F107" s="119"/>
      <c r="G107" s="119"/>
      <c r="H107" s="119"/>
      <c r="I107" s="119"/>
      <c r="J107" s="119"/>
      <c r="K107" s="119"/>
      <c r="L107" s="119"/>
      <c r="M107" s="119"/>
      <c r="N107" s="119"/>
      <c r="O107" s="128"/>
      <c r="P107" s="119"/>
      <c r="Q107" s="119"/>
      <c r="R107" s="119"/>
      <c r="S107" s="119"/>
      <c r="T107" s="129"/>
      <c r="U107" s="70"/>
      <c r="V107" s="69"/>
      <c r="W107" s="69"/>
      <c r="X107" s="69"/>
      <c r="Y107" s="69"/>
      <c r="Z107" s="69"/>
      <c r="AA107" s="69"/>
      <c r="AB107" s="69"/>
      <c r="AC107" s="69"/>
      <c r="AD107" s="69"/>
      <c r="AE107" s="69"/>
      <c r="AF107" s="69"/>
      <c r="AG107" s="69"/>
      <c r="AH107" s="69"/>
      <c r="AI107" s="69"/>
      <c r="AJ107" s="69"/>
      <c r="AK107" s="69"/>
      <c r="AL107" s="69"/>
      <c r="AM107" s="69"/>
      <c r="AN107" s="69"/>
      <c r="AO107" s="69"/>
    </row>
    <row r="108" ht="30" customHeight="1" spans="1:41" x14ac:dyDescent="0.25">
      <c r="A108" s="119" t="s">
        <v>188</v>
      </c>
      <c r="B108" s="119"/>
      <c r="C108" s="119"/>
      <c r="D108" s="119"/>
      <c r="E108" s="119"/>
      <c r="F108" s="119"/>
      <c r="G108" s="119"/>
      <c r="H108" s="119"/>
      <c r="I108" s="119"/>
      <c r="J108" s="119"/>
      <c r="K108" s="119"/>
      <c r="L108" s="119"/>
      <c r="M108" s="119"/>
      <c r="N108" s="119"/>
      <c r="O108" s="119"/>
      <c r="P108" s="119"/>
      <c r="Q108" s="119"/>
      <c r="R108" s="119"/>
      <c r="S108" s="119"/>
      <c r="T108" s="119"/>
      <c r="U108" s="70"/>
      <c r="V108" s="69"/>
      <c r="W108" s="69"/>
      <c r="X108" s="69"/>
      <c r="Y108" s="69"/>
      <c r="Z108" s="69"/>
      <c r="AA108" s="69"/>
      <c r="AB108" s="69"/>
      <c r="AC108" s="69"/>
      <c r="AD108" s="69"/>
      <c r="AE108" s="69"/>
      <c r="AF108" s="69"/>
      <c r="AG108" s="69"/>
      <c r="AH108" s="69"/>
      <c r="AI108" s="69"/>
      <c r="AJ108" s="69"/>
      <c r="AK108" s="69"/>
      <c r="AL108" s="69"/>
      <c r="AM108" s="69"/>
      <c r="AN108" s="69"/>
      <c r="AO108" s="69"/>
    </row>
    <row r="109" ht="30" customHeight="1" spans="1:41" x14ac:dyDescent="0.25">
      <c r="A109" s="120" t="s">
        <v>189</v>
      </c>
      <c r="B109" s="9"/>
      <c r="C109" s="121" t="s">
        <v>116</v>
      </c>
      <c r="D109" s="121"/>
      <c r="E109" s="130">
        <f>初期入力!B5</f>
        <v>0</v>
      </c>
      <c r="F109" s="130"/>
      <c r="G109" s="130"/>
      <c r="H109" s="130"/>
      <c r="I109" s="130"/>
      <c r="J109" s="130"/>
      <c r="K109" s="130"/>
      <c r="L109" s="130"/>
      <c r="M109" s="130"/>
      <c r="N109" s="130"/>
      <c r="O109" s="130"/>
      <c r="P109" s="131"/>
      <c r="Q109" s="131"/>
      <c r="R109" s="131"/>
      <c r="S109" s="131"/>
      <c r="T109" s="119"/>
      <c r="U109" s="70"/>
      <c r="V109" s="69"/>
      <c r="W109" s="69"/>
      <c r="X109" s="69"/>
      <c r="Y109" s="69"/>
      <c r="Z109" s="69"/>
      <c r="AA109" s="69"/>
      <c r="AB109" s="69"/>
      <c r="AC109" s="69"/>
      <c r="AD109" s="69"/>
      <c r="AE109" s="69"/>
      <c r="AF109" s="69"/>
      <c r="AG109" s="69"/>
      <c r="AH109" s="69"/>
      <c r="AI109" s="69"/>
      <c r="AJ109" s="69"/>
      <c r="AK109" s="69"/>
      <c r="AL109" s="69"/>
      <c r="AM109" s="69"/>
      <c r="AN109" s="69"/>
      <c r="AO109" s="69"/>
    </row>
    <row r="110" ht="30" customHeight="1" spans="1:41" x14ac:dyDescent="0.25">
      <c r="A110" s="127" t="s">
        <v>185</v>
      </c>
      <c r="B110" s="14"/>
      <c r="C110" s="132" t="s">
        <v>116</v>
      </c>
      <c r="D110" s="133"/>
      <c r="E110" s="134">
        <f>初期入力!B4</f>
        <v>0</v>
      </c>
      <c r="F110" s="134"/>
      <c r="G110" s="134"/>
      <c r="H110" s="134"/>
      <c r="I110" s="134"/>
      <c r="J110" s="134"/>
      <c r="K110" s="134"/>
      <c r="L110" s="134"/>
      <c r="M110" s="134"/>
      <c r="N110" s="134"/>
      <c r="O110" s="134"/>
      <c r="P110" s="119"/>
      <c r="Q110" s="119"/>
      <c r="R110" s="119"/>
      <c r="S110" s="119"/>
      <c r="T110" s="119"/>
      <c r="U110" s="70"/>
      <c r="V110" s="69"/>
      <c r="W110" s="69"/>
      <c r="X110" s="69"/>
      <c r="Y110" s="69"/>
      <c r="Z110" s="69"/>
      <c r="AA110" s="69"/>
      <c r="AB110" s="69"/>
      <c r="AC110" s="69"/>
      <c r="AD110" s="69"/>
      <c r="AE110" s="69"/>
      <c r="AF110" s="69"/>
      <c r="AG110" s="69"/>
      <c r="AH110" s="69"/>
      <c r="AI110" s="69"/>
      <c r="AJ110" s="69"/>
      <c r="AK110" s="69"/>
      <c r="AL110" s="69"/>
      <c r="AM110" s="69"/>
      <c r="AN110" s="69"/>
      <c r="AO110" s="69"/>
    </row>
    <row r="111" ht="30" customHeight="1" spans="1:41" x14ac:dyDescent="0.25">
      <c r="A111" s="120" t="s">
        <v>189</v>
      </c>
      <c r="B111" s="9"/>
      <c r="C111" s="121" t="s">
        <v>116</v>
      </c>
      <c r="D111" s="121"/>
      <c r="E111" s="130">
        <f>IF(初期入力!B7="","",初期入力!B7)</f>
      </c>
      <c r="F111" s="130"/>
      <c r="G111" s="130"/>
      <c r="H111" s="130"/>
      <c r="I111" s="130"/>
      <c r="J111" s="130"/>
      <c r="K111" s="130"/>
      <c r="L111" s="130"/>
      <c r="M111" s="130"/>
      <c r="N111" s="130"/>
      <c r="O111" s="130"/>
      <c r="P111" s="119"/>
      <c r="Q111" s="119"/>
      <c r="R111" s="119"/>
      <c r="S111" s="119"/>
      <c r="T111" s="119"/>
      <c r="U111" s="70"/>
      <c r="V111" s="69"/>
      <c r="W111" s="69"/>
      <c r="X111" s="69"/>
      <c r="Y111" s="69"/>
      <c r="Z111" s="69"/>
      <c r="AA111" s="69"/>
      <c r="AB111" s="69"/>
      <c r="AC111" s="69"/>
      <c r="AD111" s="69"/>
      <c r="AE111" s="69"/>
      <c r="AF111" s="69"/>
      <c r="AG111" s="69"/>
      <c r="AH111" s="69"/>
      <c r="AI111" s="69"/>
      <c r="AJ111" s="69"/>
      <c r="AK111" s="69"/>
      <c r="AL111" s="69"/>
      <c r="AM111" s="69"/>
      <c r="AN111" s="69"/>
      <c r="AO111" s="69"/>
    </row>
    <row r="112" ht="30" customHeight="1" spans="1:41" x14ac:dyDescent="0.25">
      <c r="A112" s="127" t="s">
        <v>185</v>
      </c>
      <c r="B112" s="14"/>
      <c r="C112" s="132" t="s">
        <v>116</v>
      </c>
      <c r="D112" s="132"/>
      <c r="E112" s="135">
        <f>IF(初期入力!B6="","",初期入力!B6)</f>
      </c>
      <c r="F112" s="135"/>
      <c r="G112" s="135"/>
      <c r="H112" s="135"/>
      <c r="I112" s="135"/>
      <c r="J112" s="135"/>
      <c r="K112" s="135"/>
      <c r="L112" s="135"/>
      <c r="M112" s="135"/>
      <c r="N112" s="135"/>
      <c r="O112" s="135"/>
      <c r="P112" s="70"/>
      <c r="Q112" s="70"/>
      <c r="R112" s="70"/>
      <c r="S112" s="70"/>
      <c r="T112" s="70"/>
      <c r="U112" s="70"/>
      <c r="V112" s="69"/>
      <c r="W112" s="69"/>
      <c r="X112" s="69"/>
      <c r="Y112" s="69"/>
      <c r="Z112" s="69"/>
      <c r="AA112" s="69"/>
      <c r="AB112" s="69"/>
      <c r="AC112" s="69"/>
      <c r="AD112" s="69"/>
      <c r="AE112" s="69"/>
      <c r="AF112" s="69"/>
      <c r="AG112" s="69"/>
      <c r="AH112" s="69"/>
      <c r="AI112" s="69"/>
      <c r="AJ112" s="69"/>
      <c r="AK112" s="69"/>
      <c r="AL112" s="69"/>
      <c r="AM112" s="69"/>
      <c r="AN112" s="69"/>
      <c r="AO112" s="69"/>
    </row>
    <row r="113" ht="30" customHeight="1" spans="1:41" x14ac:dyDescent="0.25">
      <c r="A113" s="136"/>
      <c r="B113" s="137"/>
      <c r="C113" s="119"/>
      <c r="D113" s="119"/>
      <c r="E113" s="138"/>
      <c r="F113" s="137"/>
      <c r="G113" s="137"/>
      <c r="H113" s="137"/>
      <c r="I113" s="137"/>
      <c r="J113" s="137"/>
      <c r="K113" s="137"/>
      <c r="L113" s="137"/>
      <c r="M113" s="139"/>
      <c r="N113" s="70"/>
      <c r="O113" s="70"/>
      <c r="P113" s="70"/>
      <c r="Q113" s="70"/>
      <c r="R113" s="70"/>
      <c r="S113" s="70"/>
      <c r="T113" s="70"/>
      <c r="U113" s="70"/>
      <c r="V113" s="69"/>
      <c r="W113" s="69"/>
      <c r="X113" s="69"/>
      <c r="Y113" s="69"/>
      <c r="Z113" s="69"/>
      <c r="AA113" s="69"/>
      <c r="AB113" s="69"/>
      <c r="AC113" s="69"/>
      <c r="AD113" s="69"/>
      <c r="AE113" s="69"/>
      <c r="AF113" s="69"/>
      <c r="AG113" s="69"/>
      <c r="AH113" s="69"/>
      <c r="AI113" s="69"/>
      <c r="AJ113" s="69"/>
      <c r="AK113" s="69"/>
      <c r="AL113" s="69"/>
      <c r="AM113" s="69"/>
      <c r="AN113" s="69"/>
      <c r="AO113" s="69"/>
    </row>
    <row r="114" ht="30" customHeight="1" spans="1:41" x14ac:dyDescent="0.25">
      <c r="A114" s="136"/>
      <c r="B114" s="137"/>
      <c r="C114" s="119"/>
      <c r="D114" s="119"/>
      <c r="E114" s="138"/>
      <c r="F114" s="137"/>
      <c r="G114" s="137"/>
      <c r="H114" s="137"/>
      <c r="I114" s="137"/>
      <c r="J114" s="137"/>
      <c r="K114" s="137"/>
      <c r="L114" s="137"/>
      <c r="M114" s="139"/>
      <c r="N114" s="70"/>
      <c r="O114" s="70"/>
      <c r="P114" s="70"/>
      <c r="Q114" s="70"/>
      <c r="R114" s="70"/>
      <c r="S114" s="70"/>
      <c r="T114" s="70"/>
      <c r="U114" s="70"/>
      <c r="V114" s="69"/>
      <c r="W114" s="69"/>
      <c r="X114" s="69"/>
      <c r="Y114" s="69"/>
      <c r="Z114" s="69"/>
      <c r="AA114" s="69"/>
      <c r="AB114" s="69"/>
      <c r="AC114" s="69"/>
      <c r="AD114" s="69"/>
      <c r="AE114" s="69"/>
      <c r="AF114" s="69"/>
      <c r="AG114" s="69"/>
      <c r="AH114" s="69"/>
      <c r="AI114" s="69"/>
      <c r="AJ114" s="69"/>
      <c r="AK114" s="69"/>
      <c r="AL114" s="69"/>
      <c r="AM114" s="69"/>
      <c r="AN114" s="69"/>
      <c r="AO114" s="69"/>
    </row>
    <row r="115" ht="20.25" customHeight="1" spans="1:41" x14ac:dyDescent="0.25">
      <c r="A115" s="70"/>
      <c r="B115" s="70"/>
      <c r="C115" s="70"/>
      <c r="D115" s="70"/>
      <c r="E115" s="70"/>
      <c r="F115" s="70"/>
      <c r="G115" s="70"/>
      <c r="H115" s="70"/>
      <c r="I115" s="70"/>
      <c r="J115" s="70"/>
      <c r="K115" s="70"/>
      <c r="L115" s="70"/>
      <c r="M115" s="70"/>
      <c r="N115" s="70"/>
      <c r="O115" s="70"/>
      <c r="P115" s="70"/>
      <c r="Q115" s="70"/>
      <c r="R115" s="70"/>
      <c r="S115" s="70"/>
      <c r="T115" s="70"/>
      <c r="U115" s="70"/>
      <c r="V115" s="69"/>
      <c r="W115" s="69"/>
      <c r="X115" s="69"/>
      <c r="Y115" s="69"/>
      <c r="Z115" s="69"/>
      <c r="AA115" s="69"/>
      <c r="AB115" s="69"/>
      <c r="AC115" s="69"/>
      <c r="AD115" s="69"/>
      <c r="AE115" s="69"/>
      <c r="AF115" s="69"/>
      <c r="AG115" s="69"/>
      <c r="AH115" s="69"/>
      <c r="AI115" s="69"/>
      <c r="AJ115" s="69"/>
      <c r="AK115" s="69"/>
      <c r="AL115" s="69"/>
      <c r="AM115" s="69"/>
      <c r="AN115" s="69"/>
      <c r="AO115" s="69"/>
    </row>
    <row r="116" ht="20.25" customHeight="1" spans="1:41" x14ac:dyDescent="0.25">
      <c r="A116" s="66" t="s">
        <v>190</v>
      </c>
      <c r="B116" s="1"/>
      <c r="C116" s="1"/>
      <c r="D116" s="1"/>
      <c r="E116" s="1"/>
      <c r="F116" s="1"/>
      <c r="G116" s="1"/>
      <c r="H116" s="1"/>
      <c r="I116" s="1"/>
      <c r="J116" s="1"/>
      <c r="K116" s="1"/>
      <c r="L116" s="1"/>
      <c r="M116" s="1"/>
      <c r="N116" s="1"/>
      <c r="O116" s="1"/>
      <c r="P116" s="1"/>
      <c r="Q116" s="1"/>
      <c r="R116" s="1"/>
      <c r="S116" s="1"/>
      <c r="T116" s="1"/>
      <c r="U116" s="1"/>
      <c r="V116" s="69"/>
      <c r="W116" s="69"/>
      <c r="X116" s="69"/>
      <c r="Y116" s="69"/>
      <c r="Z116" s="69"/>
      <c r="AA116" s="69"/>
      <c r="AB116" s="69"/>
      <c r="AC116" s="69"/>
      <c r="AD116" s="69"/>
      <c r="AE116" s="69"/>
      <c r="AF116" s="69"/>
      <c r="AG116" s="69"/>
      <c r="AH116" s="69"/>
      <c r="AI116" s="69"/>
      <c r="AJ116" s="69"/>
      <c r="AK116" s="69"/>
      <c r="AL116" s="69"/>
      <c r="AM116" s="69"/>
      <c r="AN116" s="69"/>
      <c r="AO116" s="69"/>
    </row>
    <row r="117" ht="20.25" customHeight="1" spans="1:41" x14ac:dyDescent="0.25">
      <c r="A117" s="66"/>
      <c r="B117" s="66"/>
      <c r="C117" s="66"/>
      <c r="D117" s="66"/>
      <c r="E117" s="66"/>
      <c r="F117" s="66"/>
      <c r="G117" s="66"/>
      <c r="H117" s="66"/>
      <c r="I117" s="66"/>
      <c r="J117" s="66"/>
      <c r="K117" s="66"/>
      <c r="L117" s="66"/>
      <c r="M117" s="66"/>
      <c r="N117" s="66"/>
      <c r="O117" s="66"/>
      <c r="P117" s="66"/>
      <c r="Q117" s="66"/>
      <c r="R117" s="66"/>
      <c r="S117" s="66"/>
      <c r="T117" s="66"/>
      <c r="U117" s="66"/>
      <c r="V117" s="69"/>
      <c r="W117" s="69"/>
      <c r="X117" s="69"/>
      <c r="Y117" s="69"/>
      <c r="Z117" s="69"/>
      <c r="AA117" s="69"/>
      <c r="AB117" s="69"/>
      <c r="AC117" s="69"/>
      <c r="AD117" s="69"/>
      <c r="AE117" s="69"/>
      <c r="AF117" s="69"/>
      <c r="AG117" s="69"/>
      <c r="AH117" s="69"/>
      <c r="AI117" s="69"/>
      <c r="AJ117" s="69"/>
      <c r="AK117" s="69"/>
      <c r="AL117" s="69"/>
      <c r="AM117" s="69"/>
      <c r="AN117" s="69"/>
      <c r="AO117" s="69"/>
    </row>
    <row r="118" ht="20.25" customHeight="1" spans="1:41" x14ac:dyDescent="0.25">
      <c r="A118" s="70"/>
      <c r="B118" s="70"/>
      <c r="C118" s="70"/>
      <c r="D118" s="70"/>
      <c r="E118" s="70"/>
      <c r="F118" s="70"/>
      <c r="G118" s="70"/>
      <c r="H118" s="70"/>
      <c r="I118" s="70"/>
      <c r="J118" s="70"/>
      <c r="K118" s="70"/>
      <c r="L118" s="70"/>
      <c r="M118" s="70"/>
      <c r="N118" s="70"/>
      <c r="O118" s="140">
        <f>初期入力!C13</f>
        <v>2025</v>
      </c>
      <c r="P118" s="140"/>
      <c r="Q118" s="141" t="s">
        <v>33</v>
      </c>
      <c r="R118" s="141">
        <f>初期入力!E13</f>
        <v>7</v>
      </c>
      <c r="S118" s="141" t="s">
        <v>34</v>
      </c>
      <c r="T118" s="141">
        <f>初期入力!G13</f>
        <v>25</v>
      </c>
      <c r="U118" s="70" t="s">
        <v>35</v>
      </c>
      <c r="V118" s="69"/>
      <c r="W118" s="69"/>
      <c r="X118" s="69"/>
      <c r="Y118" s="69"/>
      <c r="Z118" s="69"/>
      <c r="AA118" s="69"/>
      <c r="AB118" s="69"/>
      <c r="AC118" s="69"/>
      <c r="AD118" s="69"/>
      <c r="AE118" s="69"/>
      <c r="AF118" s="69"/>
      <c r="AG118" s="69"/>
      <c r="AH118" s="69"/>
      <c r="AI118" s="69"/>
      <c r="AJ118" s="69"/>
      <c r="AK118" s="69"/>
      <c r="AL118" s="69"/>
      <c r="AM118" s="69"/>
      <c r="AN118" s="69"/>
      <c r="AO118" s="69"/>
    </row>
    <row r="119" ht="20.25" customHeight="1" spans="1:41" x14ac:dyDescent="0.25">
      <c r="A119" s="70"/>
      <c r="B119" s="70"/>
      <c r="C119" s="70"/>
      <c r="D119" s="70"/>
      <c r="E119" s="70"/>
      <c r="F119" s="70"/>
      <c r="G119" s="70"/>
      <c r="H119" s="70"/>
      <c r="I119" s="70"/>
      <c r="J119" s="70"/>
      <c r="K119" s="70"/>
      <c r="L119" s="70"/>
      <c r="M119" s="70"/>
      <c r="N119" s="70"/>
      <c r="O119" s="70"/>
      <c r="P119" s="70"/>
      <c r="Q119" s="70"/>
      <c r="R119" s="70"/>
      <c r="S119" s="70"/>
      <c r="T119" s="70"/>
      <c r="U119" s="70"/>
      <c r="V119" s="69"/>
      <c r="W119" s="69"/>
      <c r="X119" s="69"/>
      <c r="Y119" s="69"/>
      <c r="Z119" s="69"/>
      <c r="AA119" s="69"/>
      <c r="AB119" s="69"/>
      <c r="AC119" s="69"/>
      <c r="AD119" s="69"/>
      <c r="AE119" s="69"/>
      <c r="AF119" s="69"/>
      <c r="AG119" s="69"/>
      <c r="AH119" s="69"/>
      <c r="AI119" s="69"/>
      <c r="AJ119" s="69"/>
      <c r="AK119" s="69"/>
      <c r="AL119" s="69"/>
      <c r="AM119" s="69"/>
      <c r="AN119" s="69"/>
      <c r="AO119" s="69"/>
    </row>
    <row r="120" ht="20.25" customHeight="1" spans="1:41" x14ac:dyDescent="0.25">
      <c r="A120" s="120">
        <f>初期入力!B4</f>
        <v>0</v>
      </c>
      <c r="B120" s="142"/>
      <c r="C120" s="142"/>
      <c r="D120" s="142"/>
      <c r="E120" s="142"/>
      <c r="F120" s="121" t="s">
        <v>12</v>
      </c>
      <c r="G120" s="70"/>
      <c r="H120" s="70"/>
      <c r="I120" s="70"/>
      <c r="J120" s="70"/>
      <c r="K120" s="70"/>
      <c r="L120" s="70"/>
      <c r="M120" s="70"/>
      <c r="N120" s="70"/>
      <c r="O120" s="70"/>
      <c r="P120" s="70"/>
      <c r="Q120" s="70"/>
      <c r="R120" s="70"/>
      <c r="S120" s="70"/>
      <c r="T120" s="70"/>
      <c r="U120" s="70"/>
      <c r="V120" s="82" t="s">
        <v>108</v>
      </c>
      <c r="W120" s="83"/>
      <c r="X120" s="83"/>
      <c r="Y120" s="83"/>
      <c r="Z120" s="83"/>
      <c r="AA120" s="83"/>
      <c r="AB120" s="83"/>
      <c r="AC120" s="83"/>
      <c r="AD120" s="83"/>
      <c r="AE120" s="83"/>
      <c r="AF120" s="83"/>
      <c r="AG120" s="83"/>
      <c r="AH120" s="69"/>
      <c r="AI120" s="69"/>
      <c r="AJ120" s="69"/>
      <c r="AK120" s="69"/>
      <c r="AL120" s="69"/>
      <c r="AM120" s="69"/>
      <c r="AN120" s="69"/>
      <c r="AO120" s="69"/>
    </row>
    <row r="121" ht="20.25" customHeight="1" spans="1:41" x14ac:dyDescent="0.25">
      <c r="A121" s="136">
        <f>IF(初期入力!B6="","",初期入力!B6)</f>
      </c>
      <c r="B121" s="143"/>
      <c r="C121" s="143"/>
      <c r="D121" s="143"/>
      <c r="E121" s="143"/>
      <c r="F121" s="119" t="str">
        <f>初期入力!D6</f>
        <v>様</v>
      </c>
      <c r="G121" s="70"/>
      <c r="H121" s="70"/>
      <c r="I121" s="70"/>
      <c r="J121" s="70"/>
      <c r="K121" s="70"/>
      <c r="L121" s="70"/>
      <c r="M121" s="70"/>
      <c r="N121" s="70"/>
      <c r="O121" s="70"/>
      <c r="P121" s="70"/>
      <c r="Q121" s="70"/>
      <c r="R121" s="70"/>
      <c r="S121" s="70"/>
      <c r="T121" s="70"/>
      <c r="U121" s="70"/>
      <c r="V121" s="83"/>
      <c r="W121" s="83"/>
      <c r="X121" s="83"/>
      <c r="Y121" s="83"/>
      <c r="Z121" s="83"/>
      <c r="AA121" s="83"/>
      <c r="AB121" s="83"/>
      <c r="AC121" s="83"/>
      <c r="AD121" s="83"/>
      <c r="AE121" s="83"/>
      <c r="AF121" s="83"/>
      <c r="AG121" s="83"/>
      <c r="AH121" s="69"/>
      <c r="AI121" s="69"/>
      <c r="AJ121" s="69"/>
      <c r="AK121" s="69"/>
      <c r="AL121" s="69"/>
      <c r="AM121" s="69"/>
      <c r="AN121" s="69"/>
      <c r="AO121" s="69"/>
    </row>
    <row r="122" ht="20.25" customHeight="1" spans="1:41" x14ac:dyDescent="0.25">
      <c r="A122" s="70"/>
      <c r="B122" s="70"/>
      <c r="C122" s="70"/>
      <c r="D122" s="70"/>
      <c r="E122" s="70"/>
      <c r="F122" s="70"/>
      <c r="G122" s="70"/>
      <c r="H122" s="70"/>
      <c r="I122" s="70"/>
      <c r="J122" s="70"/>
      <c r="K122" s="70"/>
      <c r="L122" s="70"/>
      <c r="M122" s="70"/>
      <c r="N122" s="70"/>
      <c r="O122" s="70"/>
      <c r="P122" s="70"/>
      <c r="Q122" s="70"/>
      <c r="R122" s="70"/>
      <c r="S122" s="70"/>
      <c r="T122" s="70"/>
      <c r="U122" s="70"/>
      <c r="V122" s="83"/>
      <c r="W122" s="83"/>
      <c r="X122" s="83"/>
      <c r="Y122" s="83"/>
      <c r="Z122" s="83"/>
      <c r="AA122" s="83"/>
      <c r="AB122" s="83"/>
      <c r="AC122" s="83"/>
      <c r="AD122" s="83"/>
      <c r="AE122" s="83"/>
      <c r="AF122" s="83"/>
      <c r="AG122" s="83"/>
      <c r="AH122" s="69"/>
      <c r="AI122" s="69"/>
      <c r="AJ122" s="69"/>
      <c r="AK122" s="69"/>
      <c r="AL122" s="69"/>
      <c r="AM122" s="69"/>
      <c r="AN122" s="69"/>
      <c r="AO122" s="69"/>
    </row>
    <row r="123" ht="20.25" customHeight="1" spans="1:41" x14ac:dyDescent="0.25">
      <c r="A123" s="70" t="s">
        <v>191</v>
      </c>
      <c r="B123" s="70"/>
      <c r="C123" s="70"/>
      <c r="D123" s="70"/>
      <c r="E123" s="70"/>
      <c r="F123" s="70"/>
      <c r="G123" s="70"/>
      <c r="H123" s="70"/>
      <c r="I123" s="70"/>
      <c r="J123" s="70"/>
      <c r="K123" s="70"/>
      <c r="L123" s="70"/>
      <c r="M123" s="70"/>
      <c r="N123" s="70"/>
      <c r="O123" s="70"/>
      <c r="P123" s="70"/>
      <c r="Q123" s="70"/>
      <c r="R123" s="70"/>
      <c r="S123" s="70"/>
      <c r="T123" s="70"/>
      <c r="U123" s="70"/>
      <c r="V123" s="69"/>
      <c r="W123" s="69"/>
      <c r="X123" s="69"/>
      <c r="Y123" s="69"/>
      <c r="Z123" s="69"/>
      <c r="AA123" s="69"/>
      <c r="AB123" s="69"/>
      <c r="AC123" s="69"/>
      <c r="AD123" s="69"/>
      <c r="AE123" s="69"/>
      <c r="AF123" s="69"/>
      <c r="AG123" s="69"/>
      <c r="AH123" s="69"/>
      <c r="AI123" s="69"/>
      <c r="AJ123" s="69"/>
      <c r="AK123" s="69"/>
      <c r="AL123" s="69"/>
      <c r="AM123" s="69"/>
      <c r="AN123" s="69"/>
      <c r="AO123" s="69"/>
    </row>
    <row r="124" ht="20.25" customHeight="1" spans="1:41" x14ac:dyDescent="0.25">
      <c r="A124" s="70" t="s">
        <v>192</v>
      </c>
      <c r="B124" s="70"/>
      <c r="C124" s="70"/>
      <c r="D124" s="70"/>
      <c r="E124" s="70"/>
      <c r="F124" s="70"/>
      <c r="G124" s="70"/>
      <c r="H124" s="70"/>
      <c r="I124" s="70"/>
      <c r="J124" s="70"/>
      <c r="K124" s="70"/>
      <c r="L124" s="70"/>
      <c r="M124" s="70"/>
      <c r="N124" s="70"/>
      <c r="O124" s="70"/>
      <c r="P124" s="70"/>
      <c r="Q124" s="70"/>
      <c r="R124" s="70"/>
      <c r="S124" s="70"/>
      <c r="T124" s="70"/>
      <c r="U124" s="70"/>
      <c r="V124" s="69"/>
      <c r="W124" s="69"/>
      <c r="X124" s="69"/>
      <c r="Y124" s="69"/>
      <c r="Z124" s="69"/>
      <c r="AA124" s="69"/>
      <c r="AB124" s="69"/>
      <c r="AC124" s="69"/>
      <c r="AD124" s="69"/>
      <c r="AE124" s="69"/>
      <c r="AF124" s="69"/>
      <c r="AG124" s="69"/>
      <c r="AH124" s="69"/>
      <c r="AI124" s="69"/>
      <c r="AJ124" s="69"/>
      <c r="AK124" s="69"/>
      <c r="AL124" s="69"/>
      <c r="AM124" s="69"/>
      <c r="AN124" s="69"/>
      <c r="AO124" s="69"/>
    </row>
    <row r="125" ht="20.25" customHeight="1" spans="1:41" x14ac:dyDescent="0.25">
      <c r="A125" s="70"/>
      <c r="B125" s="70"/>
      <c r="C125" s="70"/>
      <c r="D125" s="70"/>
      <c r="E125" s="70"/>
      <c r="F125" s="70"/>
      <c r="G125" s="70"/>
      <c r="H125" s="70"/>
      <c r="I125" s="70"/>
      <c r="J125" s="70"/>
      <c r="K125" s="70"/>
      <c r="L125" s="70"/>
      <c r="M125" s="70"/>
      <c r="N125" s="70"/>
      <c r="O125" s="70"/>
      <c r="P125" s="70"/>
      <c r="Q125" s="70"/>
      <c r="R125" s="70"/>
      <c r="S125" s="70"/>
      <c r="T125" s="70"/>
      <c r="U125" s="70"/>
      <c r="V125" s="69"/>
      <c r="W125" s="69"/>
      <c r="X125" s="69"/>
      <c r="Y125" s="69"/>
      <c r="Z125" s="69"/>
      <c r="AA125" s="69"/>
      <c r="AB125" s="69"/>
      <c r="AC125" s="69"/>
      <c r="AD125" s="69"/>
      <c r="AE125" s="69"/>
      <c r="AF125" s="69"/>
      <c r="AG125" s="69"/>
      <c r="AH125" s="69"/>
      <c r="AI125" s="69"/>
      <c r="AJ125" s="69"/>
      <c r="AK125" s="69"/>
      <c r="AL125" s="69"/>
      <c r="AM125" s="69"/>
      <c r="AN125" s="69"/>
      <c r="AO125" s="69"/>
    </row>
    <row r="126" ht="20.25" customHeight="1" spans="1:41" x14ac:dyDescent="0.25">
      <c r="A126" s="70" t="s">
        <v>193</v>
      </c>
      <c r="B126" s="70"/>
      <c r="C126" s="70"/>
      <c r="D126" s="70"/>
      <c r="E126" s="70"/>
      <c r="F126" s="70"/>
      <c r="G126" s="70"/>
      <c r="H126" s="70"/>
      <c r="I126" s="70"/>
      <c r="J126" s="70"/>
      <c r="K126" s="70"/>
      <c r="L126" s="70"/>
      <c r="M126" s="70"/>
      <c r="N126" s="70"/>
      <c r="O126" s="70"/>
      <c r="P126" s="70"/>
      <c r="Q126" s="70"/>
      <c r="R126" s="70"/>
      <c r="S126" s="70"/>
      <c r="T126" s="70"/>
      <c r="U126" s="70"/>
      <c r="V126" s="69"/>
      <c r="W126" s="69"/>
      <c r="X126" s="69"/>
      <c r="Y126" s="69"/>
      <c r="Z126" s="69"/>
      <c r="AA126" s="69"/>
      <c r="AB126" s="69"/>
      <c r="AC126" s="69"/>
      <c r="AD126" s="69"/>
      <c r="AE126" s="69"/>
      <c r="AF126" s="69"/>
      <c r="AG126" s="69"/>
      <c r="AH126" s="69"/>
      <c r="AI126" s="69"/>
      <c r="AJ126" s="69"/>
      <c r="AK126" s="69"/>
      <c r="AL126" s="69"/>
      <c r="AM126" s="69"/>
      <c r="AN126" s="69"/>
      <c r="AO126" s="69"/>
    </row>
    <row r="127" ht="20.25" customHeight="1" spans="1:41" x14ac:dyDescent="0.25">
      <c r="A127" s="100" t="s">
        <v>194</v>
      </c>
      <c r="B127" s="80"/>
      <c r="C127" s="144" t="str">
        <f>初期入力!B15</f>
        <v>大阪府大阪市旭区新森</v>
      </c>
      <c r="D127" s="28"/>
      <c r="E127" s="28"/>
      <c r="F127" s="28"/>
      <c r="G127" s="28"/>
      <c r="H127" s="28"/>
      <c r="I127" s="28"/>
      <c r="J127" s="28"/>
      <c r="K127" s="28"/>
      <c r="L127" s="28"/>
      <c r="M127" s="28"/>
      <c r="N127" s="28"/>
      <c r="O127" s="28"/>
      <c r="P127" s="28"/>
      <c r="Q127" s="28"/>
      <c r="R127" s="28"/>
      <c r="S127" s="28"/>
      <c r="T127" s="28"/>
      <c r="U127" s="29"/>
      <c r="V127" s="69"/>
      <c r="W127" s="69"/>
      <c r="X127" s="69"/>
      <c r="Y127" s="69"/>
      <c r="Z127" s="69"/>
      <c r="AA127" s="69"/>
      <c r="AB127" s="69"/>
      <c r="AC127" s="69"/>
      <c r="AD127" s="69"/>
      <c r="AE127" s="69"/>
      <c r="AF127" s="69"/>
      <c r="AG127" s="69"/>
      <c r="AH127" s="69"/>
      <c r="AI127" s="69"/>
      <c r="AJ127" s="69"/>
      <c r="AK127" s="69"/>
      <c r="AL127" s="69"/>
      <c r="AM127" s="69"/>
      <c r="AN127" s="69"/>
      <c r="AO127" s="69"/>
    </row>
    <row r="128" ht="20.25" customHeight="1" spans="1:41" x14ac:dyDescent="0.25">
      <c r="A128" s="92" t="s">
        <v>195</v>
      </c>
      <c r="B128" s="70"/>
      <c r="C128" s="70"/>
      <c r="D128" s="70"/>
      <c r="E128" s="70"/>
      <c r="F128" s="70"/>
      <c r="G128" s="70"/>
      <c r="H128" s="70"/>
      <c r="I128" s="70"/>
      <c r="J128" s="70"/>
      <c r="K128" s="70"/>
      <c r="L128" s="70"/>
      <c r="M128" s="70"/>
      <c r="N128" s="70"/>
      <c r="O128" s="70"/>
      <c r="P128" s="70"/>
      <c r="Q128" s="70"/>
      <c r="R128" s="70"/>
      <c r="S128" s="70"/>
      <c r="T128" s="70"/>
      <c r="U128" s="91"/>
      <c r="V128" s="69"/>
      <c r="W128" s="69"/>
      <c r="X128" s="69"/>
      <c r="Y128" s="69"/>
      <c r="Z128" s="69"/>
      <c r="AA128" s="69"/>
      <c r="AB128" s="69"/>
      <c r="AC128" s="69"/>
      <c r="AD128" s="69"/>
      <c r="AE128" s="69"/>
      <c r="AF128" s="69"/>
      <c r="AG128" s="69"/>
      <c r="AH128" s="69"/>
      <c r="AI128" s="69"/>
      <c r="AJ128" s="69"/>
      <c r="AK128" s="69"/>
      <c r="AL128" s="69"/>
      <c r="AM128" s="69"/>
      <c r="AN128" s="69"/>
      <c r="AO128" s="69"/>
    </row>
    <row r="129" ht="20.25" customHeight="1" spans="1:41" x14ac:dyDescent="0.25">
      <c r="A129" s="145" t="s">
        <v>196</v>
      </c>
      <c r="B129" s="1"/>
      <c r="C129" s="1"/>
      <c r="D129" s="1"/>
      <c r="E129" s="1"/>
      <c r="F129" s="1"/>
      <c r="G129" s="1"/>
      <c r="H129" s="1"/>
      <c r="I129" s="1"/>
      <c r="J129" s="1"/>
      <c r="K129" s="1"/>
      <c r="L129" s="1"/>
      <c r="M129" s="1"/>
      <c r="N129" s="1"/>
      <c r="O129" s="1"/>
      <c r="P129" s="1"/>
      <c r="Q129" s="1"/>
      <c r="R129" s="1"/>
      <c r="S129" s="1"/>
      <c r="T129" s="1"/>
      <c r="U129" s="91"/>
      <c r="V129" s="69"/>
      <c r="W129" s="69"/>
      <c r="X129" s="69"/>
      <c r="Y129" s="69"/>
      <c r="Z129" s="69"/>
      <c r="AA129" s="69"/>
      <c r="AB129" s="69"/>
      <c r="AC129" s="69"/>
      <c r="AD129" s="69"/>
      <c r="AE129" s="69"/>
      <c r="AF129" s="69"/>
      <c r="AG129" s="69"/>
      <c r="AH129" s="69"/>
      <c r="AI129" s="69"/>
      <c r="AJ129" s="69"/>
      <c r="AK129" s="69"/>
      <c r="AL129" s="69"/>
      <c r="AM129" s="69"/>
      <c r="AN129" s="69"/>
      <c r="AO129" s="69"/>
    </row>
    <row r="130" ht="20.25" customHeight="1" spans="1:41" x14ac:dyDescent="0.25">
      <c r="A130" s="16"/>
      <c r="B130" s="1"/>
      <c r="C130" s="1"/>
      <c r="D130" s="1"/>
      <c r="E130" s="1"/>
      <c r="F130" s="1"/>
      <c r="G130" s="1"/>
      <c r="H130" s="1"/>
      <c r="I130" s="1"/>
      <c r="J130" s="1"/>
      <c r="K130" s="1"/>
      <c r="L130" s="1"/>
      <c r="M130" s="1"/>
      <c r="N130" s="1"/>
      <c r="O130" s="1"/>
      <c r="P130" s="1"/>
      <c r="Q130" s="1"/>
      <c r="R130" s="1"/>
      <c r="S130" s="1"/>
      <c r="T130" s="1"/>
      <c r="U130" s="91"/>
      <c r="V130" s="69"/>
      <c r="W130" s="69"/>
      <c r="X130" s="69"/>
      <c r="Y130" s="69"/>
      <c r="Z130" s="69"/>
      <c r="AA130" s="69"/>
      <c r="AB130" s="69"/>
      <c r="AC130" s="69"/>
      <c r="AD130" s="69"/>
      <c r="AE130" s="69"/>
      <c r="AF130" s="69"/>
      <c r="AG130" s="69"/>
      <c r="AH130" s="69"/>
      <c r="AI130" s="69"/>
      <c r="AJ130" s="69"/>
      <c r="AK130" s="69"/>
      <c r="AL130" s="69"/>
      <c r="AM130" s="69"/>
      <c r="AN130" s="69"/>
      <c r="AO130" s="69"/>
    </row>
    <row r="131" ht="20.25" customHeight="1" spans="1:41" x14ac:dyDescent="0.25">
      <c r="A131" s="16"/>
      <c r="B131" s="1"/>
      <c r="C131" s="1"/>
      <c r="D131" s="1"/>
      <c r="E131" s="1"/>
      <c r="F131" s="1"/>
      <c r="G131" s="1"/>
      <c r="H131" s="1"/>
      <c r="I131" s="1"/>
      <c r="J131" s="1"/>
      <c r="K131" s="1"/>
      <c r="L131" s="1"/>
      <c r="M131" s="1"/>
      <c r="N131" s="1"/>
      <c r="O131" s="1"/>
      <c r="P131" s="1"/>
      <c r="Q131" s="1"/>
      <c r="R131" s="1"/>
      <c r="S131" s="1"/>
      <c r="T131" s="1"/>
      <c r="U131" s="91"/>
      <c r="V131" s="69"/>
      <c r="W131" s="69"/>
      <c r="X131" s="69"/>
      <c r="Y131" s="69"/>
      <c r="Z131" s="69"/>
      <c r="AA131" s="69"/>
      <c r="AB131" s="69"/>
      <c r="AC131" s="69"/>
      <c r="AD131" s="69"/>
      <c r="AE131" s="69"/>
      <c r="AF131" s="69"/>
      <c r="AG131" s="69"/>
      <c r="AH131" s="69"/>
      <c r="AI131" s="69"/>
      <c r="AJ131" s="69"/>
      <c r="AK131" s="69"/>
      <c r="AL131" s="69"/>
      <c r="AM131" s="69"/>
      <c r="AN131" s="69"/>
      <c r="AO131" s="69"/>
    </row>
    <row r="132" ht="20.25" customHeight="1" spans="1:41" x14ac:dyDescent="0.25">
      <c r="A132" s="16"/>
      <c r="B132" s="1"/>
      <c r="C132" s="1"/>
      <c r="D132" s="1"/>
      <c r="E132" s="1"/>
      <c r="F132" s="1"/>
      <c r="G132" s="1"/>
      <c r="H132" s="1"/>
      <c r="I132" s="1"/>
      <c r="J132" s="1"/>
      <c r="K132" s="1"/>
      <c r="L132" s="1"/>
      <c r="M132" s="1"/>
      <c r="N132" s="1"/>
      <c r="O132" s="1"/>
      <c r="P132" s="1"/>
      <c r="Q132" s="1"/>
      <c r="R132" s="1"/>
      <c r="S132" s="1"/>
      <c r="T132" s="1"/>
      <c r="U132" s="91"/>
      <c r="V132" s="69"/>
      <c r="W132" s="69"/>
      <c r="X132" s="69"/>
      <c r="Y132" s="69"/>
      <c r="Z132" s="69"/>
      <c r="AA132" s="69"/>
      <c r="AB132" s="69"/>
      <c r="AC132" s="69"/>
      <c r="AD132" s="69"/>
      <c r="AE132" s="69"/>
      <c r="AF132" s="69"/>
      <c r="AG132" s="69"/>
      <c r="AH132" s="69"/>
      <c r="AI132" s="69"/>
      <c r="AJ132" s="69"/>
      <c r="AK132" s="69"/>
      <c r="AL132" s="69"/>
      <c r="AM132" s="69"/>
      <c r="AN132" s="69"/>
      <c r="AO132" s="69"/>
    </row>
    <row r="133" ht="20.25" customHeight="1" spans="1:41" x14ac:dyDescent="0.25">
      <c r="A133" s="93"/>
      <c r="B133" s="77"/>
      <c r="C133" s="77"/>
      <c r="D133" s="77"/>
      <c r="E133" s="77"/>
      <c r="F133" s="77"/>
      <c r="G133" s="77"/>
      <c r="H133" s="77"/>
      <c r="I133" s="77"/>
      <c r="J133" s="77"/>
      <c r="K133" s="77"/>
      <c r="L133" s="77"/>
      <c r="M133" s="77"/>
      <c r="N133" s="77"/>
      <c r="O133" s="77"/>
      <c r="P133" s="77"/>
      <c r="Q133" s="77"/>
      <c r="R133" s="77"/>
      <c r="S133" s="77"/>
      <c r="T133" s="77"/>
      <c r="U133" s="94"/>
      <c r="V133" s="69"/>
      <c r="W133" s="69"/>
      <c r="X133" s="69"/>
      <c r="Y133" s="69"/>
      <c r="Z133" s="69"/>
      <c r="AA133" s="69"/>
      <c r="AB133" s="69"/>
      <c r="AC133" s="69"/>
      <c r="AD133" s="69"/>
      <c r="AE133" s="69"/>
      <c r="AF133" s="69"/>
      <c r="AG133" s="69"/>
      <c r="AH133" s="69"/>
      <c r="AI133" s="69"/>
      <c r="AJ133" s="69"/>
      <c r="AK133" s="69"/>
      <c r="AL133" s="69"/>
      <c r="AM133" s="69"/>
      <c r="AN133" s="69"/>
      <c r="AO133" s="69"/>
    </row>
    <row r="134" ht="20.25" customHeight="1" spans="1:41" x14ac:dyDescent="0.25">
      <c r="A134" s="70"/>
      <c r="B134" s="70"/>
      <c r="C134" s="70"/>
      <c r="D134" s="70"/>
      <c r="E134" s="70"/>
      <c r="F134" s="70"/>
      <c r="G134" s="70"/>
      <c r="H134" s="70"/>
      <c r="I134" s="70"/>
      <c r="J134" s="70"/>
      <c r="K134" s="70"/>
      <c r="L134" s="70"/>
      <c r="M134" s="70"/>
      <c r="N134" s="70"/>
      <c r="O134" s="70"/>
      <c r="P134" s="70"/>
      <c r="Q134" s="70"/>
      <c r="R134" s="70"/>
      <c r="S134" s="70"/>
      <c r="T134" s="70"/>
      <c r="U134" s="70"/>
      <c r="V134" s="69"/>
      <c r="W134" s="69"/>
      <c r="X134" s="69"/>
      <c r="Y134" s="69"/>
      <c r="Z134" s="69"/>
      <c r="AA134" s="69"/>
      <c r="AB134" s="69"/>
      <c r="AC134" s="69"/>
      <c r="AD134" s="69"/>
      <c r="AE134" s="69"/>
      <c r="AF134" s="69"/>
      <c r="AG134" s="69"/>
      <c r="AH134" s="69"/>
      <c r="AI134" s="69"/>
      <c r="AJ134" s="69"/>
      <c r="AK134" s="69"/>
      <c r="AL134" s="69"/>
      <c r="AM134" s="69"/>
      <c r="AN134" s="69"/>
      <c r="AO134" s="69"/>
    </row>
    <row r="135" ht="20.25" customHeight="1" spans="1:41" x14ac:dyDescent="0.25">
      <c r="A135" s="70" t="s">
        <v>197</v>
      </c>
      <c r="B135" s="95"/>
      <c r="C135" s="70"/>
      <c r="D135" s="70"/>
      <c r="E135" s="70"/>
      <c r="F135" s="70"/>
      <c r="G135" s="70"/>
      <c r="H135" s="70"/>
      <c r="I135" s="70"/>
      <c r="J135" s="70"/>
      <c r="K135" s="70"/>
      <c r="L135" s="70"/>
      <c r="M135" s="70"/>
      <c r="N135" s="70"/>
      <c r="O135" s="70"/>
      <c r="P135" s="70"/>
      <c r="Q135" s="70"/>
      <c r="R135" s="70"/>
      <c r="S135" s="70"/>
      <c r="T135" s="70"/>
      <c r="U135" s="70"/>
      <c r="V135" s="69"/>
      <c r="W135" s="69"/>
      <c r="X135" s="69"/>
      <c r="Y135" s="69"/>
      <c r="Z135" s="69"/>
      <c r="AA135" s="69"/>
      <c r="AB135" s="69"/>
      <c r="AC135" s="69"/>
      <c r="AD135" s="69"/>
      <c r="AE135" s="69"/>
      <c r="AF135" s="69"/>
      <c r="AG135" s="69"/>
      <c r="AH135" s="69"/>
      <c r="AI135" s="69"/>
      <c r="AJ135" s="69"/>
      <c r="AK135" s="69"/>
      <c r="AL135" s="69"/>
      <c r="AM135" s="69"/>
      <c r="AN135" s="69"/>
      <c r="AO135" s="69"/>
    </row>
    <row r="136" ht="20.25" customHeight="1" spans="1:41" x14ac:dyDescent="0.25">
      <c r="A136" s="100"/>
      <c r="B136" s="80"/>
      <c r="C136" s="80"/>
      <c r="D136" s="80"/>
      <c r="E136" s="80"/>
      <c r="F136" s="80"/>
      <c r="G136" s="80"/>
      <c r="H136" s="80"/>
      <c r="I136" s="80"/>
      <c r="J136" s="80"/>
      <c r="K136" s="80"/>
      <c r="L136" s="80"/>
      <c r="M136" s="80"/>
      <c r="N136" s="80"/>
      <c r="O136" s="80"/>
      <c r="P136" s="80"/>
      <c r="Q136" s="80"/>
      <c r="R136" s="80"/>
      <c r="S136" s="80"/>
      <c r="T136" s="80"/>
      <c r="U136" s="89"/>
      <c r="V136" s="69"/>
      <c r="W136" s="69"/>
      <c r="X136" s="69"/>
      <c r="Y136" s="69"/>
      <c r="Z136" s="69"/>
      <c r="AA136" s="69"/>
      <c r="AB136" s="69"/>
      <c r="AC136" s="69"/>
      <c r="AD136" s="69"/>
      <c r="AE136" s="69"/>
      <c r="AF136" s="69"/>
      <c r="AG136" s="69"/>
      <c r="AH136" s="69"/>
      <c r="AI136" s="69"/>
      <c r="AJ136" s="69"/>
      <c r="AK136" s="69"/>
      <c r="AL136" s="69"/>
      <c r="AM136" s="69"/>
      <c r="AN136" s="69"/>
      <c r="AO136" s="69"/>
    </row>
    <row r="137" ht="20.25" customHeight="1" spans="1:41" x14ac:dyDescent="0.25">
      <c r="A137" s="146" t="s">
        <v>198</v>
      </c>
      <c r="B137" s="147" t="s">
        <v>116</v>
      </c>
      <c r="C137" s="122" t="str">
        <f>初期入力!B8</f>
        <v>田中　聡</v>
      </c>
      <c r="D137" s="122"/>
      <c r="E137" s="122"/>
      <c r="F137" s="122"/>
      <c r="G137" s="122"/>
      <c r="H137" s="148"/>
      <c r="I137" s="148"/>
      <c r="J137" s="148"/>
      <c r="K137" s="148"/>
      <c r="L137" s="148"/>
      <c r="M137" s="1"/>
      <c r="N137" s="1"/>
      <c r="O137" s="1"/>
      <c r="P137" s="70"/>
      <c r="Q137" s="70"/>
      <c r="R137" s="70"/>
      <c r="S137" s="70"/>
      <c r="T137" s="70"/>
      <c r="U137" s="91"/>
      <c r="V137" s="69"/>
      <c r="W137" s="69"/>
      <c r="X137" s="69"/>
      <c r="Y137" s="69"/>
      <c r="Z137" s="69"/>
      <c r="AA137" s="69"/>
      <c r="AB137" s="69"/>
      <c r="AC137" s="69"/>
      <c r="AD137" s="69"/>
      <c r="AE137" s="69"/>
      <c r="AF137" s="69"/>
      <c r="AG137" s="69"/>
      <c r="AH137" s="69"/>
      <c r="AI137" s="69"/>
      <c r="AJ137" s="69"/>
      <c r="AK137" s="69"/>
      <c r="AL137" s="69"/>
      <c r="AM137" s="69"/>
      <c r="AN137" s="69"/>
      <c r="AO137" s="69"/>
    </row>
    <row r="138" ht="20.25" customHeight="1" spans="1:41" x14ac:dyDescent="0.25">
      <c r="A138" s="149" t="s">
        <v>199</v>
      </c>
      <c r="B138" s="150" t="s">
        <v>116</v>
      </c>
      <c r="C138" s="125" t="str">
        <f>初期入力!B9</f>
        <v>一級</v>
      </c>
      <c r="D138" s="125"/>
      <c r="E138" s="151" t="s">
        <v>20</v>
      </c>
      <c r="F138" s="147" t="str">
        <f>初期入力!D9</f>
        <v>大臣</v>
      </c>
      <c r="G138" s="152"/>
      <c r="H138" s="152"/>
      <c r="I138" s="122" t="s">
        <v>21</v>
      </c>
      <c r="J138" s="122"/>
      <c r="K138" s="122">
        <f>初期入力!F9</f>
        <v>253424</v>
      </c>
      <c r="L138" s="122"/>
      <c r="M138" s="1"/>
      <c r="N138" s="84"/>
      <c r="O138" s="70"/>
      <c r="P138" s="70"/>
      <c r="Q138" s="70"/>
      <c r="R138" s="70"/>
      <c r="S138" s="70"/>
      <c r="T138" s="70"/>
      <c r="U138" s="91"/>
      <c r="V138" s="69"/>
      <c r="W138" s="69"/>
      <c r="X138" s="69"/>
      <c r="Y138" s="69"/>
      <c r="Z138" s="126"/>
      <c r="AA138" s="69"/>
      <c r="AB138" s="69"/>
      <c r="AC138" s="69"/>
      <c r="AD138" s="69"/>
      <c r="AE138" s="69"/>
      <c r="AF138" s="69"/>
      <c r="AG138" s="69"/>
      <c r="AH138" s="69"/>
      <c r="AI138" s="69"/>
      <c r="AJ138" s="69"/>
      <c r="AK138" s="69"/>
      <c r="AL138" s="69"/>
      <c r="AM138" s="69"/>
      <c r="AN138" s="69"/>
      <c r="AO138" s="69"/>
    </row>
    <row r="139" ht="20.25" customHeight="1" spans="1:41" x14ac:dyDescent="0.25">
      <c r="A139" s="97"/>
      <c r="B139" s="9"/>
      <c r="C139" s="9"/>
      <c r="D139" s="9"/>
      <c r="E139" s="77"/>
      <c r="F139" s="153"/>
      <c r="G139" s="9"/>
      <c r="H139" s="9"/>
      <c r="I139" s="9"/>
      <c r="J139" s="9"/>
      <c r="K139" s="153"/>
      <c r="L139" s="153"/>
      <c r="M139" s="154"/>
      <c r="N139" s="77"/>
      <c r="O139" s="154"/>
      <c r="P139" s="155"/>
      <c r="Q139" s="9"/>
      <c r="R139" s="77"/>
      <c r="S139" s="77"/>
      <c r="T139" s="77"/>
      <c r="U139" s="94"/>
      <c r="V139" s="69"/>
      <c r="W139" s="69"/>
      <c r="X139" s="69"/>
      <c r="Y139" s="69"/>
      <c r="Z139" s="69"/>
      <c r="AA139" s="69"/>
      <c r="AB139" s="69"/>
      <c r="AC139" s="69"/>
      <c r="AD139" s="69"/>
      <c r="AE139" s="69"/>
      <c r="AF139" s="69"/>
      <c r="AG139" s="69"/>
      <c r="AH139" s="69"/>
      <c r="AI139" s="69"/>
      <c r="AJ139" s="69"/>
      <c r="AK139" s="69"/>
      <c r="AL139" s="69"/>
      <c r="AM139" s="69"/>
      <c r="AN139" s="69"/>
      <c r="AO139" s="69"/>
    </row>
    <row r="140" ht="20.25" customHeight="1" spans="1:41" x14ac:dyDescent="0.25">
      <c r="A140" s="70"/>
      <c r="B140" s="70"/>
      <c r="C140" s="70"/>
      <c r="D140" s="70"/>
      <c r="E140" s="70"/>
      <c r="F140" s="70"/>
      <c r="G140" s="70"/>
      <c r="H140" s="70"/>
      <c r="I140" s="70"/>
      <c r="J140" s="70"/>
      <c r="K140" s="70"/>
      <c r="L140" s="70"/>
      <c r="M140" s="70"/>
      <c r="N140" s="70"/>
      <c r="O140" s="70"/>
      <c r="P140" s="70"/>
      <c r="Q140" s="70"/>
      <c r="R140" s="70"/>
      <c r="S140" s="70"/>
      <c r="T140" s="70"/>
      <c r="U140" s="70"/>
      <c r="V140" s="69"/>
      <c r="W140" s="69"/>
      <c r="X140" s="69"/>
      <c r="Y140" s="69"/>
      <c r="Z140" s="69"/>
      <c r="AA140" s="69"/>
      <c r="AB140" s="69"/>
      <c r="AC140" s="69"/>
      <c r="AD140" s="69"/>
      <c r="AE140" s="69"/>
      <c r="AF140" s="69"/>
      <c r="AG140" s="69"/>
      <c r="AH140" s="69"/>
      <c r="AI140" s="69"/>
      <c r="AJ140" s="69"/>
      <c r="AK140" s="69"/>
      <c r="AL140" s="69"/>
      <c r="AM140" s="69"/>
      <c r="AN140" s="69"/>
      <c r="AO140" s="69"/>
    </row>
    <row r="141" ht="20.25" customHeight="1" spans="1:41" x14ac:dyDescent="0.25">
      <c r="A141" s="156" t="s">
        <v>200</v>
      </c>
      <c r="B141" s="1"/>
      <c r="C141" s="1"/>
      <c r="D141" s="1"/>
      <c r="E141" s="1"/>
      <c r="F141" s="1"/>
      <c r="G141" s="1"/>
      <c r="H141" s="1"/>
      <c r="I141" s="70"/>
      <c r="J141" s="70"/>
      <c r="K141" s="70"/>
      <c r="L141" s="70"/>
      <c r="M141" s="70"/>
      <c r="N141" s="70"/>
      <c r="O141" s="70"/>
      <c r="P141" s="70"/>
      <c r="Q141" s="70"/>
      <c r="R141" s="70"/>
      <c r="S141" s="70"/>
      <c r="T141" s="70"/>
      <c r="U141" s="70"/>
      <c r="V141" s="69"/>
      <c r="W141" s="69"/>
      <c r="X141" s="69"/>
      <c r="Y141" s="69"/>
      <c r="Z141" s="69"/>
      <c r="AA141" s="69"/>
      <c r="AB141" s="69"/>
      <c r="AC141" s="69"/>
      <c r="AD141" s="69"/>
      <c r="AE141" s="69"/>
      <c r="AF141" s="69"/>
      <c r="AG141" s="69"/>
      <c r="AH141" s="69"/>
      <c r="AI141" s="69"/>
      <c r="AJ141" s="69"/>
      <c r="AK141" s="69"/>
      <c r="AL141" s="69"/>
      <c r="AM141" s="69"/>
      <c r="AN141" s="69"/>
      <c r="AO141" s="69"/>
    </row>
    <row r="142" ht="20.25" customHeight="1" spans="1:41" x14ac:dyDescent="0.25">
      <c r="A142" s="157"/>
      <c r="B142" s="158"/>
      <c r="C142" s="158"/>
      <c r="D142" s="158"/>
      <c r="E142" s="158"/>
      <c r="F142" s="158"/>
      <c r="G142" s="158"/>
      <c r="H142" s="158"/>
      <c r="I142" s="158"/>
      <c r="J142" s="158"/>
      <c r="K142" s="158"/>
      <c r="L142" s="158"/>
      <c r="M142" s="158"/>
      <c r="N142" s="158"/>
      <c r="O142" s="158"/>
      <c r="P142" s="158"/>
      <c r="Q142" s="158"/>
      <c r="R142" s="158"/>
      <c r="S142" s="158"/>
      <c r="T142" s="158"/>
      <c r="U142" s="159"/>
      <c r="V142" s="69"/>
      <c r="W142" s="69"/>
      <c r="X142" s="69"/>
      <c r="Y142" s="69"/>
      <c r="Z142" s="69"/>
      <c r="AA142" s="69"/>
      <c r="AB142" s="69"/>
      <c r="AC142" s="69"/>
      <c r="AD142" s="69"/>
      <c r="AE142" s="69"/>
      <c r="AF142" s="69"/>
      <c r="AG142" s="69"/>
      <c r="AH142" s="69"/>
      <c r="AI142" s="69"/>
      <c r="AJ142" s="69"/>
      <c r="AK142" s="69"/>
      <c r="AL142" s="69"/>
      <c r="AM142" s="69"/>
      <c r="AN142" s="69"/>
      <c r="AO142" s="69"/>
    </row>
    <row r="143" ht="20.25" customHeight="1" spans="1:41" x14ac:dyDescent="0.25">
      <c r="A143" s="160" t="s">
        <v>201</v>
      </c>
      <c r="B143" s="1"/>
      <c r="C143" s="1"/>
      <c r="D143" s="1"/>
      <c r="E143" s="1"/>
      <c r="F143" s="1"/>
      <c r="G143" s="1"/>
      <c r="H143" s="1"/>
      <c r="I143" s="1"/>
      <c r="J143" s="1"/>
      <c r="K143" s="1"/>
      <c r="L143" s="1"/>
      <c r="M143" s="1"/>
      <c r="N143" s="1"/>
      <c r="O143" s="1"/>
      <c r="P143" s="1"/>
      <c r="Q143" s="1"/>
      <c r="R143" s="1"/>
      <c r="S143" s="1"/>
      <c r="T143" s="1"/>
      <c r="U143" s="91"/>
      <c r="V143" s="69"/>
      <c r="W143" s="69"/>
      <c r="X143" s="69"/>
      <c r="Y143" s="69"/>
      <c r="Z143" s="69"/>
      <c r="AA143" s="69"/>
      <c r="AB143" s="69"/>
      <c r="AC143" s="69"/>
      <c r="AD143" s="69"/>
      <c r="AE143" s="69"/>
      <c r="AF143" s="69"/>
      <c r="AG143" s="69"/>
      <c r="AH143" s="69"/>
      <c r="AI143" s="69"/>
      <c r="AJ143" s="69"/>
      <c r="AK143" s="69"/>
      <c r="AL143" s="69"/>
      <c r="AM143" s="69"/>
      <c r="AN143" s="69"/>
      <c r="AO143" s="69"/>
    </row>
    <row r="144" ht="20.25" customHeight="1" spans="1:41" x14ac:dyDescent="0.25">
      <c r="A144" s="161" t="s">
        <v>202</v>
      </c>
      <c r="B144" s="162"/>
      <c r="C144" s="162"/>
      <c r="D144" s="162"/>
      <c r="E144" s="162"/>
      <c r="F144" s="162"/>
      <c r="G144" s="162"/>
      <c r="H144" s="162"/>
      <c r="I144" s="162"/>
      <c r="J144" s="162"/>
      <c r="K144" s="162"/>
      <c r="L144" s="162"/>
      <c r="M144" s="162"/>
      <c r="N144" s="70"/>
      <c r="O144" s="70"/>
      <c r="P144" s="70"/>
      <c r="Q144" s="70"/>
      <c r="R144" s="70"/>
      <c r="S144" s="70"/>
      <c r="T144" s="70"/>
      <c r="U144" s="91"/>
      <c r="V144" s="69"/>
      <c r="W144" s="69"/>
      <c r="X144" s="69"/>
      <c r="Y144" s="69"/>
      <c r="Z144" s="69"/>
      <c r="AA144" s="69"/>
      <c r="AB144" s="69"/>
      <c r="AC144" s="69"/>
      <c r="AD144" s="69"/>
      <c r="AE144" s="69"/>
      <c r="AF144" s="69"/>
      <c r="AG144" s="69"/>
      <c r="AH144" s="69"/>
      <c r="AI144" s="69"/>
      <c r="AJ144" s="69"/>
      <c r="AK144" s="69"/>
      <c r="AL144" s="69"/>
      <c r="AM144" s="69"/>
      <c r="AN144" s="69"/>
      <c r="AO144" s="69"/>
    </row>
    <row r="145" ht="20.25" customHeight="1" spans="1:41" x14ac:dyDescent="0.25">
      <c r="A145" s="92" t="s">
        <v>203</v>
      </c>
      <c r="B145" s="70"/>
      <c r="C145" s="70"/>
      <c r="D145" s="70"/>
      <c r="E145" s="70"/>
      <c r="F145" s="70"/>
      <c r="G145" s="70"/>
      <c r="H145" s="70"/>
      <c r="I145" s="70"/>
      <c r="J145" s="70"/>
      <c r="K145" s="70"/>
      <c r="L145" s="70"/>
      <c r="M145" s="70"/>
      <c r="N145" s="70"/>
      <c r="O145" s="70"/>
      <c r="P145" s="70"/>
      <c r="Q145" s="70"/>
      <c r="R145" s="70"/>
      <c r="S145" s="70"/>
      <c r="T145" s="70"/>
      <c r="U145" s="91"/>
      <c r="V145" s="69"/>
      <c r="W145" s="69"/>
      <c r="X145" s="69"/>
      <c r="Y145" s="69"/>
      <c r="Z145" s="69"/>
      <c r="AA145" s="69"/>
      <c r="AB145" s="69"/>
      <c r="AC145" s="69"/>
      <c r="AD145" s="69"/>
      <c r="AE145" s="69"/>
      <c r="AF145" s="69"/>
      <c r="AG145" s="69"/>
      <c r="AH145" s="69"/>
      <c r="AI145" s="69"/>
      <c r="AJ145" s="69"/>
      <c r="AK145" s="69"/>
      <c r="AL145" s="69"/>
      <c r="AM145" s="69"/>
      <c r="AN145" s="69"/>
      <c r="AO145" s="69"/>
    </row>
    <row r="146" ht="20.25" customHeight="1" spans="1:41" x14ac:dyDescent="0.25">
      <c r="A146" s="93"/>
      <c r="B146" s="77"/>
      <c r="C146" s="77"/>
      <c r="D146" s="77"/>
      <c r="E146" s="77"/>
      <c r="F146" s="77"/>
      <c r="G146" s="77"/>
      <c r="H146" s="77"/>
      <c r="I146" s="77"/>
      <c r="J146" s="77"/>
      <c r="K146" s="77"/>
      <c r="L146" s="77"/>
      <c r="M146" s="77"/>
      <c r="N146" s="77"/>
      <c r="O146" s="77"/>
      <c r="P146" s="77"/>
      <c r="Q146" s="77"/>
      <c r="R146" s="77"/>
      <c r="S146" s="77"/>
      <c r="T146" s="77"/>
      <c r="U146" s="94"/>
      <c r="V146" s="69"/>
      <c r="W146" s="69"/>
      <c r="X146" s="69"/>
      <c r="Y146" s="69"/>
      <c r="Z146" s="69"/>
      <c r="AA146" s="69"/>
      <c r="AB146" s="69"/>
      <c r="AC146" s="69"/>
      <c r="AD146" s="69"/>
      <c r="AE146" s="69"/>
      <c r="AF146" s="69"/>
      <c r="AG146" s="69"/>
      <c r="AH146" s="69"/>
      <c r="AI146" s="69"/>
      <c r="AJ146" s="69"/>
      <c r="AK146" s="69"/>
      <c r="AL146" s="69"/>
      <c r="AM146" s="69"/>
      <c r="AN146" s="69"/>
      <c r="AO146" s="69"/>
    </row>
    <row r="147" ht="20.25" customHeight="1" spans="1:41" x14ac:dyDescent="0.25">
      <c r="A147" s="70"/>
      <c r="B147" s="70"/>
      <c r="C147" s="70"/>
      <c r="D147" s="70"/>
      <c r="E147" s="70"/>
      <c r="F147" s="70"/>
      <c r="G147" s="70"/>
      <c r="H147" s="70"/>
      <c r="I147" s="70"/>
      <c r="J147" s="70"/>
      <c r="K147" s="70"/>
      <c r="L147" s="70"/>
      <c r="M147" s="70"/>
      <c r="N147" s="70"/>
      <c r="O147" s="70"/>
      <c r="P147" s="70"/>
      <c r="Q147" s="70"/>
      <c r="R147" s="70"/>
      <c r="S147" s="70"/>
      <c r="T147" s="70"/>
      <c r="U147" s="70"/>
      <c r="V147" s="69"/>
      <c r="W147" s="69"/>
      <c r="X147" s="69"/>
      <c r="Y147" s="69"/>
      <c r="Z147" s="69"/>
      <c r="AA147" s="69"/>
      <c r="AB147" s="69"/>
      <c r="AC147" s="69"/>
      <c r="AD147" s="69"/>
      <c r="AE147" s="69"/>
      <c r="AF147" s="69"/>
      <c r="AG147" s="69"/>
      <c r="AH147" s="69"/>
      <c r="AI147" s="69"/>
      <c r="AJ147" s="69"/>
      <c r="AK147" s="69"/>
      <c r="AL147" s="69"/>
      <c r="AM147" s="69"/>
      <c r="AN147" s="69"/>
      <c r="AO147" s="69"/>
    </row>
    <row r="148" ht="20.25" customHeight="1" spans="1:41" x14ac:dyDescent="0.25">
      <c r="A148" s="70" t="s">
        <v>204</v>
      </c>
      <c r="B148" s="70"/>
      <c r="C148" s="70"/>
      <c r="D148" s="70"/>
      <c r="E148" s="70"/>
      <c r="F148" s="70"/>
      <c r="G148" s="70"/>
      <c r="H148" s="70"/>
      <c r="I148" s="70"/>
      <c r="J148" s="70"/>
      <c r="K148" s="70"/>
      <c r="L148" s="70"/>
      <c r="M148" s="70"/>
      <c r="N148" s="70"/>
      <c r="O148" s="70"/>
      <c r="P148" s="70"/>
      <c r="Q148" s="70"/>
      <c r="R148" s="70"/>
      <c r="S148" s="70"/>
      <c r="T148" s="70"/>
      <c r="U148" s="70"/>
      <c r="V148" s="69"/>
      <c r="W148" s="69"/>
      <c r="X148" s="69"/>
      <c r="Y148" s="69"/>
      <c r="Z148" s="69"/>
      <c r="AA148" s="69"/>
      <c r="AB148" s="69"/>
      <c r="AC148" s="69"/>
      <c r="AD148" s="69"/>
      <c r="AE148" s="69"/>
      <c r="AF148" s="69"/>
      <c r="AG148" s="69"/>
      <c r="AH148" s="69"/>
      <c r="AI148" s="69"/>
      <c r="AJ148" s="69"/>
      <c r="AK148" s="69"/>
      <c r="AL148" s="69"/>
      <c r="AM148" s="69"/>
      <c r="AN148" s="69"/>
      <c r="AO148" s="69"/>
    </row>
    <row r="149" ht="20.25" customHeight="1" spans="1:41" x14ac:dyDescent="0.25">
      <c r="A149" s="95" t="s">
        <v>205</v>
      </c>
      <c r="B149" s="95"/>
      <c r="C149" s="70"/>
      <c r="D149" s="70"/>
      <c r="E149" s="70"/>
      <c r="F149" s="70"/>
      <c r="G149" s="70"/>
      <c r="H149" s="70"/>
      <c r="I149" s="70"/>
      <c r="J149" s="70"/>
      <c r="K149" s="70"/>
      <c r="L149" s="70"/>
      <c r="M149" s="70"/>
      <c r="N149" s="70"/>
      <c r="O149" s="70"/>
      <c r="P149" s="70"/>
      <c r="Q149" s="70"/>
      <c r="R149" s="70"/>
      <c r="S149" s="70"/>
      <c r="T149" s="70"/>
      <c r="U149" s="70"/>
      <c r="V149" s="69"/>
      <c r="W149" s="69"/>
      <c r="X149" s="69"/>
      <c r="Y149" s="69"/>
      <c r="Z149" s="69"/>
      <c r="AA149" s="69"/>
      <c r="AB149" s="69"/>
      <c r="AC149" s="69"/>
      <c r="AD149" s="69"/>
      <c r="AE149" s="69"/>
      <c r="AF149" s="69"/>
      <c r="AG149" s="69"/>
      <c r="AH149" s="69"/>
      <c r="AI149" s="69"/>
      <c r="AJ149" s="69"/>
      <c r="AK149" s="69"/>
      <c r="AL149" s="69"/>
      <c r="AM149" s="69"/>
      <c r="AN149" s="69"/>
      <c r="AO149" s="69"/>
    </row>
    <row r="150" ht="20.25" customHeight="1" spans="1:41" x14ac:dyDescent="0.25">
      <c r="A150" s="95"/>
      <c r="B150" s="95"/>
      <c r="C150" s="95"/>
      <c r="D150" s="70"/>
      <c r="E150" s="70"/>
      <c r="F150" s="70"/>
      <c r="G150" s="70"/>
      <c r="H150" s="70"/>
      <c r="I150" s="70"/>
      <c r="J150" s="70"/>
      <c r="K150" s="70"/>
      <c r="L150" s="70"/>
      <c r="M150" s="70"/>
      <c r="N150" s="70"/>
      <c r="O150" s="70"/>
      <c r="P150" s="70"/>
      <c r="Q150" s="70"/>
      <c r="R150" s="70"/>
      <c r="S150" s="70"/>
      <c r="T150" s="70"/>
      <c r="U150" s="70"/>
      <c r="V150" s="69"/>
      <c r="W150" s="69"/>
      <c r="X150" s="69"/>
      <c r="Y150" s="69"/>
      <c r="Z150" s="69"/>
      <c r="AA150" s="69"/>
      <c r="AB150" s="69"/>
      <c r="AC150" s="69"/>
      <c r="AD150" s="69"/>
      <c r="AE150" s="69"/>
      <c r="AF150" s="69"/>
      <c r="AG150" s="69"/>
      <c r="AH150" s="69"/>
      <c r="AI150" s="69"/>
      <c r="AJ150" s="69"/>
      <c r="AK150" s="69"/>
      <c r="AL150" s="69"/>
      <c r="AM150" s="69"/>
      <c r="AN150" s="69"/>
      <c r="AO150" s="69"/>
    </row>
    <row r="151" ht="20.25" customHeight="1" spans="1:41" x14ac:dyDescent="0.25">
      <c r="A151" s="163"/>
      <c r="B151" s="163"/>
      <c r="C151" s="164"/>
      <c r="D151" s="164"/>
      <c r="E151" s="164"/>
      <c r="F151" s="164"/>
      <c r="G151" s="164"/>
      <c r="H151" s="164"/>
      <c r="I151" s="164"/>
      <c r="J151" s="164"/>
      <c r="K151" s="164"/>
      <c r="L151" s="164"/>
      <c r="M151" s="164"/>
      <c r="N151" s="164"/>
      <c r="O151" s="164"/>
      <c r="P151" s="164"/>
      <c r="Q151" s="164"/>
      <c r="R151" s="164"/>
      <c r="S151" s="164"/>
      <c r="T151" s="164"/>
      <c r="U151" s="164"/>
      <c r="V151" s="69"/>
      <c r="W151" s="69"/>
      <c r="X151" s="69"/>
      <c r="Y151" s="69"/>
      <c r="Z151" s="69"/>
      <c r="AA151" s="69"/>
      <c r="AB151" s="69"/>
      <c r="AC151" s="69"/>
      <c r="AD151" s="69"/>
      <c r="AE151" s="69"/>
      <c r="AF151" s="69"/>
      <c r="AG151" s="69"/>
      <c r="AH151" s="69"/>
      <c r="AI151" s="69"/>
      <c r="AJ151" s="69"/>
      <c r="AK151" s="69"/>
      <c r="AL151" s="69"/>
      <c r="AM151" s="69"/>
      <c r="AN151" s="69"/>
      <c r="AO151" s="69"/>
    </row>
    <row r="152" ht="20.25" customHeight="1" spans="1:41" x14ac:dyDescent="0.25">
      <c r="A152" s="163"/>
      <c r="B152" s="163"/>
      <c r="C152" s="164"/>
      <c r="D152" s="164"/>
      <c r="E152" s="164"/>
      <c r="F152" s="164"/>
      <c r="G152" s="164"/>
      <c r="H152" s="164"/>
      <c r="I152" s="164"/>
      <c r="J152" s="164"/>
      <c r="K152" s="164"/>
      <c r="L152" s="164"/>
      <c r="M152" s="164"/>
      <c r="N152" s="164"/>
      <c r="O152" s="164"/>
      <c r="P152" s="164"/>
      <c r="Q152" s="164"/>
      <c r="R152" s="164"/>
      <c r="S152" s="164"/>
      <c r="T152" s="164"/>
      <c r="U152" s="164"/>
      <c r="V152" s="69"/>
      <c r="W152" s="69"/>
      <c r="X152" s="69"/>
      <c r="Y152" s="69"/>
      <c r="Z152" s="69"/>
      <c r="AA152" s="69"/>
      <c r="AB152" s="69"/>
      <c r="AC152" s="69"/>
      <c r="AD152" s="69"/>
      <c r="AE152" s="69"/>
      <c r="AF152" s="69"/>
      <c r="AG152" s="69"/>
      <c r="AH152" s="69"/>
      <c r="AI152" s="69"/>
      <c r="AJ152" s="69"/>
      <c r="AK152" s="69"/>
      <c r="AL152" s="69"/>
      <c r="AM152" s="69"/>
      <c r="AN152" s="69"/>
      <c r="AO152" s="69"/>
    </row>
    <row r="153" ht="20.25" customHeight="1" spans="1:41" x14ac:dyDescent="0.25">
      <c r="A153" s="163"/>
      <c r="B153" s="163"/>
      <c r="C153" s="163"/>
      <c r="D153" s="163"/>
      <c r="E153" s="163"/>
      <c r="F153" s="163"/>
      <c r="G153" s="163"/>
      <c r="H153" s="163"/>
      <c r="I153" s="163"/>
      <c r="J153" s="163"/>
      <c r="K153" s="163"/>
      <c r="L153" s="163"/>
      <c r="M153" s="163"/>
      <c r="N153" s="163"/>
      <c r="O153" s="163"/>
      <c r="P153" s="164"/>
      <c r="Q153" s="164"/>
      <c r="R153" s="164"/>
      <c r="S153" s="164"/>
      <c r="T153" s="164"/>
      <c r="U153" s="164"/>
      <c r="V153" s="69"/>
      <c r="W153" s="69"/>
      <c r="X153" s="69"/>
      <c r="Y153" s="69"/>
      <c r="Z153" s="69"/>
      <c r="AA153" s="69"/>
      <c r="AB153" s="69"/>
      <c r="AC153" s="69"/>
      <c r="AD153" s="69"/>
      <c r="AE153" s="69"/>
      <c r="AF153" s="69"/>
      <c r="AG153" s="69"/>
      <c r="AH153" s="69"/>
      <c r="AI153" s="69"/>
      <c r="AJ153" s="69"/>
      <c r="AK153" s="69"/>
      <c r="AL153" s="69"/>
      <c r="AM153" s="69"/>
      <c r="AN153" s="69"/>
      <c r="AO153" s="69"/>
    </row>
    <row r="154" ht="20.25" customHeight="1" spans="1:41" x14ac:dyDescent="0.25">
      <c r="A154" s="163"/>
      <c r="B154" s="163"/>
      <c r="C154" s="164"/>
      <c r="D154" s="164"/>
      <c r="E154" s="164"/>
      <c r="F154" s="164"/>
      <c r="G154" s="164"/>
      <c r="H154" s="164"/>
      <c r="I154" s="164"/>
      <c r="J154" s="164"/>
      <c r="K154" s="164"/>
      <c r="L154" s="164"/>
      <c r="M154" s="164"/>
      <c r="N154" s="164"/>
      <c r="O154" s="164"/>
      <c r="P154" s="164"/>
      <c r="Q154" s="164"/>
      <c r="R154" s="164"/>
      <c r="S154" s="164"/>
      <c r="T154" s="164"/>
      <c r="U154" s="164"/>
      <c r="V154" s="69"/>
      <c r="W154" s="69"/>
      <c r="X154" s="69"/>
      <c r="Y154" s="69"/>
      <c r="Z154" s="69"/>
      <c r="AA154" s="69"/>
      <c r="AB154" s="69"/>
      <c r="AC154" s="69"/>
      <c r="AD154" s="69"/>
      <c r="AE154" s="69"/>
      <c r="AF154" s="69"/>
      <c r="AG154" s="69"/>
      <c r="AH154" s="69"/>
      <c r="AI154" s="69"/>
      <c r="AJ154" s="69"/>
      <c r="AK154" s="69"/>
      <c r="AL154" s="69"/>
      <c r="AM154" s="69"/>
      <c r="AN154" s="69"/>
      <c r="AO154" s="69"/>
    </row>
    <row r="155" ht="20.25" customHeight="1" spans="1:41" x14ac:dyDescent="0.25">
      <c r="A155" s="163"/>
      <c r="B155" s="163"/>
      <c r="C155" s="164"/>
      <c r="D155" s="164"/>
      <c r="E155" s="164"/>
      <c r="F155" s="164"/>
      <c r="G155" s="164"/>
      <c r="H155" s="164"/>
      <c r="I155" s="164"/>
      <c r="J155" s="164"/>
      <c r="K155" s="164"/>
      <c r="L155" s="164"/>
      <c r="M155" s="164"/>
      <c r="N155" s="164"/>
      <c r="O155" s="164"/>
      <c r="P155" s="164"/>
      <c r="Q155" s="164"/>
      <c r="R155" s="164"/>
      <c r="S155" s="164"/>
      <c r="T155" s="164"/>
      <c r="U155" s="164"/>
      <c r="V155" s="69"/>
      <c r="W155" s="69"/>
      <c r="X155" s="69"/>
      <c r="Y155" s="69"/>
      <c r="Z155" s="69"/>
      <c r="AA155" s="69"/>
      <c r="AB155" s="69"/>
      <c r="AC155" s="69"/>
      <c r="AD155" s="69"/>
      <c r="AE155" s="69"/>
      <c r="AF155" s="69"/>
      <c r="AG155" s="69"/>
      <c r="AH155" s="69"/>
      <c r="AI155" s="69"/>
      <c r="AJ155" s="69"/>
      <c r="AK155" s="69"/>
      <c r="AL155" s="69"/>
      <c r="AM155" s="69"/>
      <c r="AN155" s="69"/>
      <c r="AO155" s="69"/>
    </row>
    <row r="156" ht="20.25" customHeight="1" spans="1:41"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row>
    <row r="157" ht="20.25" customHeight="1" spans="1:41"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row>
    <row r="158" ht="20.25" customHeight="1" spans="1:41"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row>
    <row r="159" ht="20.25" customHeight="1" spans="1:41"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row>
    <row r="160" ht="20.25" customHeight="1" spans="1:41"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row>
    <row r="161" ht="20.25" customHeight="1" spans="1:41"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row>
    <row r="162" ht="20.25" customHeight="1" spans="1:41"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row>
    <row r="163" ht="20.25" customHeight="1" spans="1:41"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row>
    <row r="164" ht="20.25" customHeight="1" spans="1:41"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row>
    <row r="165" ht="20.25" customHeight="1" spans="1:41"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row>
    <row r="166" ht="20.25" customHeight="1" spans="1:41"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row>
    <row r="167" ht="20.25" customHeight="1" spans="1:41"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row>
    <row r="168" ht="20.25" customHeight="1" spans="1:41"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row>
    <row r="169" ht="20.25" customHeight="1" spans="1:41"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row>
    <row r="170" ht="20.25" customHeight="1" spans="1:41"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row>
    <row r="171" ht="20.25" customHeight="1" spans="1:41"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row>
    <row r="172" ht="20.25" customHeight="1" spans="1:41"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row>
    <row r="173" ht="20.25" customHeight="1" spans="1:41"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row>
    <row r="174" ht="20.25" customHeight="1" spans="1:41"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row>
    <row r="175" ht="20.25" customHeight="1" spans="1:41"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row>
    <row r="176" ht="20.25" customHeight="1" spans="1:41"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row>
    <row r="177" ht="20.25" customHeight="1" spans="1:41"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row>
    <row r="178" ht="20.25" customHeight="1" spans="1:41"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row>
    <row r="179" ht="20.25" customHeight="1" spans="1:41"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row>
    <row r="180" ht="20.25" customHeight="1" spans="1:41"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row>
    <row r="181" ht="20.25" customHeight="1" spans="1:41"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row>
    <row r="182" ht="20.25" customHeight="1" spans="1:41"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row>
    <row r="183" ht="20.25" customHeight="1" spans="1:41"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row>
    <row r="184" ht="20.25" customHeight="1" spans="1:41"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row>
    <row r="185" ht="20.25" customHeight="1" spans="1:41"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row>
    <row r="186" ht="20.25" customHeight="1" spans="1:41"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row>
    <row r="187" ht="20.25" customHeight="1" spans="1:41"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row>
    <row r="188" ht="20.25" customHeight="1" spans="1:41"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row>
    <row r="189" ht="20.25" customHeight="1" spans="1:41"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row>
    <row r="190" ht="20.25" customHeight="1" spans="1:41"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row>
    <row r="191" ht="20.25" customHeight="1" spans="1:41" x14ac:dyDescent="0.25">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row>
    <row r="192" ht="20.25" customHeight="1" spans="1:41" x14ac:dyDescent="0.25">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row>
    <row r="193" ht="20.25" customHeight="1" spans="1:41" x14ac:dyDescent="0.25">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row>
    <row r="194" ht="20.25" customHeight="1" spans="1:41" x14ac:dyDescent="0.2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row>
    <row r="195" ht="20.25" customHeight="1" spans="1:41" x14ac:dyDescent="0.2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row>
    <row r="196" ht="20.25" customHeight="1" spans="1:41" x14ac:dyDescent="0.25">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row>
    <row r="197" ht="20.25" customHeight="1" spans="1:41" x14ac:dyDescent="0.25">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row>
    <row r="198" ht="20.25" customHeight="1" spans="1:41" x14ac:dyDescent="0.25">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row>
    <row r="199" ht="20.25" customHeight="1" spans="1:41" x14ac:dyDescent="0.25">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row>
    <row r="200" ht="20.25" customHeight="1" spans="1:41" x14ac:dyDescent="0.25">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row>
    <row r="201" ht="20.25" customHeight="1" spans="1:41" x14ac:dyDescent="0.25">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row>
    <row r="202" ht="20.25" customHeight="1" spans="1:41" x14ac:dyDescent="0.25">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row>
    <row r="203" ht="20.25" customHeight="1" spans="1:41" x14ac:dyDescent="0.25">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row>
    <row r="204" ht="20.25" customHeight="1" spans="1:41" x14ac:dyDescent="0.25">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row>
    <row r="205" ht="20.25" customHeight="1" spans="1:41" x14ac:dyDescent="0.2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row>
    <row r="206" ht="20.25" customHeight="1" spans="1:41" x14ac:dyDescent="0.25">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row>
    <row r="207" ht="20.25" customHeight="1" spans="1:41" x14ac:dyDescent="0.25">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row>
    <row r="208" ht="20.25" customHeight="1" spans="1:41" x14ac:dyDescent="0.25">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row>
    <row r="209" ht="20.25" customHeight="1" spans="1:41" x14ac:dyDescent="0.25">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row>
    <row r="210" ht="20.25" customHeight="1" spans="1:41" x14ac:dyDescent="0.25">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row>
    <row r="211" ht="20.25" customHeight="1" spans="1:41" x14ac:dyDescent="0.25">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row>
    <row r="212" ht="20.25" customHeight="1" spans="1:41" x14ac:dyDescent="0.25">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row>
    <row r="213" ht="20.25" customHeight="1" spans="1:41" x14ac:dyDescent="0.2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row>
    <row r="214" ht="20.25" customHeight="1" spans="1:41" x14ac:dyDescent="0.2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row>
    <row r="215" ht="20.25" customHeight="1" spans="1:41" x14ac:dyDescent="0.2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row>
    <row r="216" ht="20.25" customHeight="1" spans="1:41" x14ac:dyDescent="0.2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row>
    <row r="217" ht="20.25" customHeight="1" spans="1:41" x14ac:dyDescent="0.2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row>
    <row r="218" ht="20.25" customHeight="1" spans="1:41" x14ac:dyDescent="0.2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row>
    <row r="219" ht="20.25" customHeight="1" spans="1:41" x14ac:dyDescent="0.2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row>
    <row r="220" ht="20.25" customHeight="1" spans="1:41" x14ac:dyDescent="0.2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row>
    <row r="221" ht="20.25" customHeight="1" spans="1:41" x14ac:dyDescent="0.2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row>
    <row r="222" ht="20.25" customHeight="1" spans="1:41" x14ac:dyDescent="0.2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row>
    <row r="223" ht="20.25" customHeight="1" spans="1:41" x14ac:dyDescent="0.2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row>
    <row r="224" ht="20.25" customHeight="1" spans="1:41" x14ac:dyDescent="0.2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row>
    <row r="225" ht="20.25" customHeight="1" spans="1:41" x14ac:dyDescent="0.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row>
    <row r="226" ht="20.25" customHeight="1" spans="1:41" x14ac:dyDescent="0.2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row>
    <row r="227" ht="20.25" customHeight="1" spans="1:41" x14ac:dyDescent="0.2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row>
    <row r="228" ht="20.25" customHeight="1" spans="1:41" x14ac:dyDescent="0.2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row>
    <row r="229" ht="20.25" customHeight="1" spans="1:41" x14ac:dyDescent="0.2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row>
    <row r="230" ht="20.25" customHeight="1" spans="1:41" x14ac:dyDescent="0.2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row>
    <row r="231" ht="20.25" customHeight="1" spans="1:41" x14ac:dyDescent="0.2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row>
    <row r="232" ht="20.25" customHeight="1" spans="1:41" x14ac:dyDescent="0.2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row>
    <row r="233" ht="20.25" customHeight="1" spans="1:41" x14ac:dyDescent="0.2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row>
    <row r="234" ht="20.25" customHeight="1" spans="1:41" x14ac:dyDescent="0.2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row>
    <row r="235" ht="20.25" customHeight="1" spans="1:41" x14ac:dyDescent="0.2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row>
    <row r="236" ht="20.25" customHeight="1" spans="1:41" x14ac:dyDescent="0.2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row>
    <row r="237" ht="20.25" customHeight="1" spans="1:41" x14ac:dyDescent="0.25">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row>
    <row r="238" ht="20.25" customHeight="1" spans="1:41" x14ac:dyDescent="0.25">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row>
    <row r="239" ht="20.25" customHeight="1" spans="1:41" x14ac:dyDescent="0.25">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row>
    <row r="240" ht="20.25" customHeight="1" spans="1:41" x14ac:dyDescent="0.25">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row>
    <row r="241" ht="20.25" customHeight="1" spans="1:41" x14ac:dyDescent="0.25">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row>
    <row r="242" ht="20.25" customHeight="1" spans="1:41" x14ac:dyDescent="0.25">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row>
    <row r="243" ht="20.25" customHeight="1" spans="1:41" x14ac:dyDescent="0.25">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row>
    <row r="244" ht="20.25" customHeight="1" spans="1:41" x14ac:dyDescent="0.25">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row>
    <row r="245" ht="20.25" customHeight="1" spans="1:41" x14ac:dyDescent="0.2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row>
    <row r="246" ht="20.25" customHeight="1" spans="1:41" x14ac:dyDescent="0.25">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row>
    <row r="247" ht="20.25" customHeight="1" spans="1:41" x14ac:dyDescent="0.25">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row>
    <row r="248" ht="20.25" customHeight="1" spans="1:41" x14ac:dyDescent="0.25">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row>
    <row r="249" ht="20.25" customHeight="1" spans="1:41" x14ac:dyDescent="0.25">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row>
    <row r="250" ht="20.25" customHeight="1" spans="1:41" x14ac:dyDescent="0.25">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row>
    <row r="251" ht="20.25" customHeight="1" spans="1:41" x14ac:dyDescent="0.25">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row>
    <row r="252" ht="20.25" customHeight="1" spans="1:41" x14ac:dyDescent="0.25">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row>
    <row r="253" ht="20.25" customHeight="1" spans="1:41" x14ac:dyDescent="0.25">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row>
    <row r="254" ht="20.25" customHeight="1" spans="1:41" x14ac:dyDescent="0.25">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row>
    <row r="255" ht="20.25" customHeight="1" spans="1:41" x14ac:dyDescent="0.2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row>
    <row r="256" ht="20.25" customHeight="1" spans="1:41" x14ac:dyDescent="0.25">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row>
    <row r="257" ht="20.25" customHeight="1" spans="1:41" x14ac:dyDescent="0.25">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row>
    <row r="258" ht="20.25" customHeight="1" spans="1:41" x14ac:dyDescent="0.25">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row>
    <row r="259" ht="20.25" customHeight="1" spans="1:41" x14ac:dyDescent="0.25">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row>
    <row r="260" ht="20.25" customHeight="1" spans="1:41" x14ac:dyDescent="0.25">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row>
    <row r="261" ht="20.25" customHeight="1" spans="1:41" x14ac:dyDescent="0.25">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row>
    <row r="262" ht="20.25" customHeight="1" spans="1:41" x14ac:dyDescent="0.25">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row>
    <row r="263" ht="20.25" customHeight="1" spans="1:41" x14ac:dyDescent="0.25">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row>
    <row r="264" ht="20.25" customHeight="1" spans="1:41" x14ac:dyDescent="0.25">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row>
    <row r="265" ht="20.25" customHeight="1" spans="1:41" x14ac:dyDescent="0.2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row>
    <row r="266" ht="20.25" customHeight="1" spans="1:41" x14ac:dyDescent="0.25">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row>
    <row r="267" ht="20.25" customHeight="1" spans="1:41" x14ac:dyDescent="0.25">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row>
    <row r="268" ht="20.25" customHeight="1" spans="1:41" x14ac:dyDescent="0.25">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row>
    <row r="269" ht="20.25" customHeight="1" spans="1:41" x14ac:dyDescent="0.25">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row>
    <row r="270" ht="20.25" customHeight="1" spans="1:41" x14ac:dyDescent="0.25">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row>
    <row r="271" ht="20.25" customHeight="1" spans="1:41" x14ac:dyDescent="0.25">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row>
    <row r="272" ht="20.25" customHeight="1" spans="1:41" x14ac:dyDescent="0.25">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row>
    <row r="273" ht="20.25" customHeight="1" spans="1:41" x14ac:dyDescent="0.25">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row>
    <row r="274" ht="20.25" customHeight="1" spans="1:41" x14ac:dyDescent="0.25">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row>
    <row r="275" ht="20.25" customHeight="1" spans="1:41" x14ac:dyDescent="0.2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row>
    <row r="276" ht="20.25" customHeight="1" spans="1:41" x14ac:dyDescent="0.25">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row>
    <row r="277" ht="20.25" customHeight="1" spans="1:41" x14ac:dyDescent="0.25">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row>
    <row r="278" ht="20.25" customHeight="1" spans="1:41" x14ac:dyDescent="0.25">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row>
    <row r="279" ht="20.25" customHeight="1" spans="1:41" x14ac:dyDescent="0.25">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row>
    <row r="280" ht="20.25" customHeight="1" spans="1:41" x14ac:dyDescent="0.25">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row>
    <row r="281" ht="20.25" customHeight="1" spans="1:41" x14ac:dyDescent="0.25">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row>
    <row r="282" ht="20.25" customHeight="1" spans="1:41" x14ac:dyDescent="0.25">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row>
    <row r="283" ht="20.25" customHeight="1" spans="1:41" x14ac:dyDescent="0.25">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row>
    <row r="284" ht="20.25" customHeight="1" spans="1:41" x14ac:dyDescent="0.25">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row>
    <row r="285" ht="20.25" customHeight="1" spans="1:41" x14ac:dyDescent="0.2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row>
    <row r="286" ht="20.25" customHeight="1" spans="1:41" x14ac:dyDescent="0.25">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row>
    <row r="287" ht="20.25" customHeight="1" spans="1:41" x14ac:dyDescent="0.25">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row>
    <row r="288" ht="20.25" customHeight="1" spans="1:41" x14ac:dyDescent="0.25">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row>
    <row r="289" ht="20.25" customHeight="1" spans="1:41" x14ac:dyDescent="0.25">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row>
    <row r="290" ht="20.25" customHeight="1" spans="1:41" x14ac:dyDescent="0.25">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row>
    <row r="291" ht="20.25" customHeight="1" spans="1:41" x14ac:dyDescent="0.25">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row>
    <row r="292" ht="20.25" customHeight="1" spans="1:41" x14ac:dyDescent="0.25">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row>
    <row r="293" ht="20.25" customHeight="1" spans="1:41" x14ac:dyDescent="0.25">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row>
    <row r="294" ht="20.25" customHeight="1" spans="1:41" x14ac:dyDescent="0.25">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row>
    <row r="295" ht="20.25" customHeight="1" spans="1:41" x14ac:dyDescent="0.2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row>
    <row r="296" ht="20.25" customHeight="1" spans="1:41" x14ac:dyDescent="0.25">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row>
    <row r="297" ht="20.25" customHeight="1" spans="1:41" x14ac:dyDescent="0.25">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row>
    <row r="298" ht="20.25" customHeight="1" spans="1:41" x14ac:dyDescent="0.25">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row>
    <row r="299" ht="20.25" customHeight="1" spans="1:41" x14ac:dyDescent="0.25">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row>
    <row r="300" ht="20.25" customHeight="1" spans="1:41" x14ac:dyDescent="0.25">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row>
    <row r="301" ht="20.25" customHeight="1" spans="1:41" x14ac:dyDescent="0.25">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row>
    <row r="302" ht="20.25" customHeight="1" spans="1:41" x14ac:dyDescent="0.25">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row>
    <row r="303" ht="20.25" customHeight="1" spans="1:41" x14ac:dyDescent="0.25">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row>
    <row r="304" ht="20.25" customHeight="1" spans="1:41" x14ac:dyDescent="0.25">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row>
    <row r="305" ht="20.25" customHeight="1" spans="1:41" x14ac:dyDescent="0.2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row>
    <row r="306" ht="20.25" customHeight="1" spans="1:41" x14ac:dyDescent="0.25">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row>
    <row r="307" ht="20.25" customHeight="1" spans="1:41" x14ac:dyDescent="0.25">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row>
    <row r="308" ht="20.25" customHeight="1" spans="1:41" x14ac:dyDescent="0.25">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row>
    <row r="309" ht="20.25" customHeight="1" spans="1:41" x14ac:dyDescent="0.25">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row>
    <row r="310" ht="20.25" customHeight="1" spans="1:41" x14ac:dyDescent="0.25">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row>
    <row r="311" ht="20.25" customHeight="1" spans="1:41" x14ac:dyDescent="0.25">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row>
    <row r="312" ht="20.25" customHeight="1" spans="1:41" x14ac:dyDescent="0.25">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row>
    <row r="313" ht="20.25" customHeight="1" spans="1:41" x14ac:dyDescent="0.25">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row>
    <row r="314" ht="20.25" customHeight="1" spans="1:41" x14ac:dyDescent="0.25">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row>
    <row r="315" ht="20.25" customHeight="1" spans="1:41" x14ac:dyDescent="0.2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row>
    <row r="316" ht="20.25" customHeight="1" spans="1:41" x14ac:dyDescent="0.25">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row>
    <row r="317" ht="20.25" customHeight="1" spans="1:41" x14ac:dyDescent="0.25">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row>
    <row r="318" ht="20.25" customHeight="1" spans="1:41" x14ac:dyDescent="0.25">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row>
    <row r="319" ht="20.25" customHeight="1" spans="1:41" x14ac:dyDescent="0.25">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row>
    <row r="320" ht="20.25" customHeight="1" spans="1:41" x14ac:dyDescent="0.25">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row>
    <row r="321" ht="20.25" customHeight="1" spans="1:41" x14ac:dyDescent="0.25">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row>
    <row r="322" ht="20.25" customHeight="1" spans="1:41" x14ac:dyDescent="0.25">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row>
    <row r="323" ht="20.25" customHeight="1" spans="1:41" x14ac:dyDescent="0.25">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row>
    <row r="324" ht="20.25" customHeight="1" spans="1:41" x14ac:dyDescent="0.25">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row>
    <row r="325" ht="20.25" customHeight="1" spans="1:41" x14ac:dyDescent="0.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row>
    <row r="326" ht="20.25" customHeight="1" spans="1:41" x14ac:dyDescent="0.25">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row>
    <row r="327" ht="20.25" customHeight="1" spans="1:41" x14ac:dyDescent="0.25">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row>
    <row r="328" ht="20.25" customHeight="1" spans="1:41" x14ac:dyDescent="0.25">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row>
    <row r="329" ht="20.25" customHeight="1" spans="1:41" x14ac:dyDescent="0.25">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row>
    <row r="330" ht="20.25" customHeight="1" spans="1:41" x14ac:dyDescent="0.25">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row>
    <row r="331" ht="20.25" customHeight="1" spans="1:41" x14ac:dyDescent="0.25">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row>
    <row r="332" ht="20.25" customHeight="1" spans="1:41" x14ac:dyDescent="0.25">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row>
    <row r="333" ht="20.25" customHeight="1" spans="1:41" x14ac:dyDescent="0.25">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row>
    <row r="334" ht="20.25" customHeight="1" spans="1:41" x14ac:dyDescent="0.25">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row>
    <row r="335" ht="20.25" customHeight="1" spans="1:41" x14ac:dyDescent="0.2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row>
    <row r="336" ht="20.25" customHeight="1" spans="1:41" x14ac:dyDescent="0.25">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row>
    <row r="337" ht="20.25" customHeight="1" spans="1:41" x14ac:dyDescent="0.25">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row>
    <row r="338" ht="20.25" customHeight="1" spans="1:41" x14ac:dyDescent="0.25">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row>
    <row r="339" ht="20.25" customHeight="1" spans="1:41" x14ac:dyDescent="0.25">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row>
    <row r="340" ht="20.25" customHeight="1" spans="1:41" x14ac:dyDescent="0.25">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row>
    <row r="341" ht="20.25" customHeight="1" spans="1:41" x14ac:dyDescent="0.25">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row>
    <row r="342" ht="20.25" customHeight="1" spans="1:41" x14ac:dyDescent="0.25">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row>
    <row r="343" ht="20.25" customHeight="1" spans="1:41" x14ac:dyDescent="0.25">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row>
    <row r="344" ht="20.25" customHeight="1" spans="1:41" x14ac:dyDescent="0.25">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row>
    <row r="345" ht="20.25" customHeight="1" spans="1:41" x14ac:dyDescent="0.2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row>
    <row r="346" ht="20.25" customHeight="1" spans="1:41" x14ac:dyDescent="0.25">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row>
    <row r="347" ht="20.25" customHeight="1" spans="1:41" x14ac:dyDescent="0.25">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row>
    <row r="348" ht="20.25" customHeight="1" spans="1:41" x14ac:dyDescent="0.25">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row>
    <row r="349" ht="20.25" customHeight="1" spans="1:41" x14ac:dyDescent="0.25">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row>
    <row r="350" ht="20.25" customHeight="1" spans="1:41" x14ac:dyDescent="0.25">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row>
    <row r="351" ht="20.25" customHeight="1" spans="1:41" x14ac:dyDescent="0.25">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row>
    <row r="352" ht="20.25" customHeight="1" spans="1:41" x14ac:dyDescent="0.25">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row>
    <row r="353" ht="20.25" customHeight="1" spans="1:41" x14ac:dyDescent="0.25">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row>
    <row r="354" ht="20.25" customHeight="1" spans="1:41" x14ac:dyDescent="0.25">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row>
    <row r="355" ht="20.25" customHeight="1" spans="1:41" x14ac:dyDescent="0.2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row>
    <row r="356" ht="20.25" customHeight="1" spans="1:41" x14ac:dyDescent="0.25">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row>
    <row r="357" ht="20.25" customHeight="1" spans="1:41" x14ac:dyDescent="0.25">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row>
    <row r="358" ht="20.25" customHeight="1" spans="1:41" x14ac:dyDescent="0.25">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row>
    <row r="359" ht="20.25" customHeight="1" spans="1:41" x14ac:dyDescent="0.25">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row>
    <row r="360" ht="20.25" customHeight="1" spans="1:41" x14ac:dyDescent="0.25">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row>
    <row r="361" ht="20.25" customHeight="1" spans="1:41" x14ac:dyDescent="0.25">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row>
    <row r="362" ht="20.25" customHeight="1" spans="1:41" x14ac:dyDescent="0.25">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row>
    <row r="363" ht="20.25" customHeight="1" spans="1:41" x14ac:dyDescent="0.25">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row>
    <row r="364" ht="20.25" customHeight="1" spans="1:41" x14ac:dyDescent="0.25">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row>
    <row r="365" ht="20.25" customHeight="1" spans="1:41" x14ac:dyDescent="0.2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row>
    <row r="366" ht="20.25" customHeight="1" spans="1:41" x14ac:dyDescent="0.25">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row>
    <row r="367" ht="20.25" customHeight="1" spans="1:41" x14ac:dyDescent="0.25">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row>
    <row r="368" ht="20.25" customHeight="1" spans="1:41" x14ac:dyDescent="0.25">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row>
    <row r="369" ht="20.25" customHeight="1" spans="1:41" x14ac:dyDescent="0.25">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row>
    <row r="370" ht="20.25" customHeight="1" spans="1:41" x14ac:dyDescent="0.25">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row>
    <row r="371" ht="20.25" customHeight="1" spans="1:41" x14ac:dyDescent="0.25">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row>
    <row r="372" ht="20.25" customHeight="1" spans="1:41" x14ac:dyDescent="0.25">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row>
    <row r="373" ht="20.25" customHeight="1" spans="1:41" x14ac:dyDescent="0.25">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row>
    <row r="374" ht="20.25" customHeight="1" spans="1:41" x14ac:dyDescent="0.25">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row>
    <row r="375" ht="20.25" customHeight="1" spans="1:41" x14ac:dyDescent="0.2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row>
    <row r="376" ht="20.25" customHeight="1" spans="1:41" x14ac:dyDescent="0.25">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row>
    <row r="377" ht="20.25" customHeight="1" spans="1:41" x14ac:dyDescent="0.25">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row>
    <row r="378" ht="20.25" customHeight="1" spans="1:41" x14ac:dyDescent="0.25">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row>
    <row r="379" ht="20.25" customHeight="1" spans="1:41" x14ac:dyDescent="0.25">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row>
    <row r="380" ht="20.25" customHeight="1" spans="1:41" x14ac:dyDescent="0.25">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row>
    <row r="381" ht="20.25" customHeight="1" spans="1:41" x14ac:dyDescent="0.25">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row>
    <row r="382" ht="20.25" customHeight="1" spans="1:41" x14ac:dyDescent="0.25">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row>
    <row r="383" ht="20.25" customHeight="1" spans="1:41" x14ac:dyDescent="0.25">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row>
    <row r="384" ht="20.25" customHeight="1" spans="1:41" x14ac:dyDescent="0.25">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row>
    <row r="385" ht="20.25" customHeight="1" spans="1:41" x14ac:dyDescent="0.2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row>
    <row r="386" ht="20.25" customHeight="1" spans="1:41" x14ac:dyDescent="0.25">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row>
    <row r="387" ht="20.25" customHeight="1" spans="1:41" x14ac:dyDescent="0.25">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row>
    <row r="388" ht="20.25" customHeight="1" spans="1:41" x14ac:dyDescent="0.25">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row>
    <row r="389" ht="20.25" customHeight="1" spans="1:41" x14ac:dyDescent="0.25">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row>
    <row r="390" ht="20.25" customHeight="1" spans="1:41" x14ac:dyDescent="0.25">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row>
    <row r="391" ht="20.25" customHeight="1" spans="1:41" x14ac:dyDescent="0.25">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row>
    <row r="392" ht="20.25" customHeight="1" spans="1:41" x14ac:dyDescent="0.25">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row>
    <row r="393" ht="20.25" customHeight="1" spans="1:41" x14ac:dyDescent="0.25">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row>
    <row r="394" ht="20.25" customHeight="1" spans="1:41" x14ac:dyDescent="0.25">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row>
    <row r="395" ht="20.25" customHeight="1" spans="1:41" x14ac:dyDescent="0.2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row>
    <row r="396" ht="20.25" customHeight="1" spans="1:41" x14ac:dyDescent="0.25">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row>
    <row r="397" ht="20.25" customHeight="1" spans="1:41" x14ac:dyDescent="0.25">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row>
    <row r="398" ht="20.25" customHeight="1" spans="1:41" x14ac:dyDescent="0.25">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row>
    <row r="399" ht="20.25" customHeight="1" spans="1:41" x14ac:dyDescent="0.25">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row>
    <row r="400" ht="20.25" customHeight="1" spans="1:41" x14ac:dyDescent="0.25">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row>
    <row r="401" ht="20.25" customHeight="1" spans="1:41" x14ac:dyDescent="0.25">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row>
    <row r="402" ht="20.25" customHeight="1" spans="1:41" x14ac:dyDescent="0.25">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row>
    <row r="403" ht="20.25" customHeight="1" spans="1:41" x14ac:dyDescent="0.25">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row>
    <row r="404" ht="20.25" customHeight="1" spans="1:41" x14ac:dyDescent="0.25">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row>
    <row r="405" ht="20.25" customHeight="1" spans="1:41" x14ac:dyDescent="0.2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row>
    <row r="406" ht="20.25" customHeight="1" spans="1:41" x14ac:dyDescent="0.25">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row>
    <row r="407" ht="20.25" customHeight="1" spans="1:41" x14ac:dyDescent="0.25">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row>
    <row r="408" ht="20.25" customHeight="1" spans="1:41" x14ac:dyDescent="0.25">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row>
    <row r="409" ht="20.25" customHeight="1" spans="1:41" x14ac:dyDescent="0.25">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row>
    <row r="410" ht="20.25" customHeight="1" spans="1:41" x14ac:dyDescent="0.25">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row>
    <row r="411" ht="20.25" customHeight="1" spans="1:41" x14ac:dyDescent="0.25">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row>
    <row r="412" ht="20.25" customHeight="1" spans="1:41" x14ac:dyDescent="0.25">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row>
    <row r="413" ht="20.25" customHeight="1" spans="1:41" x14ac:dyDescent="0.25">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row>
    <row r="414" ht="20.25" customHeight="1" spans="1:41" x14ac:dyDescent="0.25">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row>
    <row r="415" ht="20.25" customHeight="1" spans="1:41" x14ac:dyDescent="0.2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row>
    <row r="416" ht="20.25" customHeight="1" spans="1:41" x14ac:dyDescent="0.25">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row>
    <row r="417" ht="20.25" customHeight="1" spans="1:41" x14ac:dyDescent="0.25">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row>
    <row r="418" ht="20.25" customHeight="1" spans="1:41" x14ac:dyDescent="0.25">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row>
    <row r="419" ht="20.25" customHeight="1" spans="1:41" x14ac:dyDescent="0.25">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row>
    <row r="420" ht="20.25" customHeight="1" spans="1:41" x14ac:dyDescent="0.25">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row>
    <row r="421" ht="20.25" customHeight="1" spans="1:41" x14ac:dyDescent="0.25">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row>
    <row r="422" ht="20.25" customHeight="1" spans="1:41" x14ac:dyDescent="0.25">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row>
    <row r="423" ht="20.25" customHeight="1" spans="1:41" x14ac:dyDescent="0.25">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row>
    <row r="424" ht="20.25" customHeight="1" spans="1:41" x14ac:dyDescent="0.25">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row>
    <row r="425" ht="20.25" customHeight="1" spans="1:41" x14ac:dyDescent="0.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row>
    <row r="426" ht="20.25" customHeight="1" spans="1:41" x14ac:dyDescent="0.25">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row>
    <row r="427" ht="20.25" customHeight="1" spans="1:41" x14ac:dyDescent="0.25">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row>
    <row r="428" ht="20.25" customHeight="1" spans="1:41" x14ac:dyDescent="0.25">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row>
    <row r="429" ht="20.25" customHeight="1" spans="1:41" x14ac:dyDescent="0.25">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row>
    <row r="430" ht="20.25" customHeight="1" spans="1:41" x14ac:dyDescent="0.25">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row>
    <row r="431" ht="20.25" customHeight="1" spans="1:41" x14ac:dyDescent="0.25">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row>
    <row r="432" ht="20.25" customHeight="1" spans="1:41" x14ac:dyDescent="0.25">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row>
    <row r="433" ht="20.25" customHeight="1" spans="1:41" x14ac:dyDescent="0.25">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row>
    <row r="434" ht="20.25" customHeight="1" spans="1:41" x14ac:dyDescent="0.25">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row>
    <row r="435" ht="20.25" customHeight="1" spans="1:41" x14ac:dyDescent="0.2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row>
    <row r="436" ht="20.25" customHeight="1" spans="1:41" x14ac:dyDescent="0.25">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row>
    <row r="437" ht="20.25" customHeight="1" spans="1:41" x14ac:dyDescent="0.25">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row>
    <row r="438" ht="20.25" customHeight="1" spans="1:41" x14ac:dyDescent="0.25">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row>
    <row r="439" ht="20.25" customHeight="1" spans="1:41" x14ac:dyDescent="0.25">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row>
    <row r="440" ht="20.25" customHeight="1" spans="1:41" x14ac:dyDescent="0.25">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row>
    <row r="441" ht="20.25" customHeight="1" spans="1:41" x14ac:dyDescent="0.25">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row>
    <row r="442" ht="20.25" customHeight="1" spans="1:41" x14ac:dyDescent="0.25">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row>
    <row r="443" ht="20.25" customHeight="1" spans="1:41" x14ac:dyDescent="0.25">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row>
    <row r="444" ht="20.25" customHeight="1" spans="1:41" x14ac:dyDescent="0.25">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row>
    <row r="445" ht="20.25" customHeight="1" spans="1:41" x14ac:dyDescent="0.2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row>
    <row r="446" ht="20.25" customHeight="1" spans="1:41" x14ac:dyDescent="0.25">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row>
    <row r="447" ht="20.25" customHeight="1" spans="1:41" x14ac:dyDescent="0.25">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row>
    <row r="448" ht="20.25" customHeight="1" spans="1:41" x14ac:dyDescent="0.25">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row>
    <row r="449" ht="20.25" customHeight="1" spans="1:41" x14ac:dyDescent="0.25">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row>
    <row r="450" ht="20.25" customHeight="1" spans="1:41" x14ac:dyDescent="0.25">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row>
    <row r="451" ht="20.25" customHeight="1" spans="1:41" x14ac:dyDescent="0.25">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row>
    <row r="452" ht="20.25" customHeight="1" spans="1:41" x14ac:dyDescent="0.25">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row>
    <row r="453" ht="20.25" customHeight="1" spans="1:41" x14ac:dyDescent="0.25">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row>
    <row r="454" ht="20.25" customHeight="1" spans="1:41" x14ac:dyDescent="0.25">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row>
    <row r="455" ht="20.25" customHeight="1" spans="1:41" x14ac:dyDescent="0.2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row>
    <row r="456" ht="20.25" customHeight="1" spans="1:41" x14ac:dyDescent="0.25">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row>
    <row r="457" ht="20.25" customHeight="1" spans="1:41" x14ac:dyDescent="0.25">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row>
    <row r="458" ht="20.25" customHeight="1" spans="1:41" x14ac:dyDescent="0.25">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row>
    <row r="459" ht="20.25" customHeight="1" spans="1:41" x14ac:dyDescent="0.25">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row>
    <row r="460" ht="20.25" customHeight="1" spans="1:41" x14ac:dyDescent="0.25">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row>
    <row r="461" ht="20.25" customHeight="1" spans="1:41" x14ac:dyDescent="0.25">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row>
    <row r="462" ht="20.25" customHeight="1" spans="1:41" x14ac:dyDescent="0.25">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row>
    <row r="463" ht="20.25" customHeight="1" spans="1:41" x14ac:dyDescent="0.25">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row>
    <row r="464" ht="20.25" customHeight="1" spans="1:41" x14ac:dyDescent="0.25">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row>
    <row r="465" ht="20.25" customHeight="1" spans="1:41" x14ac:dyDescent="0.2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row>
    <row r="466" ht="20.25" customHeight="1" spans="1:41" x14ac:dyDescent="0.25">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row>
    <row r="467" ht="20.25" customHeight="1" spans="1:41" x14ac:dyDescent="0.25">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row>
    <row r="468" ht="20.25" customHeight="1" spans="1:41" x14ac:dyDescent="0.25">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row>
    <row r="469" ht="20.25" customHeight="1" spans="1:41" x14ac:dyDescent="0.25">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row>
    <row r="470" ht="20.25" customHeight="1" spans="1:41" x14ac:dyDescent="0.25">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row>
    <row r="471" ht="20.25" customHeight="1" spans="1:41" x14ac:dyDescent="0.25">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row>
    <row r="472" ht="20.25" customHeight="1" spans="1:41" x14ac:dyDescent="0.25">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row>
    <row r="473" ht="20.25" customHeight="1" spans="1:41" x14ac:dyDescent="0.25">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row>
    <row r="474" ht="20.25" customHeight="1" spans="1:41" x14ac:dyDescent="0.25">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row>
    <row r="475" ht="20.25" customHeight="1" spans="1:41" x14ac:dyDescent="0.2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row>
    <row r="476" ht="20.25" customHeight="1" spans="1:41" x14ac:dyDescent="0.25">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row>
    <row r="477" ht="20.25" customHeight="1" spans="1:41" x14ac:dyDescent="0.25">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row>
    <row r="478" ht="20.25" customHeight="1" spans="1:41" x14ac:dyDescent="0.25">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row>
    <row r="479" ht="20.25" customHeight="1" spans="1:41" x14ac:dyDescent="0.25">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row>
    <row r="480" ht="20.25" customHeight="1" spans="1:41" x14ac:dyDescent="0.25">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row>
    <row r="481" ht="20.25" customHeight="1" spans="1:41" x14ac:dyDescent="0.25">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row>
    <row r="482" ht="20.25" customHeight="1" spans="1:41" x14ac:dyDescent="0.25">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row>
    <row r="483" ht="20.25" customHeight="1" spans="1:41" x14ac:dyDescent="0.25">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row>
    <row r="484" ht="20.25" customHeight="1" spans="1:41" x14ac:dyDescent="0.25">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row>
    <row r="485" ht="20.25" customHeight="1" spans="1:41" x14ac:dyDescent="0.2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row>
    <row r="486" ht="20.25" customHeight="1" spans="1:41" x14ac:dyDescent="0.25">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row>
    <row r="487" ht="20.25" customHeight="1" spans="1:41" x14ac:dyDescent="0.25">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row>
    <row r="488" ht="20.25" customHeight="1" spans="1:41" x14ac:dyDescent="0.25">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row>
    <row r="489" ht="20.25" customHeight="1" spans="1:41" x14ac:dyDescent="0.25">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row>
    <row r="490" ht="20.25" customHeight="1" spans="1:41" x14ac:dyDescent="0.25">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row>
    <row r="491" ht="20.25" customHeight="1" spans="1:41" x14ac:dyDescent="0.25">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row>
    <row r="492" ht="20.25" customHeight="1" spans="1:41" x14ac:dyDescent="0.25">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row>
    <row r="493" ht="20.25" customHeight="1" spans="1:41" x14ac:dyDescent="0.25">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row>
    <row r="494" ht="20.25" customHeight="1" spans="1:41" x14ac:dyDescent="0.25">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row>
    <row r="495" ht="20.25" customHeight="1" spans="1:41" x14ac:dyDescent="0.2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row>
    <row r="496" ht="20.25" customHeight="1" spans="1:41" x14ac:dyDescent="0.25">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row>
    <row r="497" ht="20.25" customHeight="1" spans="1:41" x14ac:dyDescent="0.25">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row>
    <row r="498" ht="20.25" customHeight="1" spans="1:41" x14ac:dyDescent="0.25">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row>
    <row r="499" ht="20.25" customHeight="1" spans="1:41" x14ac:dyDescent="0.25">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row>
    <row r="500" ht="20.25" customHeight="1" spans="1:41" x14ac:dyDescent="0.25">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row>
    <row r="501" ht="20.25" customHeight="1" spans="1:41" x14ac:dyDescent="0.25">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row>
    <row r="502" ht="20.25" customHeight="1" spans="1:41" x14ac:dyDescent="0.25">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row>
    <row r="503" ht="20.25" customHeight="1" spans="1:41" x14ac:dyDescent="0.25">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row>
    <row r="504" ht="20.25" customHeight="1" spans="1:41" x14ac:dyDescent="0.25">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row>
    <row r="505" ht="20.25" customHeight="1" spans="1:41" x14ac:dyDescent="0.2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row>
    <row r="506" ht="20.25" customHeight="1" spans="1:41" x14ac:dyDescent="0.25">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row>
    <row r="507" ht="20.25" customHeight="1" spans="1:41" x14ac:dyDescent="0.25">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row>
    <row r="508" ht="20.25" customHeight="1" spans="1:41" x14ac:dyDescent="0.25">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row>
    <row r="509" ht="20.25" customHeight="1" spans="1:41" x14ac:dyDescent="0.25">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row>
    <row r="510" ht="20.25" customHeight="1" spans="1:41" x14ac:dyDescent="0.25">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row>
    <row r="511" ht="20.25" customHeight="1" spans="1:41" x14ac:dyDescent="0.25">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row>
    <row r="512" ht="20.25" customHeight="1" spans="1:41" x14ac:dyDescent="0.25">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row>
    <row r="513" ht="20.25" customHeight="1" spans="1:41" x14ac:dyDescent="0.25">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row>
    <row r="514" ht="20.25" customHeight="1" spans="1:41" x14ac:dyDescent="0.25">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row>
    <row r="515" ht="20.25" customHeight="1" spans="1:41" x14ac:dyDescent="0.2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row>
    <row r="516" ht="20.25" customHeight="1" spans="1:41" x14ac:dyDescent="0.25">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row>
    <row r="517" ht="20.25" customHeight="1" spans="1:41" x14ac:dyDescent="0.25">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row>
    <row r="518" ht="20.25" customHeight="1" spans="1:41" x14ac:dyDescent="0.25">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row>
    <row r="519" ht="20.25" customHeight="1" spans="1:41" x14ac:dyDescent="0.25">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row>
    <row r="520" ht="20.25" customHeight="1" spans="1:41" x14ac:dyDescent="0.25">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row>
    <row r="521" ht="20.25" customHeight="1" spans="1:41" x14ac:dyDescent="0.25">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row>
    <row r="522" ht="20.25" customHeight="1" spans="1:41" x14ac:dyDescent="0.25">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row>
    <row r="523" ht="20.25" customHeight="1" spans="1:41" x14ac:dyDescent="0.25">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row>
    <row r="524" ht="20.25" customHeight="1" spans="1:41" x14ac:dyDescent="0.25">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row>
    <row r="525" ht="20.25" customHeight="1" spans="1:41" x14ac:dyDescent="0.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row>
    <row r="526" ht="20.25" customHeight="1" spans="1:41" x14ac:dyDescent="0.25">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row>
    <row r="527" ht="20.25" customHeight="1" spans="1:41" x14ac:dyDescent="0.25">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row>
    <row r="528" ht="20.25" customHeight="1" spans="1:41" x14ac:dyDescent="0.25">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row>
    <row r="529" ht="20.25" customHeight="1" spans="1:41" x14ac:dyDescent="0.25">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row>
    <row r="530" ht="20.25" customHeight="1" spans="1:41" x14ac:dyDescent="0.25">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row>
    <row r="531" ht="20.25" customHeight="1" spans="1:41" x14ac:dyDescent="0.25">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row>
    <row r="532" ht="20.25" customHeight="1" spans="1:41" x14ac:dyDescent="0.25">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row>
    <row r="533" ht="20.25" customHeight="1" spans="1:41" x14ac:dyDescent="0.25">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row>
    <row r="534" ht="20.25" customHeight="1" spans="1:41" x14ac:dyDescent="0.25">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row>
    <row r="535" ht="20.25" customHeight="1" spans="1:41" x14ac:dyDescent="0.2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row>
    <row r="536" ht="20.25" customHeight="1" spans="1:41" x14ac:dyDescent="0.25">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row>
    <row r="537" ht="20.25" customHeight="1" spans="1:41" x14ac:dyDescent="0.25">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row>
    <row r="538" ht="20.25" customHeight="1" spans="1:41" x14ac:dyDescent="0.25">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row>
    <row r="539" ht="20.25" customHeight="1" spans="1:41" x14ac:dyDescent="0.25">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row>
    <row r="540" ht="20.25" customHeight="1" spans="1:41" x14ac:dyDescent="0.25">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row>
    <row r="541" ht="20.25" customHeight="1" spans="1:41" x14ac:dyDescent="0.25">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row>
    <row r="542" ht="20.25" customHeight="1" spans="1:41" x14ac:dyDescent="0.25">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row>
    <row r="543" ht="20.25" customHeight="1" spans="1:41" x14ac:dyDescent="0.25">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row>
    <row r="544" ht="20.25" customHeight="1" spans="1:41" x14ac:dyDescent="0.25">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row>
    <row r="545" ht="20.25" customHeight="1" spans="1:41" x14ac:dyDescent="0.2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row>
    <row r="546" ht="20.25" customHeight="1" spans="1:41" x14ac:dyDescent="0.25">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row>
    <row r="547" ht="20.25" customHeight="1" spans="1:41" x14ac:dyDescent="0.25">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row>
    <row r="548" ht="20.25" customHeight="1" spans="1:41" x14ac:dyDescent="0.25">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row>
    <row r="549" ht="20.25" customHeight="1" spans="1:41" x14ac:dyDescent="0.25">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row>
    <row r="550" ht="20.25" customHeight="1" spans="1:41" x14ac:dyDescent="0.25">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row>
    <row r="551" ht="20.25" customHeight="1" spans="1:41" x14ac:dyDescent="0.25">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row>
    <row r="552" ht="20.25" customHeight="1" spans="1:41" x14ac:dyDescent="0.25">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row>
    <row r="553" ht="20.25" customHeight="1" spans="1:41" x14ac:dyDescent="0.25">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row>
    <row r="554" ht="20.25" customHeight="1" spans="1:41" x14ac:dyDescent="0.25">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row>
    <row r="555" ht="20.25" customHeight="1" spans="1:41" x14ac:dyDescent="0.2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row>
    <row r="556" ht="20.25" customHeight="1" spans="1:41" x14ac:dyDescent="0.25">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row>
    <row r="557" ht="20.25" customHeight="1" spans="1:41" x14ac:dyDescent="0.25">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row>
    <row r="558" ht="20.25" customHeight="1" spans="1:41" x14ac:dyDescent="0.25">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row>
    <row r="559" ht="20.25" customHeight="1" spans="1:41" x14ac:dyDescent="0.25">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row>
    <row r="560" ht="20.25" customHeight="1" spans="1:41" x14ac:dyDescent="0.25">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row>
    <row r="561" ht="20.25" customHeight="1" spans="1:41" x14ac:dyDescent="0.25">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row>
    <row r="562" ht="20.25" customHeight="1" spans="1:41" x14ac:dyDescent="0.25">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row>
    <row r="563" ht="20.25" customHeight="1" spans="1:41" x14ac:dyDescent="0.25">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row>
    <row r="564" ht="20.25" customHeight="1" spans="1:41" x14ac:dyDescent="0.25">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row>
    <row r="565" ht="20.25" customHeight="1" spans="1:41" x14ac:dyDescent="0.2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row>
    <row r="566" ht="20.25" customHeight="1" spans="1:41" x14ac:dyDescent="0.25">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row>
    <row r="567" ht="20.25" customHeight="1" spans="1:41" x14ac:dyDescent="0.25">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row>
    <row r="568" ht="20.25" customHeight="1" spans="1:41" x14ac:dyDescent="0.25">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row>
    <row r="569" ht="20.25" customHeight="1" spans="1:41" x14ac:dyDescent="0.25">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row>
    <row r="570" ht="20.25" customHeight="1" spans="1:41" x14ac:dyDescent="0.25">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row>
    <row r="571" ht="20.25" customHeight="1" spans="1:41" x14ac:dyDescent="0.25">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row>
    <row r="572" ht="20.25" customHeight="1" spans="1:41" x14ac:dyDescent="0.25">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row>
    <row r="573" ht="20.25" customHeight="1" spans="1:41" x14ac:dyDescent="0.25">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row>
    <row r="574" ht="20.25" customHeight="1" spans="1:41" x14ac:dyDescent="0.25">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row>
    <row r="575" ht="20.25" customHeight="1" spans="1:41" x14ac:dyDescent="0.2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row>
    <row r="576" ht="20.25" customHeight="1" spans="1:41" x14ac:dyDescent="0.25">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row>
    <row r="577" ht="20.25" customHeight="1" spans="1:41" x14ac:dyDescent="0.25">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row>
    <row r="578" ht="20.25" customHeight="1" spans="1:41" x14ac:dyDescent="0.25">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row>
    <row r="579" ht="20.25" customHeight="1" spans="1:41" x14ac:dyDescent="0.25">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row>
    <row r="580" ht="20.25" customHeight="1" spans="1:41" x14ac:dyDescent="0.25">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row>
    <row r="581" ht="20.25" customHeight="1" spans="1:41" x14ac:dyDescent="0.25">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row>
    <row r="582" ht="20.25" customHeight="1" spans="1:41" x14ac:dyDescent="0.25">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row>
    <row r="583" ht="20.25" customHeight="1" spans="1:41" x14ac:dyDescent="0.25">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row>
    <row r="584" ht="20.25" customHeight="1" spans="1:41" x14ac:dyDescent="0.25">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row>
    <row r="585" ht="20.25" customHeight="1" spans="1:41" x14ac:dyDescent="0.2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row>
    <row r="586" ht="20.25" customHeight="1" spans="1:41" x14ac:dyDescent="0.25">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row>
    <row r="587" ht="20.25" customHeight="1" spans="1:41" x14ac:dyDescent="0.25">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row>
    <row r="588" ht="20.25" customHeight="1" spans="1:41" x14ac:dyDescent="0.25">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row>
    <row r="589" ht="20.25" customHeight="1" spans="1:41" x14ac:dyDescent="0.25">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row>
    <row r="590" ht="20.25" customHeight="1" spans="1:41" x14ac:dyDescent="0.25">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row>
    <row r="591" ht="20.25" customHeight="1" spans="1:41" x14ac:dyDescent="0.25">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row>
    <row r="592" ht="20.25" customHeight="1" spans="1:41" x14ac:dyDescent="0.25">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row>
    <row r="593" ht="20.25" customHeight="1" spans="1:41" x14ac:dyDescent="0.25">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row>
    <row r="594" ht="20.25" customHeight="1" spans="1:41" x14ac:dyDescent="0.25">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row>
    <row r="595" ht="20.25" customHeight="1" spans="1:41" x14ac:dyDescent="0.2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row>
    <row r="596" ht="20.25" customHeight="1" spans="1:41" x14ac:dyDescent="0.25">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row>
    <row r="597" ht="20.25" customHeight="1" spans="1:41" x14ac:dyDescent="0.25">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row>
    <row r="598" ht="20.25" customHeight="1" spans="1:41" x14ac:dyDescent="0.25">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row>
    <row r="599" ht="20.25" customHeight="1" spans="1:41" x14ac:dyDescent="0.25">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row>
    <row r="600" ht="20.25" customHeight="1" spans="1:41" x14ac:dyDescent="0.25">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row>
    <row r="601" ht="20.25" customHeight="1" spans="1:41" x14ac:dyDescent="0.25">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row>
    <row r="602" ht="20.25" customHeight="1" spans="1:41" x14ac:dyDescent="0.25">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row>
    <row r="603" ht="20.25" customHeight="1" spans="1:41" x14ac:dyDescent="0.25">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row>
    <row r="604" ht="20.25" customHeight="1" spans="1:41" x14ac:dyDescent="0.25">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row>
    <row r="605" ht="20.25" customHeight="1" spans="1:41" x14ac:dyDescent="0.2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row>
    <row r="606" ht="20.25" customHeight="1" spans="1:41" x14ac:dyDescent="0.25">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row>
    <row r="607" ht="20.25" customHeight="1" spans="1:41" x14ac:dyDescent="0.25">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row>
    <row r="608" ht="20.25" customHeight="1" spans="1:41" x14ac:dyDescent="0.25">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row>
    <row r="609" ht="20.25" customHeight="1" spans="1:41" x14ac:dyDescent="0.25">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row>
    <row r="610" ht="20.25" customHeight="1" spans="1:41" x14ac:dyDescent="0.25">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row>
    <row r="611" ht="20.25" customHeight="1" spans="1:41" x14ac:dyDescent="0.25">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row>
    <row r="612" ht="20.25" customHeight="1" spans="1:41" x14ac:dyDescent="0.25">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row>
    <row r="613" ht="20.25" customHeight="1" spans="1:41" x14ac:dyDescent="0.25">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row>
    <row r="614" ht="20.25" customHeight="1" spans="1:41" x14ac:dyDescent="0.25">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row>
    <row r="615" ht="20.25" customHeight="1" spans="1:41" x14ac:dyDescent="0.2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row>
    <row r="616" ht="20.25" customHeight="1" spans="1:41" x14ac:dyDescent="0.25">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row>
    <row r="617" ht="20.25" customHeight="1" spans="1:41" x14ac:dyDescent="0.25">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row>
    <row r="618" ht="20.25" customHeight="1" spans="1:41" x14ac:dyDescent="0.25">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row>
    <row r="619" ht="20.25" customHeight="1" spans="1:41" x14ac:dyDescent="0.25">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row>
    <row r="620" ht="20.25" customHeight="1" spans="1:41" x14ac:dyDescent="0.25">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row>
    <row r="621" ht="20.25" customHeight="1" spans="1:41" x14ac:dyDescent="0.25">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row>
    <row r="622" ht="20.25" customHeight="1" spans="1:41" x14ac:dyDescent="0.25">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row>
    <row r="623" ht="20.25" customHeight="1" spans="1:41" x14ac:dyDescent="0.25">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row>
    <row r="624" ht="20.25" customHeight="1" spans="1:41" x14ac:dyDescent="0.25">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row>
    <row r="625" ht="20.25" customHeight="1" spans="1:41" x14ac:dyDescent="0.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row>
    <row r="626" ht="20.25" customHeight="1" spans="1:41" x14ac:dyDescent="0.25">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row>
    <row r="627" ht="20.25" customHeight="1" spans="1:41" x14ac:dyDescent="0.25">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row>
    <row r="628" ht="20.25" customHeight="1" spans="1:41" x14ac:dyDescent="0.25">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row>
    <row r="629" ht="20.25" customHeight="1" spans="1:41" x14ac:dyDescent="0.25">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row>
    <row r="630" ht="20.25" customHeight="1" spans="1:41" x14ac:dyDescent="0.25">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row>
    <row r="631" ht="20.25" customHeight="1" spans="1:41" x14ac:dyDescent="0.25">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row>
    <row r="632" ht="20.25" customHeight="1" spans="1:41" x14ac:dyDescent="0.25">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row>
    <row r="633" ht="20.25" customHeight="1" spans="1:41" x14ac:dyDescent="0.25">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row>
    <row r="634" ht="20.25" customHeight="1" spans="1:41" x14ac:dyDescent="0.25">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row>
    <row r="635" ht="20.25" customHeight="1" spans="1:41" x14ac:dyDescent="0.2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row>
    <row r="636" ht="20.25" customHeight="1" spans="1:41" x14ac:dyDescent="0.25">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row>
    <row r="637" ht="20.25" customHeight="1" spans="1:41" x14ac:dyDescent="0.25">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row>
    <row r="638" ht="20.25" customHeight="1" spans="1:41" x14ac:dyDescent="0.25">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row>
    <row r="639" ht="20.25" customHeight="1" spans="1:41" x14ac:dyDescent="0.25">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row>
    <row r="640" ht="20.25" customHeight="1" spans="1:41" x14ac:dyDescent="0.25">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row>
    <row r="641" ht="20.25" customHeight="1" spans="1:41" x14ac:dyDescent="0.25">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row>
    <row r="642" ht="20.25" customHeight="1" spans="1:41" x14ac:dyDescent="0.25">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row>
    <row r="643" ht="20.25" customHeight="1" spans="1:41" x14ac:dyDescent="0.25">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row>
    <row r="644" ht="20.25" customHeight="1" spans="1:41" x14ac:dyDescent="0.25">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row>
    <row r="645" ht="20.25" customHeight="1" spans="1:41" x14ac:dyDescent="0.2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row>
    <row r="646" ht="20.25" customHeight="1" spans="1:41" x14ac:dyDescent="0.25">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row>
    <row r="647" ht="20.25" customHeight="1" spans="1:41" x14ac:dyDescent="0.25">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row>
    <row r="648" ht="20.25" customHeight="1" spans="1:41" x14ac:dyDescent="0.25">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row>
    <row r="649" ht="20.25" customHeight="1" spans="1:41" x14ac:dyDescent="0.25">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row>
    <row r="650" ht="20.25" customHeight="1" spans="1:41" x14ac:dyDescent="0.25">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row>
    <row r="651" ht="20.25" customHeight="1" spans="1:41" x14ac:dyDescent="0.25">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row>
    <row r="652" ht="20.25" customHeight="1" spans="1:41" x14ac:dyDescent="0.25">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row>
    <row r="653" ht="20.25" customHeight="1" spans="1:41" x14ac:dyDescent="0.25">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row>
    <row r="654" ht="20.25" customHeight="1" spans="1:41" x14ac:dyDescent="0.25">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row>
    <row r="655" ht="20.25" customHeight="1" spans="1:41" x14ac:dyDescent="0.2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row>
    <row r="656" ht="20.25" customHeight="1" spans="1:41" x14ac:dyDescent="0.25">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row>
    <row r="657" ht="20.25" customHeight="1" spans="1:41" x14ac:dyDescent="0.25">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row>
    <row r="658" ht="20.25" customHeight="1" spans="1:41" x14ac:dyDescent="0.25">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row>
    <row r="659" ht="20.25" customHeight="1" spans="1:41" x14ac:dyDescent="0.25">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row>
    <row r="660" ht="20.25" customHeight="1" spans="1:41" x14ac:dyDescent="0.25">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row>
    <row r="661" ht="20.25" customHeight="1" spans="1:41" x14ac:dyDescent="0.25">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row>
    <row r="662" ht="20.25" customHeight="1" spans="1:41" x14ac:dyDescent="0.25">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row>
    <row r="663" ht="20.25" customHeight="1" spans="1:41" x14ac:dyDescent="0.25">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row>
    <row r="664" ht="20.25" customHeight="1" spans="1:41" x14ac:dyDescent="0.25">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row>
    <row r="665" ht="20.25" customHeight="1" spans="1:41" x14ac:dyDescent="0.2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row>
    <row r="666" ht="20.25" customHeight="1" spans="1:41" x14ac:dyDescent="0.25">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row>
    <row r="667" ht="20.25" customHeight="1" spans="1:41" x14ac:dyDescent="0.25">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row>
    <row r="668" ht="20.25" customHeight="1" spans="1:41" x14ac:dyDescent="0.25">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row>
    <row r="669" ht="20.25" customHeight="1" spans="1:41" x14ac:dyDescent="0.25">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row>
    <row r="670" ht="20.25" customHeight="1" spans="1:41" x14ac:dyDescent="0.25">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row>
    <row r="671" ht="20.25" customHeight="1" spans="1:41" x14ac:dyDescent="0.25">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row>
    <row r="672" ht="20.25" customHeight="1" spans="1:41" x14ac:dyDescent="0.25">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row>
    <row r="673" ht="20.25" customHeight="1" spans="1:41" x14ac:dyDescent="0.25">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row>
    <row r="674" ht="20.25" customHeight="1" spans="1:41" x14ac:dyDescent="0.25">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row>
    <row r="675" ht="20.25" customHeight="1" spans="1:41" x14ac:dyDescent="0.2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row>
    <row r="676" ht="20.25" customHeight="1" spans="1:41" x14ac:dyDescent="0.25">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row>
    <row r="677" ht="20.25" customHeight="1" spans="1:41" x14ac:dyDescent="0.25">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row>
    <row r="678" ht="20.25" customHeight="1" spans="1:41" x14ac:dyDescent="0.25">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row>
    <row r="679" ht="20.25" customHeight="1" spans="1:41" x14ac:dyDescent="0.25">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row>
    <row r="680" ht="20.25" customHeight="1" spans="1:41" x14ac:dyDescent="0.25">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row>
    <row r="681" ht="20.25" customHeight="1" spans="1:41" x14ac:dyDescent="0.25">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row>
    <row r="682" ht="20.25" customHeight="1" spans="1:41" x14ac:dyDescent="0.25">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row>
    <row r="683" ht="20.25" customHeight="1" spans="1:41" x14ac:dyDescent="0.25">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row>
    <row r="684" ht="20.25" customHeight="1" spans="1:41" x14ac:dyDescent="0.25">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row>
    <row r="685" ht="20.25" customHeight="1" spans="1:41" x14ac:dyDescent="0.2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row>
    <row r="686" ht="20.25" customHeight="1" spans="1:41" x14ac:dyDescent="0.25">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row>
    <row r="687" ht="20.25" customHeight="1" spans="1:41" x14ac:dyDescent="0.25">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row>
    <row r="688" ht="20.25" customHeight="1" spans="1:41" x14ac:dyDescent="0.25">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row>
    <row r="689" ht="20.25" customHeight="1" spans="1:41" x14ac:dyDescent="0.25">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row>
    <row r="690" ht="20.25" customHeight="1" spans="1:41" x14ac:dyDescent="0.25">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row>
    <row r="691" ht="20.25" customHeight="1" spans="1:41" x14ac:dyDescent="0.25">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row>
    <row r="692" ht="20.25" customHeight="1" spans="1:41" x14ac:dyDescent="0.25">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row>
    <row r="693" ht="20.25" customHeight="1" spans="1:41" x14ac:dyDescent="0.25">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row>
    <row r="694" ht="20.25" customHeight="1" spans="1:41" x14ac:dyDescent="0.25">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row>
    <row r="695" ht="20.25" customHeight="1" spans="1:41" x14ac:dyDescent="0.2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row>
    <row r="696" ht="20.25" customHeight="1" spans="1:41" x14ac:dyDescent="0.25">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row>
    <row r="697" ht="20.25" customHeight="1" spans="1:41" x14ac:dyDescent="0.25">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row>
    <row r="698" ht="20.25" customHeight="1" spans="1:41" x14ac:dyDescent="0.25">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row>
    <row r="699" ht="20.25" customHeight="1" spans="1:41" x14ac:dyDescent="0.25">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row>
    <row r="700" ht="20.25" customHeight="1" spans="1:41" x14ac:dyDescent="0.25">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row>
    <row r="701" ht="20.25" customHeight="1" spans="1:41" x14ac:dyDescent="0.25">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row>
    <row r="702" ht="20.25" customHeight="1" spans="1:41" x14ac:dyDescent="0.25">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row>
    <row r="703" ht="20.25" customHeight="1" spans="1:41" x14ac:dyDescent="0.25">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row>
    <row r="704" ht="20.25" customHeight="1" spans="1:41" x14ac:dyDescent="0.25">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row>
    <row r="705" ht="20.25" customHeight="1" spans="1:41" x14ac:dyDescent="0.2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row>
    <row r="706" ht="20.25" customHeight="1" spans="1:41" x14ac:dyDescent="0.25">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row>
    <row r="707" ht="20.25" customHeight="1" spans="1:41" x14ac:dyDescent="0.25">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row>
    <row r="708" ht="20.25" customHeight="1" spans="1:41" x14ac:dyDescent="0.25">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row>
    <row r="709" ht="20.25" customHeight="1" spans="1:41" x14ac:dyDescent="0.25">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row>
    <row r="710" ht="20.25" customHeight="1" spans="1:41" x14ac:dyDescent="0.25">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row>
    <row r="711" ht="20.25" customHeight="1" spans="1:41" x14ac:dyDescent="0.25">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row>
    <row r="712" ht="20.25" customHeight="1" spans="1:41" x14ac:dyDescent="0.25">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row>
    <row r="713" ht="20.25" customHeight="1" spans="1:41" x14ac:dyDescent="0.25">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row>
    <row r="714" ht="20.25" customHeight="1" spans="1:41" x14ac:dyDescent="0.25">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row>
    <row r="715" ht="20.25" customHeight="1" spans="1:41" x14ac:dyDescent="0.2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row>
    <row r="716" ht="20.25" customHeight="1" spans="1:41" x14ac:dyDescent="0.25">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row>
    <row r="717" ht="20.25" customHeight="1" spans="1:41" x14ac:dyDescent="0.25">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row>
    <row r="718" ht="20.25" customHeight="1" spans="1:41" x14ac:dyDescent="0.25">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row>
    <row r="719" ht="20.25" customHeight="1" spans="1:41" x14ac:dyDescent="0.25">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row>
    <row r="720" ht="20.25" customHeight="1" spans="1:41" x14ac:dyDescent="0.25">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row>
    <row r="721" ht="20.25" customHeight="1" spans="1:41" x14ac:dyDescent="0.25">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row>
    <row r="722" ht="20.25" customHeight="1" spans="1:41" x14ac:dyDescent="0.25">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row>
    <row r="723" ht="20.25" customHeight="1" spans="1:41" x14ac:dyDescent="0.25">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row>
    <row r="724" ht="20.25" customHeight="1" spans="1:41" x14ac:dyDescent="0.25">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row>
    <row r="725" ht="20.25" customHeight="1" spans="1:41" x14ac:dyDescent="0.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row>
    <row r="726" ht="20.25" customHeight="1" spans="1:41" x14ac:dyDescent="0.25">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row>
    <row r="727" ht="20.25" customHeight="1" spans="1:41" x14ac:dyDescent="0.25">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row>
    <row r="728" ht="20.25" customHeight="1" spans="1:41" x14ac:dyDescent="0.25">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row>
    <row r="729" ht="20.25" customHeight="1" spans="1:41" x14ac:dyDescent="0.25">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row>
    <row r="730" ht="20.25" customHeight="1" spans="1:41" x14ac:dyDescent="0.25">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row>
    <row r="731" ht="20.25" customHeight="1" spans="1:41" x14ac:dyDescent="0.25">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row>
    <row r="732" ht="20.25" customHeight="1" spans="1:41" x14ac:dyDescent="0.25">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row>
    <row r="733" ht="20.25" customHeight="1" spans="1:41" x14ac:dyDescent="0.25">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row>
    <row r="734" ht="20.25" customHeight="1" spans="1:41" x14ac:dyDescent="0.25">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row>
    <row r="735" ht="20.25" customHeight="1" spans="1:41" x14ac:dyDescent="0.2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row>
    <row r="736" ht="20.25" customHeight="1" spans="1:41" x14ac:dyDescent="0.25">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row>
    <row r="737" ht="20.25" customHeight="1" spans="1:41" x14ac:dyDescent="0.25">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row>
    <row r="738" ht="20.25" customHeight="1" spans="1:41" x14ac:dyDescent="0.25">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row>
    <row r="739" ht="20.25" customHeight="1" spans="1:41" x14ac:dyDescent="0.25">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row>
    <row r="740" ht="20.25" customHeight="1" spans="1:41" x14ac:dyDescent="0.25">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row>
    <row r="741" ht="20.25" customHeight="1" spans="1:41" x14ac:dyDescent="0.25">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row>
    <row r="742" ht="20.25" customHeight="1" spans="1:41" x14ac:dyDescent="0.25">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row>
    <row r="743" ht="20.25" customHeight="1" spans="1:41" x14ac:dyDescent="0.25">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row>
    <row r="744" ht="20.25" customHeight="1" spans="1:41" x14ac:dyDescent="0.25">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row>
    <row r="745" ht="20.25" customHeight="1" spans="1:41" x14ac:dyDescent="0.2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row>
    <row r="746" ht="20.25" customHeight="1" spans="1:41" x14ac:dyDescent="0.25">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row>
    <row r="747" ht="20.25" customHeight="1" spans="1:41" x14ac:dyDescent="0.25">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row>
    <row r="748" ht="20.25" customHeight="1" spans="1:41" x14ac:dyDescent="0.25">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row>
    <row r="749" ht="20.25" customHeight="1" spans="1:41" x14ac:dyDescent="0.25">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row>
    <row r="750" ht="20.25" customHeight="1" spans="1:41" x14ac:dyDescent="0.25">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row>
    <row r="751" ht="20.25" customHeight="1" spans="1:41" x14ac:dyDescent="0.25">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row>
    <row r="752" ht="20.25" customHeight="1" spans="1:41" x14ac:dyDescent="0.25">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row>
    <row r="753" ht="20.25" customHeight="1" spans="1:41" x14ac:dyDescent="0.25">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row>
    <row r="754" ht="20.25" customHeight="1" spans="1:41" x14ac:dyDescent="0.25">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row>
    <row r="755" ht="20.25" customHeight="1" spans="1:41" x14ac:dyDescent="0.2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row>
    <row r="756" ht="20.25" customHeight="1" spans="1:41" x14ac:dyDescent="0.25">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row>
    <row r="757" ht="20.25" customHeight="1" spans="1:41" x14ac:dyDescent="0.25">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row>
    <row r="758" ht="20.25" customHeight="1" spans="1:41" x14ac:dyDescent="0.25">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row>
    <row r="759" ht="20.25" customHeight="1" spans="1:41" x14ac:dyDescent="0.25">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row>
    <row r="760" ht="20.25" customHeight="1" spans="1:41" x14ac:dyDescent="0.25">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row>
    <row r="761" ht="20.25" customHeight="1" spans="1:41" x14ac:dyDescent="0.25">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row>
    <row r="762" ht="20.25" customHeight="1" spans="1:41" x14ac:dyDescent="0.25">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row>
    <row r="763" ht="20.25" customHeight="1" spans="1:41" x14ac:dyDescent="0.25">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row>
    <row r="764" ht="20.25" customHeight="1" spans="1:41" x14ac:dyDescent="0.25">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row>
    <row r="765" ht="20.25" customHeight="1" spans="1:41" x14ac:dyDescent="0.2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row>
    <row r="766" ht="20.25" customHeight="1" spans="1:41" x14ac:dyDescent="0.25">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row>
    <row r="767" ht="20.25" customHeight="1" spans="1:41" x14ac:dyDescent="0.25">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row>
    <row r="768" ht="20.25" customHeight="1" spans="1:41" x14ac:dyDescent="0.25">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row>
    <row r="769" ht="20.25" customHeight="1" spans="1:41" x14ac:dyDescent="0.25">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row>
    <row r="770" ht="20.25" customHeight="1" spans="1:41" x14ac:dyDescent="0.25">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row>
    <row r="771" ht="20.25" customHeight="1" spans="1:41" x14ac:dyDescent="0.25">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row>
    <row r="772" ht="20.25" customHeight="1" spans="1:41" x14ac:dyDescent="0.25">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row>
    <row r="773" ht="20.25" customHeight="1" spans="1:41" x14ac:dyDescent="0.25">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row>
    <row r="774" ht="20.25" customHeight="1" spans="1:41" x14ac:dyDescent="0.25">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row>
    <row r="775" ht="20.25" customHeight="1" spans="1:41" x14ac:dyDescent="0.2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row>
    <row r="776" ht="20.25" customHeight="1" spans="1:41" x14ac:dyDescent="0.25">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row>
    <row r="777" ht="20.25" customHeight="1" spans="1:41" x14ac:dyDescent="0.25">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row>
    <row r="778" ht="20.25" customHeight="1" spans="1:41" x14ac:dyDescent="0.25">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row>
    <row r="779" ht="20.25" customHeight="1" spans="1:41" x14ac:dyDescent="0.25">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row>
    <row r="780" ht="20.25" customHeight="1" spans="1:41" x14ac:dyDescent="0.25">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row>
    <row r="781" ht="20.25" customHeight="1" spans="1:41" x14ac:dyDescent="0.25">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row>
    <row r="782" ht="20.25" customHeight="1" spans="1:41" x14ac:dyDescent="0.25">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row>
    <row r="783" ht="20.25" customHeight="1" spans="1:41" x14ac:dyDescent="0.25">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row>
    <row r="784" ht="20.25" customHeight="1" spans="1:41" x14ac:dyDescent="0.25">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row>
    <row r="785" ht="20.25" customHeight="1" spans="1:41" x14ac:dyDescent="0.2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row>
    <row r="786" ht="20.25" customHeight="1" spans="1:41" x14ac:dyDescent="0.25">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row>
    <row r="787" ht="20.25" customHeight="1" spans="1:41" x14ac:dyDescent="0.25">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row>
    <row r="788" ht="20.25" customHeight="1" spans="1:41" x14ac:dyDescent="0.25">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row>
    <row r="789" ht="20.25" customHeight="1" spans="1:41" x14ac:dyDescent="0.25">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row>
    <row r="790" ht="20.25" customHeight="1" spans="1:41" x14ac:dyDescent="0.25">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row>
    <row r="791" ht="20.25" customHeight="1" spans="1:41" x14ac:dyDescent="0.25">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row>
    <row r="792" ht="20.25" customHeight="1" spans="1:41" x14ac:dyDescent="0.25">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row>
    <row r="793" ht="20.25" customHeight="1" spans="1:41" x14ac:dyDescent="0.25">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row>
    <row r="794" ht="20.25" customHeight="1" spans="1:41" x14ac:dyDescent="0.25">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row>
    <row r="795" ht="20.25" customHeight="1" spans="1:41" x14ac:dyDescent="0.2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row>
    <row r="796" ht="20.25" customHeight="1" spans="1:41" x14ac:dyDescent="0.25">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row>
    <row r="797" ht="20.25" customHeight="1" spans="1:41" x14ac:dyDescent="0.25">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row>
    <row r="798" ht="20.25" customHeight="1" spans="1:41" x14ac:dyDescent="0.25">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row>
    <row r="799" ht="20.25" customHeight="1" spans="1:41" x14ac:dyDescent="0.25">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row>
    <row r="800" ht="20.25" customHeight="1" spans="1:41" x14ac:dyDescent="0.25">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row>
    <row r="801" ht="20.25" customHeight="1" spans="1:41" x14ac:dyDescent="0.25">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row>
    <row r="802" ht="20.25" customHeight="1" spans="1:41" x14ac:dyDescent="0.25">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row>
    <row r="803" ht="20.25" customHeight="1" spans="1:41" x14ac:dyDescent="0.25">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row>
    <row r="804" ht="20.25" customHeight="1" spans="1:41" x14ac:dyDescent="0.25">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row>
    <row r="805" ht="20.25" customHeight="1" spans="1:41" x14ac:dyDescent="0.2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row>
    <row r="806" ht="20.25" customHeight="1" spans="1:41" x14ac:dyDescent="0.25">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row>
    <row r="807" ht="20.25" customHeight="1" spans="1:41" x14ac:dyDescent="0.25">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row>
    <row r="808" ht="20.25" customHeight="1" spans="1:41" x14ac:dyDescent="0.25">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row>
    <row r="809" ht="20.25" customHeight="1" spans="1:41" x14ac:dyDescent="0.25">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row>
    <row r="810" ht="20.25" customHeight="1" spans="1:41" x14ac:dyDescent="0.25">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row>
    <row r="811" ht="20.25" customHeight="1" spans="1:41" x14ac:dyDescent="0.25">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row>
    <row r="812" ht="20.25" customHeight="1" spans="1:41" x14ac:dyDescent="0.25">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row>
    <row r="813" ht="20.25" customHeight="1" spans="1:41" x14ac:dyDescent="0.25">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row>
    <row r="814" ht="20.25" customHeight="1" spans="1:41" x14ac:dyDescent="0.25">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row>
    <row r="815" ht="20.25" customHeight="1" spans="1:41" x14ac:dyDescent="0.2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row>
    <row r="816" ht="20.25" customHeight="1" spans="1:41" x14ac:dyDescent="0.25">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row>
    <row r="817" ht="20.25" customHeight="1" spans="1:41" x14ac:dyDescent="0.25">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row>
    <row r="818" ht="20.25" customHeight="1" spans="1:41" x14ac:dyDescent="0.25">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row>
    <row r="819" ht="20.25" customHeight="1" spans="1:41" x14ac:dyDescent="0.25">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row>
    <row r="820" ht="20.25" customHeight="1" spans="1:41" x14ac:dyDescent="0.25">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row>
    <row r="821" ht="20.25" customHeight="1" spans="1:41" x14ac:dyDescent="0.25">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row>
    <row r="822" ht="20.25" customHeight="1" spans="1:41" x14ac:dyDescent="0.25">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row>
    <row r="823" ht="20.25" customHeight="1" spans="1:41" x14ac:dyDescent="0.25">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row>
    <row r="824" ht="20.25" customHeight="1" spans="1:41" x14ac:dyDescent="0.25">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row>
    <row r="825" ht="20.25" customHeight="1" spans="1:41" x14ac:dyDescent="0.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row>
    <row r="826" ht="20.25" customHeight="1" spans="1:41" x14ac:dyDescent="0.25">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row>
    <row r="827" ht="20.25" customHeight="1" spans="1:41" x14ac:dyDescent="0.25">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row>
    <row r="828" ht="20.25" customHeight="1" spans="1:41" x14ac:dyDescent="0.25">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row>
    <row r="829" ht="20.25" customHeight="1" spans="1:41" x14ac:dyDescent="0.25">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row>
    <row r="830" ht="20.25" customHeight="1" spans="1:41" x14ac:dyDescent="0.25">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row>
    <row r="831" ht="20.25" customHeight="1" spans="1:41" x14ac:dyDescent="0.25">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row>
    <row r="832" ht="20.25" customHeight="1" spans="1:41" x14ac:dyDescent="0.25">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row>
    <row r="833" ht="20.25" customHeight="1" spans="1:41" x14ac:dyDescent="0.25">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row>
    <row r="834" ht="20.25" customHeight="1" spans="1:41" x14ac:dyDescent="0.25">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row>
    <row r="835" ht="20.25" customHeight="1" spans="1:41" x14ac:dyDescent="0.2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row>
    <row r="836" ht="20.25" customHeight="1" spans="1:41" x14ac:dyDescent="0.25">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row>
    <row r="837" ht="20.25" customHeight="1" spans="1:41" x14ac:dyDescent="0.25">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row>
    <row r="838" ht="20.25" customHeight="1" spans="1:41" x14ac:dyDescent="0.25">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row>
    <row r="839" ht="20.25" customHeight="1" spans="1:41" x14ac:dyDescent="0.25">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row>
    <row r="840" ht="20.25" customHeight="1" spans="1:41" x14ac:dyDescent="0.25">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row>
    <row r="841" ht="20.25" customHeight="1" spans="1:41" x14ac:dyDescent="0.25">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row>
    <row r="842" ht="20.25" customHeight="1" spans="1:41" x14ac:dyDescent="0.25">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row>
    <row r="843" ht="20.25" customHeight="1" spans="1:41" x14ac:dyDescent="0.25">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row>
    <row r="844" ht="20.25" customHeight="1" spans="1:41" x14ac:dyDescent="0.25">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row>
    <row r="845" ht="20.25" customHeight="1" spans="1:41" x14ac:dyDescent="0.2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row>
    <row r="846" ht="20.25" customHeight="1" spans="1:41" x14ac:dyDescent="0.25">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row>
    <row r="847" ht="20.25" customHeight="1" spans="1:41" x14ac:dyDescent="0.25">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row>
    <row r="848" ht="20.25" customHeight="1" spans="1:41" x14ac:dyDescent="0.25">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row>
    <row r="849" ht="20.25" customHeight="1" spans="1:41" x14ac:dyDescent="0.25">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row>
    <row r="850" ht="20.25" customHeight="1" spans="1:41" x14ac:dyDescent="0.25">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row>
    <row r="851" ht="20.25" customHeight="1" spans="1:41" x14ac:dyDescent="0.25">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row>
    <row r="852" ht="20.25" customHeight="1" spans="1:41" x14ac:dyDescent="0.25">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row>
    <row r="853" ht="20.25" customHeight="1" spans="1:41" x14ac:dyDescent="0.25">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row>
    <row r="854" ht="20.25" customHeight="1" spans="1:41" x14ac:dyDescent="0.25">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row>
    <row r="855" ht="20.25" customHeight="1" spans="1:41" x14ac:dyDescent="0.2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row>
    <row r="856" ht="20.25" customHeight="1" spans="1:41" x14ac:dyDescent="0.25">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row>
    <row r="857" ht="20.25" customHeight="1" spans="1:41" x14ac:dyDescent="0.25">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row>
    <row r="858" ht="20.25" customHeight="1" spans="1:41" x14ac:dyDescent="0.25">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row>
    <row r="859" ht="20.25" customHeight="1" spans="1:41" x14ac:dyDescent="0.25">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row>
    <row r="860" ht="20.25" customHeight="1" spans="1:41" x14ac:dyDescent="0.25">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row>
    <row r="861" ht="20.25" customHeight="1" spans="1:41" x14ac:dyDescent="0.25">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row>
    <row r="862" ht="20.25" customHeight="1" spans="1:41" x14ac:dyDescent="0.25">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row>
    <row r="863" ht="20.25" customHeight="1" spans="1:41" x14ac:dyDescent="0.25">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row>
    <row r="864" ht="20.25" customHeight="1" spans="1:41" x14ac:dyDescent="0.25">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row>
    <row r="865" ht="20.25" customHeight="1" spans="1:41" x14ac:dyDescent="0.2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row>
    <row r="866" ht="20.25" customHeight="1" spans="1:41" x14ac:dyDescent="0.25">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row>
    <row r="867" ht="20.25" customHeight="1" spans="1:41" x14ac:dyDescent="0.25">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row>
    <row r="868" ht="20.25" customHeight="1" spans="1:41" x14ac:dyDescent="0.25">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row>
    <row r="869" ht="20.25" customHeight="1" spans="1:41" x14ac:dyDescent="0.25">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row>
    <row r="870" ht="20.25" customHeight="1" spans="1:41" x14ac:dyDescent="0.25">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row>
    <row r="871" ht="20.25" customHeight="1" spans="1:41" x14ac:dyDescent="0.25">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row>
    <row r="872" ht="20.25" customHeight="1" spans="1:41" x14ac:dyDescent="0.25">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row>
    <row r="873" ht="20.25" customHeight="1" spans="1:41" x14ac:dyDescent="0.25">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row>
    <row r="874" ht="20.25" customHeight="1" spans="1:41" x14ac:dyDescent="0.25">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row>
    <row r="875" ht="20.25" customHeight="1" spans="1:41" x14ac:dyDescent="0.2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row>
    <row r="876" ht="20.25" customHeight="1" spans="1:41" x14ac:dyDescent="0.25">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row>
    <row r="877" ht="20.25" customHeight="1" spans="1:41" x14ac:dyDescent="0.25">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row>
    <row r="878" ht="20.25" customHeight="1" spans="1:41" x14ac:dyDescent="0.25">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row>
    <row r="879" ht="20.25" customHeight="1" spans="1:41" x14ac:dyDescent="0.25">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row>
    <row r="880" ht="20.25" customHeight="1" spans="1:41" x14ac:dyDescent="0.25">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row>
    <row r="881" ht="20.25" customHeight="1" spans="1:41" x14ac:dyDescent="0.25">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row>
    <row r="882" ht="20.25" customHeight="1" spans="1:41" x14ac:dyDescent="0.25">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row>
    <row r="883" ht="20.25" customHeight="1" spans="1:41" x14ac:dyDescent="0.25">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row>
    <row r="884" ht="20.25" customHeight="1" spans="1:41" x14ac:dyDescent="0.25">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row>
    <row r="885" ht="20.25" customHeight="1" spans="1:41" x14ac:dyDescent="0.2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row>
    <row r="886" ht="20.25" customHeight="1" spans="1:41" x14ac:dyDescent="0.25">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row>
    <row r="887" ht="20.25" customHeight="1" spans="1:41" x14ac:dyDescent="0.25">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row>
    <row r="888" ht="20.25" customHeight="1" spans="1:41" x14ac:dyDescent="0.25">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row>
    <row r="889" ht="20.25" customHeight="1" spans="1:41" x14ac:dyDescent="0.25">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row>
    <row r="890" ht="20.25" customHeight="1" spans="1:41" x14ac:dyDescent="0.25">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row>
    <row r="891" ht="20.25" customHeight="1" spans="1:41" x14ac:dyDescent="0.25">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row>
    <row r="892" ht="20.25" customHeight="1" spans="1:41" x14ac:dyDescent="0.25">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row>
    <row r="893" ht="20.25" customHeight="1" spans="1:41" x14ac:dyDescent="0.25">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row>
    <row r="894" ht="20.25" customHeight="1" spans="1:41" x14ac:dyDescent="0.25">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row>
    <row r="895" ht="20.25" customHeight="1" spans="1:41" x14ac:dyDescent="0.2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row>
    <row r="896" ht="20.25" customHeight="1" spans="1:41" x14ac:dyDescent="0.25">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row>
    <row r="897" ht="20.25" customHeight="1" spans="1:41" x14ac:dyDescent="0.25">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row>
    <row r="898" ht="20.25" customHeight="1" spans="1:41" x14ac:dyDescent="0.25">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row>
    <row r="899" ht="20.25" customHeight="1" spans="1:41" x14ac:dyDescent="0.25">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row>
    <row r="900" ht="20.25" customHeight="1" spans="1:41" x14ac:dyDescent="0.25">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row>
    <row r="901" ht="20.25" customHeight="1" spans="1:41" x14ac:dyDescent="0.25">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row>
    <row r="902" ht="20.25" customHeight="1" spans="1:41" x14ac:dyDescent="0.25">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row>
    <row r="903" ht="20.25" customHeight="1" spans="1:41" x14ac:dyDescent="0.25">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row>
    <row r="904" ht="20.25" customHeight="1" spans="1:41" x14ac:dyDescent="0.25">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row>
    <row r="905" ht="20.25" customHeight="1" spans="1:41" x14ac:dyDescent="0.2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row>
    <row r="906" ht="20.25" customHeight="1" spans="1:41" x14ac:dyDescent="0.25">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row>
    <row r="907" ht="20.25" customHeight="1" spans="1:41" x14ac:dyDescent="0.25">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row>
    <row r="908" ht="20.25" customHeight="1" spans="1:41" x14ac:dyDescent="0.25">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row>
    <row r="909" ht="20.25" customHeight="1" spans="1:41" x14ac:dyDescent="0.25">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row>
    <row r="910" ht="20.25" customHeight="1" spans="1:41" x14ac:dyDescent="0.25">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row>
    <row r="911" ht="20.25" customHeight="1" spans="1:41" x14ac:dyDescent="0.25">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row>
    <row r="912" ht="20.25" customHeight="1" spans="1:41" x14ac:dyDescent="0.25">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row>
    <row r="913" ht="20.25" customHeight="1" spans="1:41" x14ac:dyDescent="0.25">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row>
    <row r="914" ht="20.25" customHeight="1" spans="1:41" x14ac:dyDescent="0.25">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row>
    <row r="915" ht="20.25" customHeight="1" spans="1:41" x14ac:dyDescent="0.2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row>
    <row r="916" ht="20.25" customHeight="1" spans="1:41" x14ac:dyDescent="0.25">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row>
    <row r="917" ht="20.25" customHeight="1" spans="1:41" x14ac:dyDescent="0.25">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row>
    <row r="918" ht="20.25" customHeight="1" spans="1:41" x14ac:dyDescent="0.25">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row>
    <row r="919" ht="20.25" customHeight="1" spans="1:41" x14ac:dyDescent="0.25">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row>
    <row r="920" ht="20.25" customHeight="1" spans="1:41" x14ac:dyDescent="0.25">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row>
    <row r="921" ht="20.25" customHeight="1" spans="1:41" x14ac:dyDescent="0.25">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row>
    <row r="922" ht="20.25" customHeight="1" spans="1:41" x14ac:dyDescent="0.25">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row>
    <row r="923" ht="20.25" customHeight="1" spans="1:41" x14ac:dyDescent="0.25">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row>
    <row r="924" ht="20.25" customHeight="1" spans="1:41" x14ac:dyDescent="0.25">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row>
    <row r="925" ht="20.25" customHeight="1" spans="1:41" x14ac:dyDescent="0.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row>
    <row r="926" ht="20.25" customHeight="1" spans="1:41" x14ac:dyDescent="0.25">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row>
    <row r="927" ht="20.25" customHeight="1" spans="1:41" x14ac:dyDescent="0.25">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row>
    <row r="928" ht="20.25" customHeight="1" spans="1:41" x14ac:dyDescent="0.25">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row>
    <row r="929" ht="20.25" customHeight="1" spans="1:41" x14ac:dyDescent="0.25">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row>
    <row r="930" ht="20.25" customHeight="1" spans="1:41" x14ac:dyDescent="0.25">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row>
    <row r="931" ht="20.25" customHeight="1" spans="1:41" x14ac:dyDescent="0.25">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row>
    <row r="932" ht="20.25" customHeight="1" spans="1:41" x14ac:dyDescent="0.25">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row>
    <row r="933" ht="20.25" customHeight="1" spans="1:41" x14ac:dyDescent="0.25">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row>
    <row r="934" ht="20.25" customHeight="1" spans="1:41" x14ac:dyDescent="0.25">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row>
    <row r="935" ht="20.25" customHeight="1" spans="1:41" x14ac:dyDescent="0.2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row>
    <row r="936" ht="20.25" customHeight="1" spans="1:41" x14ac:dyDescent="0.25">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row>
    <row r="937" ht="20.25" customHeight="1" spans="1:41" x14ac:dyDescent="0.25">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row>
    <row r="938" ht="20.25" customHeight="1" spans="1:41" x14ac:dyDescent="0.25">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row>
    <row r="939" ht="20.25" customHeight="1" spans="1:41" x14ac:dyDescent="0.25">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row>
    <row r="940" ht="20.25" customHeight="1" spans="1:41" x14ac:dyDescent="0.25">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row>
    <row r="941" ht="20.25" customHeight="1" spans="1:41" x14ac:dyDescent="0.25">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row>
    <row r="942" ht="20.25" customHeight="1" spans="1:41" x14ac:dyDescent="0.25">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row>
    <row r="943" ht="20.25" customHeight="1" spans="1:41" x14ac:dyDescent="0.25">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row>
    <row r="944" ht="20.25" customHeight="1" spans="1:41" x14ac:dyDescent="0.25">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row>
    <row r="945" ht="20.25" customHeight="1" spans="1:41" x14ac:dyDescent="0.2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row>
    <row r="946" ht="20.25" customHeight="1" spans="1:41" x14ac:dyDescent="0.25">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row>
    <row r="947" ht="20.25" customHeight="1" spans="1:41" x14ac:dyDescent="0.25">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row>
    <row r="948" ht="20.25" customHeight="1" spans="1:41" x14ac:dyDescent="0.25">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row>
    <row r="949" ht="20.25" customHeight="1" spans="1:41" x14ac:dyDescent="0.25">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row>
    <row r="950" ht="20.25" customHeight="1" spans="1:41" x14ac:dyDescent="0.25">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row>
    <row r="951" ht="20.25" customHeight="1" spans="1:41" x14ac:dyDescent="0.25">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row>
    <row r="952" ht="20.25" customHeight="1" spans="1:41" x14ac:dyDescent="0.25">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row>
    <row r="953" ht="20.25" customHeight="1" spans="1:41" x14ac:dyDescent="0.25">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row>
    <row r="954" ht="20.25" customHeight="1" spans="1:41" x14ac:dyDescent="0.25">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row>
    <row r="955" ht="20.25" customHeight="1" spans="1:41" x14ac:dyDescent="0.2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row>
    <row r="956" ht="20.25" customHeight="1" spans="1:41" x14ac:dyDescent="0.25">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row>
    <row r="957" ht="20.25" customHeight="1" spans="1:41" x14ac:dyDescent="0.25">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row>
    <row r="958" ht="20.25" customHeight="1" spans="1:41" x14ac:dyDescent="0.25">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row>
    <row r="959" ht="20.25" customHeight="1" spans="1:41" x14ac:dyDescent="0.25">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row>
    <row r="960" ht="20.25" customHeight="1" spans="1:41" x14ac:dyDescent="0.25">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row>
    <row r="961" ht="20.25" customHeight="1" spans="1:41" x14ac:dyDescent="0.25">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row>
    <row r="962" ht="20.25" customHeight="1" spans="1:41" x14ac:dyDescent="0.25">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row>
    <row r="963" ht="20.25" customHeight="1" spans="1:41" x14ac:dyDescent="0.25">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row>
    <row r="964" ht="20.25" customHeight="1" spans="1:41" x14ac:dyDescent="0.25">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row>
    <row r="965" ht="20.25" customHeight="1" spans="1:41" x14ac:dyDescent="0.2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row>
    <row r="966" ht="20.25" customHeight="1" spans="1:41" x14ac:dyDescent="0.25">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row>
    <row r="967" ht="20.25" customHeight="1" spans="1:41" x14ac:dyDescent="0.25">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row>
    <row r="968" ht="20.25" customHeight="1" spans="1:41" x14ac:dyDescent="0.25">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row>
    <row r="969" ht="20.25" customHeight="1" spans="1:41" x14ac:dyDescent="0.25">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row>
    <row r="970" ht="20.25" customHeight="1" spans="1:41" x14ac:dyDescent="0.25">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row>
    <row r="971" ht="20.25" customHeight="1" spans="1:41" x14ac:dyDescent="0.25">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row>
    <row r="972" ht="20.25" customHeight="1" spans="1:41" x14ac:dyDescent="0.25">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row>
    <row r="973" ht="20.25" customHeight="1" spans="1:41" x14ac:dyDescent="0.25">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row>
    <row r="974" ht="20.25" customHeight="1" spans="1:41" x14ac:dyDescent="0.25">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row>
    <row r="975" ht="20.25" customHeight="1" spans="1:41" x14ac:dyDescent="0.2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row>
    <row r="976" ht="20.25" customHeight="1" spans="1:41" x14ac:dyDescent="0.25">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row>
    <row r="977" ht="20.25" customHeight="1" spans="1:41" x14ac:dyDescent="0.25">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row>
    <row r="978" ht="20.25" customHeight="1" spans="1:41" x14ac:dyDescent="0.25">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row>
    <row r="979" ht="20.25" customHeight="1" spans="1:41" x14ac:dyDescent="0.25">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row>
    <row r="980" ht="20.25" customHeight="1" spans="1:41" x14ac:dyDescent="0.25">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row>
    <row r="981" ht="20.25" customHeight="1" spans="1:41" x14ac:dyDescent="0.25">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row>
    <row r="982" ht="20.25" customHeight="1" spans="1:41" x14ac:dyDescent="0.25">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row>
    <row r="983" ht="20.25" customHeight="1" spans="1:41" x14ac:dyDescent="0.25">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row>
    <row r="984" ht="20.25" customHeight="1" spans="1:41" x14ac:dyDescent="0.25">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row>
    <row r="985" ht="20.25" customHeight="1" spans="1:41" x14ac:dyDescent="0.2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row>
    <row r="986" ht="20.25" customHeight="1" spans="1:41" x14ac:dyDescent="0.25">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row>
    <row r="987" ht="20.25" customHeight="1" spans="1:41" x14ac:dyDescent="0.25">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row>
    <row r="988" ht="20.25" customHeight="1" spans="1:41" x14ac:dyDescent="0.25">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row>
    <row r="989" ht="20.25" customHeight="1" spans="1:41" x14ac:dyDescent="0.25">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row>
    <row r="990" ht="20.25" customHeight="1" spans="1:41" x14ac:dyDescent="0.25">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row>
    <row r="991" ht="20.25" customHeight="1" spans="1:41" x14ac:dyDescent="0.25">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row>
    <row r="992" ht="20.25" customHeight="1" spans="1:41" x14ac:dyDescent="0.25">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row>
    <row r="993" ht="20.25" customHeight="1" spans="1:41" x14ac:dyDescent="0.25">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row>
    <row r="994" ht="20.25" customHeight="1" spans="1:41" x14ac:dyDescent="0.25">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row>
    <row r="995" ht="20.25" customHeight="1" spans="1:41" x14ac:dyDescent="0.2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row>
    <row r="996" ht="20.25" customHeight="1" spans="1:41" x14ac:dyDescent="0.25">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row>
    <row r="997" ht="20.25" customHeight="1" spans="1:41" x14ac:dyDescent="0.25">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row>
    <row r="998" ht="20.25" customHeight="1" spans="1:41" x14ac:dyDescent="0.25">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row>
    <row r="999" ht="20.25" customHeight="1" spans="1:41" x14ac:dyDescent="0.25">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row>
    <row r="1000" ht="20.25" customHeight="1" spans="1:41" x14ac:dyDescent="0.25">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row>
    <row r="1001" ht="20.25" customHeight="1" spans="1:41" x14ac:dyDescent="0.25">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c r="AA1001" s="69"/>
      <c r="AB1001" s="69"/>
      <c r="AC1001" s="69"/>
      <c r="AD1001" s="69"/>
      <c r="AE1001" s="69"/>
      <c r="AF1001" s="69"/>
      <c r="AG1001" s="69"/>
      <c r="AH1001" s="69"/>
      <c r="AI1001" s="69"/>
      <c r="AJ1001" s="69"/>
      <c r="AK1001" s="69"/>
      <c r="AL1001" s="69"/>
      <c r="AM1001" s="69"/>
      <c r="AN1001" s="69"/>
      <c r="AO1001" s="69"/>
    </row>
    <row r="1002" ht="20.25" customHeight="1" spans="1:41" x14ac:dyDescent="0.25">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c r="AA1002" s="69"/>
      <c r="AB1002" s="69"/>
      <c r="AC1002" s="69"/>
      <c r="AD1002" s="69"/>
      <c r="AE1002" s="69"/>
      <c r="AF1002" s="69"/>
      <c r="AG1002" s="69"/>
      <c r="AH1002" s="69"/>
      <c r="AI1002" s="69"/>
      <c r="AJ1002" s="69"/>
      <c r="AK1002" s="69"/>
      <c r="AL1002" s="69"/>
      <c r="AM1002" s="69"/>
      <c r="AN1002" s="69"/>
      <c r="AO1002" s="69"/>
    </row>
    <row r="1003" ht="20.25" customHeight="1" spans="1:41" x14ac:dyDescent="0.25">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c r="AA1003" s="69"/>
      <c r="AB1003" s="69"/>
      <c r="AC1003" s="69"/>
      <c r="AD1003" s="69"/>
      <c r="AE1003" s="69"/>
      <c r="AF1003" s="69"/>
      <c r="AG1003" s="69"/>
      <c r="AH1003" s="69"/>
      <c r="AI1003" s="69"/>
      <c r="AJ1003" s="69"/>
      <c r="AK1003" s="69"/>
      <c r="AL1003" s="69"/>
      <c r="AM1003" s="69"/>
      <c r="AN1003" s="69"/>
      <c r="AO1003" s="69"/>
    </row>
  </sheetData>
  <mergeCells count="52">
    <mergeCell ref="A1:T1"/>
    <mergeCell ref="N2:O2"/>
    <mergeCell ref="A3:E3"/>
    <mergeCell ref="A4:E4"/>
    <mergeCell ref="V4:AG6"/>
    <mergeCell ref="V7:AO20"/>
    <mergeCell ref="D10:J10"/>
    <mergeCell ref="A12:F12"/>
    <mergeCell ref="A13:F13"/>
    <mergeCell ref="A14:F14"/>
    <mergeCell ref="A19:D19"/>
    <mergeCell ref="F19:S19"/>
    <mergeCell ref="A20:D20"/>
    <mergeCell ref="A21:D21"/>
    <mergeCell ref="A22:D22"/>
    <mergeCell ref="F22:I22"/>
    <mergeCell ref="M22:N22"/>
    <mergeCell ref="A45:F45"/>
    <mergeCell ref="A46:F46"/>
    <mergeCell ref="A47:F47"/>
    <mergeCell ref="A48:F48"/>
    <mergeCell ref="A50:F50"/>
    <mergeCell ref="A51:F51"/>
    <mergeCell ref="A52:F52"/>
    <mergeCell ref="A53:F53"/>
    <mergeCell ref="A102:B102"/>
    <mergeCell ref="D102:G102"/>
    <mergeCell ref="A103:B103"/>
    <mergeCell ref="D103:E103"/>
    <mergeCell ref="A109:B109"/>
    <mergeCell ref="E109:O109"/>
    <mergeCell ref="A110:B110"/>
    <mergeCell ref="E110:O110"/>
    <mergeCell ref="A111:B111"/>
    <mergeCell ref="E111:O111"/>
    <mergeCell ref="A112:B112"/>
    <mergeCell ref="E112:O112"/>
    <mergeCell ref="A116:U116"/>
    <mergeCell ref="O118:P118"/>
    <mergeCell ref="A120:E120"/>
    <mergeCell ref="V120:AG122"/>
    <mergeCell ref="A121:E121"/>
    <mergeCell ref="C127:U127"/>
    <mergeCell ref="A129:T132"/>
    <mergeCell ref="C137:G137"/>
    <mergeCell ref="F138:H138"/>
    <mergeCell ref="K138:L138"/>
    <mergeCell ref="A139:D139"/>
    <mergeCell ref="F139:J139"/>
    <mergeCell ref="P139:Q139"/>
    <mergeCell ref="A141:H141"/>
    <mergeCell ref="A143:T143"/>
  </mergeCells>
  <conditionalFormatting sqref="A4:F4">
    <cfRule type="expression" dxfId="0" priority="5">
      <formula>$A4:F4&lt;&gt;""</formula>
    </cfRule>
    <cfRule type="expression" dxfId="1" priority="6">
      <formula>OR($A4:F4&lt;&gt;"")</formula>
    </cfRule>
    <cfRule type="expression" dxfId="2" priority="7">
      <formula>OR($A4:$F4&lt;&gt;"")</formula>
    </cfRule>
    <cfRule type="expression" dxfId="3" priority="8">
      <formula>OR($A4:$F4&lt;&gt;"")</formula>
    </cfRule>
  </conditionalFormatting>
  <conditionalFormatting sqref="A121:F121">
    <cfRule type="expression" dxfId="4" priority="1">
      <formula>$A121:F121&lt;&gt;""</formula>
    </cfRule>
    <cfRule type="expression" dxfId="5" priority="2">
      <formula>OR($A121:F121&lt;&gt;"")</formula>
    </cfRule>
    <cfRule type="expression" dxfId="6" priority="3">
      <formula>OR($A121:$F121&lt;&gt;"")</formula>
    </cfRule>
    <cfRule type="expression" dxfId="7" priority="4">
      <formula>OR($A121:$F121&lt;&gt;"")</formula>
    </cfRule>
  </conditionalFormatting>
  <pageMargins left="0.7874015748031497" right="0.3937007874015748" top="0.7874015748031497" bottom="0.4724409448818898" header="0" footer="0"/>
  <pageSetup paperSize="9" orientation="portrait" horizontalDpi="4294967295" verticalDpi="4294967295" scale="92"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E1376"/>
  <sheetViews>
    <sheetView workbookViewId="0" zoomScale="100" zoomScaleNormal="100" view="pageBreakPreview">
      <selection activeCell="A562" sqref="A562"/>
    </sheetView>
  </sheetViews>
  <sheetFormatPr defaultRowHeight="15" outlineLevelRow="0" outlineLevelCol="0" x14ac:dyDescent="0" defaultColWidth="14.42578125"/>
  <cols>
    <col min="1" max="4" width="4.7109375" style="137" customWidth="1"/>
    <col min="5" max="5" width="3.7109375" style="137" customWidth="1"/>
    <col min="6" max="6" width="5.7109375" style="137" customWidth="1"/>
    <col min="7" max="13" width="4.7109375" style="137" customWidth="1"/>
    <col min="14" max="16" width="3.28515625" style="137" customWidth="1"/>
    <col min="17" max="17" width="3.42578125" style="137" customWidth="1"/>
    <col min="18" max="19" width="3.7109375" style="137" customWidth="1"/>
    <col min="20" max="20" width="3.28515625" style="137" customWidth="1"/>
    <col min="21" max="21" width="3.7109375" style="137" customWidth="1"/>
    <col min="22" max="26" width="3.28515625" style="137" customWidth="1"/>
    <col min="27" max="31" width="8.7109375" style="137" customWidth="1"/>
    <col min="32" max="16384" width="14.42578125" style="137" customWidth="1"/>
  </cols>
  <sheetData>
    <row r="1" ht="12.75" customHeight="1" x14ac:dyDescent="0.25"/>
    <row r="2" ht="12.75" customHeight="1" spans="2:4" x14ac:dyDescent="0.25">
      <c r="B2" s="165" t="s">
        <v>206</v>
      </c>
      <c r="C2" s="166">
        <f>初期入力!B44</f>
        <v>103824</v>
      </c>
      <c r="D2" s="166"/>
    </row>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50.25" customHeight="1" spans="1:26" x14ac:dyDescent="0.25">
      <c r="A10" s="167" t="str">
        <f>初期入力!B3</f>
        <v>大阪市旭区新森　池田様邸新築工事						</v>
      </c>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row>
    <row r="11" ht="12.75" customHeight="1" x14ac:dyDescent="0.25"/>
    <row r="12" ht="12.75" customHeight="1" x14ac:dyDescent="0.25"/>
    <row r="13" ht="12.75" customHeight="1" x14ac:dyDescent="0.25"/>
    <row r="14" ht="50.25" customHeight="1" spans="1:24" x14ac:dyDescent="0.25">
      <c r="A14" s="168" t="s">
        <v>207</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row>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50.25" customHeight="1" spans="4:20" x14ac:dyDescent="0.25">
      <c r="D53" s="169" t="s">
        <v>208</v>
      </c>
      <c r="E53" s="169"/>
      <c r="F53" s="169"/>
      <c r="G53" s="169"/>
      <c r="H53" s="169"/>
      <c r="I53" s="169"/>
      <c r="J53" s="169"/>
      <c r="K53" s="169"/>
      <c r="L53" s="169"/>
      <c r="M53" s="169"/>
      <c r="N53" s="169"/>
      <c r="O53" s="169"/>
      <c r="P53" s="169"/>
      <c r="Q53" s="169"/>
      <c r="R53" s="169"/>
      <c r="S53" s="169"/>
      <c r="T53" s="169"/>
    </row>
    <row r="54" ht="12.75" customHeight="1" spans="18:19" x14ac:dyDescent="0.25">
      <c r="R54" s="170"/>
      <c r="S54" s="137"/>
    </row>
    <row r="55" ht="12.75" customHeight="1" spans="18:19" x14ac:dyDescent="0.25">
      <c r="R55" s="170"/>
      <c r="S55" s="137"/>
    </row>
    <row r="56" ht="12.75" customHeight="1" spans="19:23" x14ac:dyDescent="0.25">
      <c r="S56" s="170">
        <v>20250724</v>
      </c>
      <c r="T56" s="170"/>
      <c r="U56" s="170"/>
      <c r="V56" s="165"/>
      <c r="W56" s="137" t="s">
        <v>209</v>
      </c>
    </row>
    <row r="57" ht="39.75" customHeight="1" x14ac:dyDescent="0.25"/>
    <row r="59" ht="23.25" customHeight="1" spans="4:17" x14ac:dyDescent="0.25">
      <c r="D59" s="171" t="s">
        <v>207</v>
      </c>
      <c r="E59" s="171"/>
      <c r="F59" s="171"/>
      <c r="G59" s="171"/>
      <c r="H59" s="171"/>
      <c r="I59" s="171"/>
      <c r="J59" s="171"/>
      <c r="K59" s="171"/>
      <c r="L59" s="171"/>
      <c r="M59" s="171"/>
      <c r="N59" s="171"/>
      <c r="O59" s="171"/>
      <c r="P59" s="171"/>
      <c r="Q59" s="171"/>
    </row>
    <row r="61" ht="23.25" customHeight="1" x14ac:dyDescent="0.25"/>
    <row r="62" ht="23.25" customHeight="1" x14ac:dyDescent="0.25"/>
    <row r="63" ht="23.25" customHeight="1" spans="1:19" x14ac:dyDescent="0.25">
      <c r="A63" s="137" t="s">
        <v>210</v>
      </c>
      <c r="C63" s="172" t="s">
        <v>211</v>
      </c>
      <c r="D63" s="173">
        <f>初期入力!B4</f>
        <v>0</v>
      </c>
      <c r="E63" s="174"/>
      <c r="F63" s="174"/>
      <c r="G63" s="174"/>
      <c r="H63" s="175"/>
      <c r="I63" s="173">
        <f>IF(初期入力!B6="","",初期入力!B6)</f>
      </c>
      <c r="J63" s="173"/>
      <c r="K63" s="173"/>
      <c r="L63" s="173"/>
      <c r="M63" s="172"/>
      <c r="N63" s="137"/>
      <c r="O63" s="137"/>
      <c r="P63" s="137" t="s">
        <v>212</v>
      </c>
      <c r="S63" s="165"/>
    </row>
    <row r="64" ht="23.25" customHeight="1" x14ac:dyDescent="0.25"/>
    <row r="65" ht="23.25" customHeight="1" spans="1:18" x14ac:dyDescent="0.25">
      <c r="A65" s="137" t="s">
        <v>213</v>
      </c>
      <c r="D65" s="176" t="s">
        <v>208</v>
      </c>
      <c r="E65" s="172"/>
      <c r="F65" s="172"/>
      <c r="G65" s="172"/>
      <c r="H65" s="172"/>
      <c r="I65" s="172"/>
      <c r="J65" s="172"/>
      <c r="K65" s="172"/>
      <c r="L65" s="172"/>
      <c r="M65" s="172"/>
      <c r="N65" s="137"/>
      <c r="O65" s="137"/>
      <c r="P65" s="166" t="s">
        <v>214</v>
      </c>
      <c r="R65" s="165"/>
    </row>
    <row r="66" ht="23.25" customHeight="1" x14ac:dyDescent="0.25"/>
    <row r="67" ht="23.25" customHeight="1" spans="4:15" x14ac:dyDescent="0.25">
      <c r="D67" s="173" t="str">
        <f>初期入力!B3</f>
        <v>大阪市旭区新森　池田様邸新築工事						</v>
      </c>
      <c r="E67" s="173"/>
      <c r="F67" s="173"/>
      <c r="G67" s="173"/>
      <c r="H67" s="173"/>
      <c r="I67" s="173"/>
      <c r="J67" s="173"/>
      <c r="K67" s="173"/>
      <c r="L67" s="173"/>
      <c r="M67" s="173"/>
      <c r="N67" s="177"/>
      <c r="O67" s="177"/>
    </row>
    <row r="68" ht="23.25" customHeight="1" x14ac:dyDescent="0.25"/>
    <row r="69" ht="23.25" customHeight="1" spans="1:1" x14ac:dyDescent="0.25">
      <c r="A69" s="137" t="s">
        <v>215</v>
      </c>
    </row>
    <row r="70" ht="23.25" customHeight="1" spans="1:1" x14ac:dyDescent="0.25">
      <c r="A70" s="137" t="s">
        <v>216</v>
      </c>
    </row>
    <row r="71" ht="23.25" customHeight="1" spans="1:1" x14ac:dyDescent="0.25">
      <c r="A71" s="137" t="s">
        <v>217</v>
      </c>
    </row>
    <row r="72" ht="23.25" customHeight="1" x14ac:dyDescent="0.25"/>
    <row r="73" ht="23.25" customHeight="1" x14ac:dyDescent="0.25"/>
    <row r="74" ht="23.25" customHeight="1" spans="1:1" x14ac:dyDescent="0.25">
      <c r="A74" s="137" t="s">
        <v>218</v>
      </c>
    </row>
    <row r="75" ht="23.25" customHeight="1" spans="1:1" x14ac:dyDescent="0.25">
      <c r="A75" s="137" t="s">
        <v>219</v>
      </c>
    </row>
    <row r="76" ht="23.25" customHeight="1" x14ac:dyDescent="0.25"/>
    <row r="77" ht="23.25" customHeight="1" x14ac:dyDescent="0.25"/>
    <row r="78" ht="23.25" customHeight="1" spans="18:18" x14ac:dyDescent="0.25">
      <c r="R78" s="170"/>
    </row>
    <row r="79" ht="23.25" customHeight="1" spans="2:19" x14ac:dyDescent="0.25">
      <c r="B79" s="137"/>
      <c r="C79" s="137"/>
      <c r="D79" s="137"/>
      <c r="E79" s="137"/>
      <c r="F79" s="137"/>
      <c r="K79" s="178">
        <f>初期入力!C13</f>
        <v>2025</v>
      </c>
      <c r="L79" s="178"/>
      <c r="M79" s="170" t="s">
        <v>33</v>
      </c>
      <c r="N79" s="178">
        <f>初期入力!E13</f>
        <v>7</v>
      </c>
      <c r="O79" s="178"/>
      <c r="P79" s="137" t="s">
        <v>34</v>
      </c>
      <c r="Q79" s="178">
        <f>初期入力!G13</f>
        <v>25</v>
      </c>
      <c r="R79" s="178"/>
      <c r="S79" s="137" t="s">
        <v>35</v>
      </c>
    </row>
    <row r="80" ht="23.25" customHeight="1" spans="10:10" x14ac:dyDescent="0.25">
      <c r="J80" s="137"/>
    </row>
    <row r="81" ht="23.25" customHeight="1" x14ac:dyDescent="0.25"/>
    <row r="82" ht="23.25" customHeight="1" spans="1:16" x14ac:dyDescent="0.25">
      <c r="A82" s="137" t="s">
        <v>220</v>
      </c>
      <c r="C82" s="179"/>
      <c r="D82" s="180">
        <f>初期入力!B5</f>
        <v>0</v>
      </c>
      <c r="E82" s="180"/>
      <c r="F82" s="180"/>
      <c r="G82" s="180"/>
      <c r="H82" s="180"/>
      <c r="I82" s="180"/>
      <c r="J82" s="180"/>
      <c r="K82" s="180"/>
      <c r="L82" s="180"/>
      <c r="M82" s="180"/>
      <c r="N82" s="180"/>
      <c r="O82" s="180"/>
      <c r="P82" s="180"/>
    </row>
    <row r="83" ht="30" customHeight="1" spans="4:17" x14ac:dyDescent="0.25">
      <c r="D83" s="181"/>
      <c r="E83" s="181"/>
      <c r="F83" s="181"/>
      <c r="G83" s="181"/>
      <c r="H83" s="181"/>
      <c r="I83" s="181"/>
      <c r="J83" s="181"/>
      <c r="K83" s="181"/>
      <c r="L83" s="181"/>
      <c r="M83" s="181"/>
      <c r="N83" s="181"/>
      <c r="O83" s="181"/>
      <c r="P83" s="181"/>
      <c r="Q83" s="182"/>
    </row>
    <row r="84" ht="23.25" customHeight="1" spans="1:23" x14ac:dyDescent="0.25">
      <c r="A84" s="137" t="s">
        <v>221</v>
      </c>
      <c r="C84" s="179"/>
      <c r="D84" s="183">
        <f>初期入力!B4</f>
        <v>0</v>
      </c>
      <c r="E84" s="183"/>
      <c r="F84" s="183"/>
      <c r="G84" s="183"/>
      <c r="H84" s="183"/>
      <c r="I84" s="183"/>
      <c r="J84" s="183"/>
      <c r="K84" s="183"/>
      <c r="L84" s="183"/>
      <c r="M84" s="183"/>
      <c r="N84" s="183"/>
      <c r="O84" s="183"/>
      <c r="P84" s="183"/>
      <c r="Q84" s="184" t="s">
        <v>222</v>
      </c>
      <c r="T84" s="170"/>
      <c r="U84" s="170"/>
      <c r="V84" s="170"/>
      <c r="W84" s="170"/>
    </row>
    <row r="85" ht="30" customHeight="1" spans="4:17" x14ac:dyDescent="0.25">
      <c r="D85" s="181"/>
      <c r="E85" s="181"/>
      <c r="F85" s="181"/>
      <c r="G85" s="181"/>
      <c r="H85" s="181"/>
      <c r="I85" s="181"/>
      <c r="J85" s="181"/>
      <c r="K85" s="181"/>
      <c r="L85" s="181"/>
      <c r="M85" s="181"/>
      <c r="N85" s="181"/>
      <c r="O85" s="181"/>
      <c r="P85" s="181"/>
      <c r="Q85" s="185"/>
    </row>
    <row r="86" ht="23.25" customHeight="1" spans="1:23" x14ac:dyDescent="0.25">
      <c r="A86" s="137" t="s">
        <v>223</v>
      </c>
      <c r="C86" s="179"/>
      <c r="D86" s="186">
        <f>IF(初期入力!B7="","",初期入力!B7)</f>
      </c>
      <c r="E86" s="186"/>
      <c r="F86" s="186"/>
      <c r="G86" s="186"/>
      <c r="H86" s="186"/>
      <c r="I86" s="186"/>
      <c r="J86" s="186"/>
      <c r="K86" s="186"/>
      <c r="L86" s="186"/>
      <c r="M86" s="186"/>
      <c r="N86" s="186"/>
      <c r="O86" s="186"/>
      <c r="P86" s="186"/>
      <c r="Q86" s="185"/>
      <c r="T86" s="170"/>
      <c r="U86" s="170"/>
      <c r="V86" s="170"/>
      <c r="W86" s="170"/>
    </row>
    <row r="87" ht="30" customHeight="1" spans="4:23" x14ac:dyDescent="0.25">
      <c r="D87" s="181"/>
      <c r="E87" s="181"/>
      <c r="F87" s="181"/>
      <c r="G87" s="181"/>
      <c r="H87" s="181"/>
      <c r="I87" s="181"/>
      <c r="J87" s="181"/>
      <c r="K87" s="181"/>
      <c r="L87" s="181"/>
      <c r="M87" s="181"/>
      <c r="N87" s="181"/>
      <c r="O87" s="181"/>
      <c r="P87" s="181"/>
      <c r="Q87" s="187"/>
      <c r="T87" s="170"/>
      <c r="U87" s="170"/>
      <c r="V87" s="170"/>
      <c r="W87" s="170"/>
    </row>
    <row r="88" ht="23.25" customHeight="1" spans="1:23" x14ac:dyDescent="0.25">
      <c r="A88" s="137" t="s">
        <v>224</v>
      </c>
      <c r="C88" s="179"/>
      <c r="D88" s="183">
        <f>IF(初期入力!B6="","",初期入力!B6)</f>
      </c>
      <c r="E88" s="183"/>
      <c r="F88" s="183"/>
      <c r="G88" s="183"/>
      <c r="H88" s="183"/>
      <c r="I88" s="183"/>
      <c r="J88" s="183"/>
      <c r="K88" s="183"/>
      <c r="L88" s="183"/>
      <c r="M88" s="183"/>
      <c r="N88" s="183"/>
      <c r="O88" s="183"/>
      <c r="P88" s="183"/>
      <c r="Q88" s="185" t="s">
        <v>222</v>
      </c>
      <c r="T88" s="170"/>
      <c r="U88" s="170"/>
      <c r="V88" s="170"/>
      <c r="W88" s="170"/>
    </row>
    <row r="89" ht="40.15" customHeight="1" spans="1:23" x14ac:dyDescent="0.25">
      <c r="A89" s="114"/>
      <c r="D89" s="181"/>
      <c r="E89" s="181"/>
      <c r="F89" s="181"/>
      <c r="G89" s="181"/>
      <c r="H89" s="181"/>
      <c r="I89" s="181"/>
      <c r="J89" s="181"/>
      <c r="K89" s="181"/>
      <c r="L89" s="181"/>
      <c r="M89" s="181"/>
      <c r="N89" s="181"/>
      <c r="O89" s="181"/>
      <c r="P89" s="181"/>
      <c r="Q89" s="187"/>
      <c r="T89" s="170"/>
      <c r="U89" s="170"/>
      <c r="V89" s="170"/>
      <c r="W89" s="170"/>
    </row>
    <row r="90" ht="23.25" customHeight="1" spans="1:23" x14ac:dyDescent="0.25">
      <c r="A90" s="137" t="s">
        <v>225</v>
      </c>
      <c r="C90" s="179"/>
      <c r="D90" s="188" t="s">
        <v>119</v>
      </c>
      <c r="E90" s="188"/>
      <c r="F90" s="188"/>
      <c r="G90" s="188"/>
      <c r="H90" s="188"/>
      <c r="I90" s="188"/>
      <c r="J90" s="188"/>
      <c r="K90" s="188"/>
      <c r="L90" s="188"/>
      <c r="M90" s="188"/>
      <c r="N90" s="188"/>
      <c r="O90" s="188"/>
      <c r="P90" s="188"/>
      <c r="Q90" s="185"/>
      <c r="T90" s="170"/>
      <c r="U90" s="170"/>
      <c r="V90" s="170"/>
      <c r="W90" s="170"/>
    </row>
    <row r="91" ht="30" customHeight="1" spans="4:23" x14ac:dyDescent="0.25">
      <c r="D91" s="181"/>
      <c r="E91" s="181"/>
      <c r="F91" s="181"/>
      <c r="G91" s="181"/>
      <c r="H91" s="181"/>
      <c r="I91" s="181"/>
      <c r="J91" s="181"/>
      <c r="K91" s="181"/>
      <c r="L91" s="181"/>
      <c r="M91" s="181"/>
      <c r="N91" s="181"/>
      <c r="O91" s="181"/>
      <c r="P91" s="181"/>
      <c r="Q91" s="187"/>
      <c r="T91" s="170"/>
      <c r="U91" s="170"/>
      <c r="V91" s="170"/>
      <c r="W91" s="170"/>
    </row>
    <row r="92" ht="23.25" customHeight="1" spans="1:23" x14ac:dyDescent="0.25">
      <c r="A92" s="137" t="s">
        <v>226</v>
      </c>
      <c r="C92" s="179"/>
      <c r="D92" s="188" t="s">
        <v>208</v>
      </c>
      <c r="E92" s="188"/>
      <c r="F92" s="188"/>
      <c r="G92" s="188"/>
      <c r="H92" s="188"/>
      <c r="I92" s="181"/>
      <c r="J92" s="188" t="s">
        <v>227</v>
      </c>
      <c r="K92" s="188"/>
      <c r="L92" s="188"/>
      <c r="M92" s="188"/>
      <c r="N92" s="188"/>
      <c r="O92" s="188"/>
      <c r="P92" s="188"/>
      <c r="Q92" s="185" t="s">
        <v>222</v>
      </c>
      <c r="T92" s="170"/>
      <c r="U92" s="170"/>
      <c r="V92" s="170"/>
      <c r="W92" s="170"/>
    </row>
    <row r="93" ht="23.25" customHeight="1" spans="9:18" x14ac:dyDescent="0.25">
      <c r="I93" s="182"/>
      <c r="Q93" s="182"/>
      <c r="R93" s="170"/>
    </row>
    <row r="94" ht="23.25" customHeight="1" spans="3:12" x14ac:dyDescent="0.25">
      <c r="C94" s="166"/>
      <c r="D94" s="166"/>
      <c r="E94" s="166"/>
      <c r="F94" s="166"/>
      <c r="G94" s="166"/>
      <c r="H94" s="166"/>
      <c r="I94" s="166"/>
      <c r="J94" s="166"/>
      <c r="K94" s="166"/>
      <c r="L94" s="170"/>
    </row>
    <row r="95" ht="39.75" customHeight="1" spans="3:12" x14ac:dyDescent="0.25">
      <c r="C95" s="166"/>
      <c r="D95" s="166"/>
      <c r="E95" s="166"/>
      <c r="F95" s="166"/>
      <c r="G95" s="166"/>
      <c r="H95" s="166"/>
      <c r="I95" s="166"/>
      <c r="J95" s="166"/>
      <c r="K95" s="166"/>
      <c r="L95" s="170"/>
    </row>
    <row r="96" ht="15.75" customHeight="1" spans="1:31" x14ac:dyDescent="0.25">
      <c r="A96" s="189" t="s">
        <v>3</v>
      </c>
      <c r="B96" s="28"/>
      <c r="C96" s="28"/>
      <c r="D96" s="190" t="str">
        <f>初期入力!B3</f>
        <v>大阪市旭区新森　池田様邸新築工事						</v>
      </c>
      <c r="E96" s="28"/>
      <c r="F96" s="28"/>
      <c r="G96" s="28"/>
      <c r="H96" s="28"/>
      <c r="I96" s="28"/>
      <c r="J96" s="29"/>
      <c r="K96" s="189" t="s">
        <v>228</v>
      </c>
      <c r="L96" s="28"/>
      <c r="M96" s="28"/>
      <c r="N96" s="191"/>
      <c r="O96" s="192"/>
      <c r="P96" s="193" t="s">
        <v>229</v>
      </c>
      <c r="Q96" s="194"/>
      <c r="R96" s="194"/>
      <c r="S96" s="194"/>
      <c r="T96" s="195"/>
      <c r="U96" s="196"/>
      <c r="V96" s="196"/>
      <c r="W96" s="196"/>
      <c r="X96" s="196"/>
      <c r="Y96" s="196"/>
      <c r="Z96" s="196"/>
      <c r="AA96" s="196"/>
      <c r="AB96" s="196"/>
      <c r="AC96" s="196"/>
      <c r="AD96" s="196"/>
      <c r="AE96" s="196"/>
    </row>
    <row r="97" ht="15.75" customHeight="1" spans="1:31" x14ac:dyDescent="0.25">
      <c r="A97" s="197"/>
      <c r="B97" s="9"/>
      <c r="C97" s="9"/>
      <c r="D97" s="9"/>
      <c r="E97" s="9"/>
      <c r="F97" s="9"/>
      <c r="G97" s="9"/>
      <c r="H97" s="9"/>
      <c r="I97" s="9"/>
      <c r="J97" s="10"/>
      <c r="K97" s="198" t="s">
        <v>230</v>
      </c>
      <c r="L97" s="9"/>
      <c r="M97" s="9"/>
      <c r="N97" s="199"/>
      <c r="O97" s="200"/>
      <c r="P97" s="201" t="str">
        <f>初期入力!B11</f>
        <v>共有</v>
      </c>
      <c r="Q97" s="202"/>
      <c r="R97" s="202"/>
      <c r="S97" s="202"/>
      <c r="T97" s="203"/>
      <c r="U97" s="204"/>
      <c r="V97" s="204"/>
      <c r="W97" s="204"/>
      <c r="X97" s="196"/>
      <c r="Y97" s="196"/>
      <c r="Z97" s="196"/>
      <c r="AA97" s="196"/>
      <c r="AB97" s="196"/>
      <c r="AC97" s="196"/>
      <c r="AD97" s="196"/>
      <c r="AE97" s="196"/>
    </row>
    <row r="98" ht="15.75" customHeight="1" spans="1:31" x14ac:dyDescent="0.25">
      <c r="A98" s="189" t="s">
        <v>40</v>
      </c>
      <c r="B98" s="28"/>
      <c r="C98" s="28"/>
      <c r="D98" s="170" t="str">
        <f>初期入力!B15</f>
        <v>大阪府大阪市旭区新森</v>
      </c>
      <c r="E98" s="170"/>
      <c r="F98" s="170"/>
      <c r="G98" s="170"/>
      <c r="H98" s="170"/>
      <c r="I98" s="170"/>
      <c r="J98" s="170"/>
      <c r="K98" s="170"/>
      <c r="L98" s="170"/>
      <c r="M98" s="170"/>
      <c r="N98" s="170"/>
      <c r="O98" s="170"/>
      <c r="P98" s="170"/>
      <c r="Q98" s="170"/>
      <c r="R98" s="170"/>
      <c r="S98" s="170"/>
      <c r="T98" s="205"/>
      <c r="U98" s="204"/>
      <c r="V98" s="204"/>
      <c r="W98" s="204"/>
      <c r="X98" s="196"/>
      <c r="Y98" s="196"/>
      <c r="Z98" s="196"/>
      <c r="AA98" s="196"/>
      <c r="AB98" s="196"/>
      <c r="AC98" s="196"/>
      <c r="AD98" s="196"/>
      <c r="AE98" s="196"/>
    </row>
    <row r="99" ht="15.75" customHeight="1" spans="1:31" x14ac:dyDescent="0.25">
      <c r="A99" s="197"/>
      <c r="B99" s="9"/>
      <c r="C99" s="9"/>
      <c r="D99" s="206"/>
      <c r="E99" s="206"/>
      <c r="F99" s="206"/>
      <c r="G99" s="206"/>
      <c r="H99" s="206"/>
      <c r="I99" s="206"/>
      <c r="J99" s="206"/>
      <c r="K99" s="206"/>
      <c r="L99" s="206"/>
      <c r="M99" s="206"/>
      <c r="N99" s="206"/>
      <c r="O99" s="206"/>
      <c r="P99" s="206"/>
      <c r="Q99" s="206"/>
      <c r="R99" s="206"/>
      <c r="S99" s="206"/>
      <c r="T99" s="207"/>
      <c r="U99" s="204"/>
      <c r="V99" s="204"/>
      <c r="W99" s="204"/>
      <c r="X99" s="196"/>
      <c r="Y99" s="196"/>
      <c r="Z99" s="196"/>
      <c r="AA99" s="196"/>
      <c r="AB99" s="196"/>
      <c r="AC99" s="196"/>
      <c r="AD99" s="196"/>
      <c r="AE99" s="196"/>
    </row>
    <row r="100" ht="15.75" customHeight="1" spans="1:31" x14ac:dyDescent="0.25">
      <c r="A100" s="189" t="s">
        <v>231</v>
      </c>
      <c r="B100" s="28"/>
      <c r="C100" s="28"/>
      <c r="D100" s="208" t="str">
        <f>初期入力!B16</f>
        <v>木造軸組工法</v>
      </c>
      <c r="E100" s="28"/>
      <c r="F100" s="28"/>
      <c r="G100" s="28"/>
      <c r="H100" s="28"/>
      <c r="I100" s="208"/>
      <c r="J100" s="209">
        <f>初期入力!B17</f>
        <v>2</v>
      </c>
      <c r="K100" s="28"/>
      <c r="L100" s="28"/>
      <c r="M100" s="208" t="s">
        <v>232</v>
      </c>
      <c r="N100" s="208"/>
      <c r="O100" s="208"/>
      <c r="P100" s="209">
        <f>初期入力!B18</f>
        <v>1</v>
      </c>
      <c r="Q100" s="209"/>
      <c r="R100" s="209"/>
      <c r="S100" s="209"/>
      <c r="T100" s="210" t="s">
        <v>233</v>
      </c>
      <c r="U100" s="204"/>
      <c r="V100" s="204"/>
      <c r="W100" s="204"/>
      <c r="X100" s="196"/>
      <c r="Y100" s="196"/>
      <c r="Z100" s="196"/>
      <c r="AA100" s="196"/>
      <c r="AB100" s="196"/>
      <c r="AC100" s="196"/>
      <c r="AD100" s="196"/>
      <c r="AE100" s="196"/>
    </row>
    <row r="101" ht="15.75" customHeight="1" spans="1:31" x14ac:dyDescent="0.25">
      <c r="A101" s="197"/>
      <c r="B101" s="9"/>
      <c r="C101" s="9"/>
      <c r="D101" s="9"/>
      <c r="E101" s="9"/>
      <c r="F101" s="9"/>
      <c r="G101" s="9"/>
      <c r="H101" s="9"/>
      <c r="I101" s="9"/>
      <c r="J101" s="9"/>
      <c r="K101" s="9"/>
      <c r="L101" s="9"/>
      <c r="M101" s="9"/>
      <c r="N101" s="9"/>
      <c r="O101" s="9"/>
      <c r="P101" s="211"/>
      <c r="Q101" s="211"/>
      <c r="R101" s="211"/>
      <c r="S101" s="211"/>
      <c r="T101" s="10"/>
      <c r="U101" s="137"/>
      <c r="V101" s="137"/>
      <c r="W101" s="137"/>
      <c r="X101" s="196"/>
      <c r="Y101" s="196"/>
      <c r="Z101" s="196"/>
      <c r="AA101" s="196"/>
      <c r="AB101" s="196"/>
      <c r="AC101" s="196"/>
      <c r="AD101" s="196"/>
      <c r="AE101" s="196"/>
    </row>
    <row r="102" ht="9.75" customHeight="1" spans="1:31" x14ac:dyDescent="0.25">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row>
    <row r="103" ht="17.25" customHeight="1" spans="1:31" x14ac:dyDescent="0.25">
      <c r="A103" s="189" t="str">
        <f>初期入力!B20</f>
        <v>〇</v>
      </c>
      <c r="B103" s="209" t="s">
        <v>55</v>
      </c>
      <c r="C103" s="28"/>
      <c r="D103" s="28"/>
      <c r="E103" s="212" t="s">
        <v>131</v>
      </c>
      <c r="F103" s="213">
        <f>初期入力!B19</f>
        <v>49.04</v>
      </c>
      <c r="G103" s="28"/>
      <c r="H103" s="29"/>
      <c r="I103" s="214" t="s">
        <v>234</v>
      </c>
      <c r="J103" s="215"/>
      <c r="K103" s="216" t="s">
        <v>235</v>
      </c>
      <c r="L103" s="217"/>
      <c r="M103" s="217"/>
      <c r="N103" s="217"/>
      <c r="O103" s="217"/>
      <c r="P103" s="217"/>
      <c r="Q103" s="217"/>
      <c r="R103" s="217"/>
      <c r="S103" s="217"/>
      <c r="T103" s="218"/>
      <c r="U103" s="219"/>
      <c r="V103" s="219"/>
      <c r="W103" s="219"/>
      <c r="X103" s="196"/>
      <c r="Y103" s="196"/>
      <c r="Z103" s="196"/>
      <c r="AA103" s="196"/>
      <c r="AB103" s="196"/>
      <c r="AC103" s="196"/>
      <c r="AD103" s="196"/>
      <c r="AE103" s="196"/>
    </row>
    <row r="104" ht="17.25" customHeight="1" spans="1:31" x14ac:dyDescent="0.25">
      <c r="A104" s="220"/>
      <c r="B104" s="221"/>
      <c r="C104" s="221"/>
      <c r="D104" s="221"/>
      <c r="E104" s="222"/>
      <c r="F104" s="221"/>
      <c r="G104" s="221"/>
      <c r="H104" s="223"/>
      <c r="I104" s="224" t="s">
        <v>76</v>
      </c>
      <c r="J104" s="225"/>
      <c r="K104" s="226">
        <f>初期入力!B27</f>
        <v>45861</v>
      </c>
      <c r="L104" s="227"/>
      <c r="M104" s="227"/>
      <c r="N104" s="227"/>
      <c r="O104" s="227"/>
      <c r="P104" s="227"/>
      <c r="Q104" s="227"/>
      <c r="R104" s="227"/>
      <c r="S104" s="227"/>
      <c r="T104" s="228"/>
      <c r="U104" s="204"/>
      <c r="V104" s="204"/>
      <c r="W104" s="204"/>
      <c r="X104" s="196"/>
      <c r="Y104" s="196"/>
      <c r="Z104" s="196"/>
      <c r="AA104" s="196"/>
      <c r="AB104" s="196"/>
      <c r="AC104" s="196"/>
      <c r="AD104" s="196"/>
      <c r="AE104" s="196"/>
    </row>
    <row r="105" ht="17.25" customHeight="1" spans="1:31" x14ac:dyDescent="0.25">
      <c r="A105" s="229" t="str">
        <f>IF(初期入力!B22="","",初期入力!B22)</f>
        <v>〇</v>
      </c>
      <c r="B105" s="230" t="s">
        <v>63</v>
      </c>
      <c r="C105" s="231"/>
      <c r="D105" s="231"/>
      <c r="E105" s="232" t="s">
        <v>131</v>
      </c>
      <c r="F105" s="233">
        <f>初期入力!B21</f>
        <v>44.81</v>
      </c>
      <c r="G105" s="231"/>
      <c r="H105" s="234"/>
      <c r="I105" s="224"/>
      <c r="J105" s="225"/>
      <c r="K105" s="235" t="s">
        <v>236</v>
      </c>
      <c r="L105" s="236"/>
      <c r="M105" s="236"/>
      <c r="N105" s="236"/>
      <c r="O105" s="236"/>
      <c r="P105" s="236"/>
      <c r="Q105" s="236"/>
      <c r="R105" s="236"/>
      <c r="S105" s="236"/>
      <c r="T105" s="237"/>
      <c r="U105" s="219"/>
      <c r="V105" s="219"/>
      <c r="W105" s="219"/>
      <c r="X105" s="196"/>
      <c r="Y105" s="196"/>
      <c r="Z105" s="196"/>
      <c r="AA105" s="196"/>
      <c r="AB105" s="196"/>
      <c r="AC105" s="196"/>
      <c r="AD105" s="196"/>
      <c r="AE105" s="196"/>
    </row>
    <row r="106" ht="17.25" customHeight="1" spans="1:31" x14ac:dyDescent="0.25">
      <c r="A106" s="220"/>
      <c r="B106" s="221"/>
      <c r="C106" s="221"/>
      <c r="D106" s="221"/>
      <c r="E106" s="222"/>
      <c r="F106" s="221"/>
      <c r="G106" s="221"/>
      <c r="H106" s="223"/>
      <c r="I106" s="224" t="s">
        <v>79</v>
      </c>
      <c r="J106" s="225"/>
      <c r="K106" s="238">
        <f>初期入力!B28</f>
        <v>46042</v>
      </c>
      <c r="L106" s="239"/>
      <c r="M106" s="239"/>
      <c r="N106" s="239"/>
      <c r="O106" s="239"/>
      <c r="P106" s="239"/>
      <c r="Q106" s="239"/>
      <c r="R106" s="239"/>
      <c r="S106" s="239"/>
      <c r="T106" s="240"/>
      <c r="U106" s="204"/>
      <c r="V106" s="204"/>
      <c r="W106" s="204"/>
      <c r="X106" s="196"/>
      <c r="Y106" s="196"/>
      <c r="Z106" s="196"/>
      <c r="AA106" s="196"/>
      <c r="AB106" s="196"/>
      <c r="AC106" s="196"/>
      <c r="AD106" s="196"/>
      <c r="AE106" s="196"/>
    </row>
    <row r="107" ht="17.25" customHeight="1" spans="1:31" x14ac:dyDescent="0.25">
      <c r="A107" s="229">
        <f>IF(初期入力!B24="","",初期入力!B24)</f>
      </c>
      <c r="B107" s="230" t="s">
        <v>67</v>
      </c>
      <c r="C107" s="231"/>
      <c r="D107" s="231"/>
      <c r="E107" s="232" t="s">
        <v>131</v>
      </c>
      <c r="F107" s="233">
        <f>初期入力!B23</f>
        <v>0</v>
      </c>
      <c r="G107" s="231"/>
      <c r="H107" s="234"/>
      <c r="I107" s="224"/>
      <c r="J107" s="225"/>
      <c r="K107" s="235" t="s">
        <v>237</v>
      </c>
      <c r="L107" s="236"/>
      <c r="M107" s="236"/>
      <c r="N107" s="236"/>
      <c r="O107" s="236"/>
      <c r="P107" s="236"/>
      <c r="Q107" s="236"/>
      <c r="R107" s="236"/>
      <c r="S107" s="236"/>
      <c r="T107" s="237"/>
      <c r="U107" s="219"/>
      <c r="V107" s="219"/>
      <c r="W107" s="219"/>
      <c r="X107" s="196"/>
      <c r="Y107" s="196"/>
      <c r="Z107" s="196"/>
      <c r="AA107" s="196"/>
      <c r="AB107" s="196"/>
      <c r="AC107" s="196"/>
      <c r="AD107" s="196"/>
      <c r="AE107" s="196"/>
    </row>
    <row r="108" ht="17.25" customHeight="1" spans="1:31" x14ac:dyDescent="0.25">
      <c r="A108" s="220"/>
      <c r="B108" s="221"/>
      <c r="C108" s="221"/>
      <c r="D108" s="221"/>
      <c r="E108" s="222"/>
      <c r="F108" s="221"/>
      <c r="G108" s="221"/>
      <c r="H108" s="223"/>
      <c r="I108" s="224" t="s">
        <v>82</v>
      </c>
      <c r="J108" s="225"/>
      <c r="K108" s="238">
        <f>初期入力!B29</f>
        <v>46066</v>
      </c>
      <c r="L108" s="239"/>
      <c r="M108" s="239"/>
      <c r="N108" s="239"/>
      <c r="O108" s="239"/>
      <c r="P108" s="239"/>
      <c r="Q108" s="239"/>
      <c r="R108" s="239"/>
      <c r="S108" s="239"/>
      <c r="T108" s="240"/>
      <c r="U108" s="204"/>
      <c r="V108" s="204"/>
      <c r="W108" s="204"/>
      <c r="X108" s="196"/>
      <c r="Y108" s="196"/>
      <c r="Z108" s="196"/>
      <c r="AA108" s="196"/>
      <c r="AB108" s="196"/>
      <c r="AC108" s="196"/>
      <c r="AD108" s="196"/>
      <c r="AE108" s="196"/>
    </row>
    <row r="109" ht="17.25" customHeight="1" spans="1:31" x14ac:dyDescent="0.25">
      <c r="A109" s="229" t="str">
        <f>IF(初期入力!B26="","",初期入力!B26)</f>
        <v>〇</v>
      </c>
      <c r="B109" s="230" t="s">
        <v>72</v>
      </c>
      <c r="C109" s="231"/>
      <c r="D109" s="231"/>
      <c r="E109" s="232" t="s">
        <v>131</v>
      </c>
      <c r="F109" s="241">
        <f>初期入力!B25</f>
        <v>7.1</v>
      </c>
      <c r="G109" s="241"/>
      <c r="H109" s="242"/>
      <c r="I109" s="224"/>
      <c r="J109" s="243"/>
      <c r="K109" s="244"/>
      <c r="L109" s="245"/>
      <c r="M109" s="245"/>
      <c r="N109" s="245"/>
      <c r="O109" s="245"/>
      <c r="P109" s="245"/>
      <c r="Q109" s="245"/>
      <c r="R109" s="245"/>
      <c r="S109" s="245"/>
      <c r="T109" s="246"/>
      <c r="U109" s="204"/>
      <c r="V109" s="204"/>
      <c r="W109" s="204"/>
      <c r="X109" s="196"/>
      <c r="Y109" s="196"/>
      <c r="Z109" s="196"/>
      <c r="AA109" s="196"/>
      <c r="AB109" s="196"/>
      <c r="AC109" s="196"/>
      <c r="AD109" s="196"/>
      <c r="AE109" s="196"/>
    </row>
    <row r="110" ht="17.25" customHeight="1" spans="1:31" x14ac:dyDescent="0.25">
      <c r="A110" s="220"/>
      <c r="B110" s="221"/>
      <c r="C110" s="221"/>
      <c r="D110" s="221"/>
      <c r="E110" s="222"/>
      <c r="F110" s="247"/>
      <c r="G110" s="247"/>
      <c r="H110" s="248"/>
      <c r="I110" s="224"/>
      <c r="J110" s="243"/>
      <c r="K110" s="244"/>
      <c r="L110" s="245"/>
      <c r="M110" s="245"/>
      <c r="N110" s="245"/>
      <c r="O110" s="245"/>
      <c r="P110" s="245"/>
      <c r="Q110" s="245"/>
      <c r="R110" s="245"/>
      <c r="S110" s="245"/>
      <c r="T110" s="246"/>
      <c r="U110" s="204"/>
      <c r="V110" s="204"/>
      <c r="W110" s="204"/>
      <c r="X110" s="196"/>
      <c r="Y110" s="196"/>
      <c r="Z110" s="196"/>
      <c r="AA110" s="196"/>
      <c r="AB110" s="196"/>
      <c r="AC110" s="196"/>
      <c r="AD110" s="196"/>
      <c r="AE110" s="196"/>
    </row>
    <row r="111" ht="17.25" customHeight="1" spans="1:31" x14ac:dyDescent="0.25">
      <c r="A111" s="229"/>
      <c r="B111" s="230" t="s">
        <v>238</v>
      </c>
      <c r="C111" s="231"/>
      <c r="D111" s="231"/>
      <c r="E111" s="232" t="s">
        <v>131</v>
      </c>
      <c r="F111" s="233">
        <f>F103+F105+F109+F107</f>
        <v>100.94999999999999</v>
      </c>
      <c r="G111" s="231"/>
      <c r="H111" s="234"/>
      <c r="I111" s="224"/>
      <c r="J111" s="225"/>
      <c r="K111" s="244"/>
      <c r="L111" s="245"/>
      <c r="M111" s="245"/>
      <c r="N111" s="245"/>
      <c r="O111" s="245"/>
      <c r="P111" s="245"/>
      <c r="Q111" s="245"/>
      <c r="R111" s="245"/>
      <c r="S111" s="245"/>
      <c r="T111" s="246"/>
      <c r="U111" s="204"/>
      <c r="V111" s="204"/>
      <c r="W111" s="204"/>
      <c r="X111" s="196"/>
      <c r="Y111" s="196"/>
      <c r="Z111" s="196"/>
      <c r="AA111" s="196"/>
      <c r="AB111" s="196"/>
      <c r="AC111" s="196"/>
      <c r="AD111" s="196"/>
      <c r="AE111" s="196"/>
    </row>
    <row r="112" ht="17.25" customHeight="1" spans="1:31" x14ac:dyDescent="0.25">
      <c r="A112" s="197"/>
      <c r="B112" s="9"/>
      <c r="C112" s="9"/>
      <c r="D112" s="9"/>
      <c r="E112" s="249"/>
      <c r="F112" s="9"/>
      <c r="G112" s="9"/>
      <c r="H112" s="10"/>
      <c r="I112" s="250"/>
      <c r="J112" s="251"/>
      <c r="K112" s="252"/>
      <c r="L112" s="253"/>
      <c r="M112" s="253"/>
      <c r="N112" s="253"/>
      <c r="O112" s="253"/>
      <c r="P112" s="253"/>
      <c r="Q112" s="253"/>
      <c r="R112" s="253"/>
      <c r="S112" s="253"/>
      <c r="T112" s="254"/>
      <c r="U112" s="204"/>
      <c r="V112" s="204"/>
      <c r="W112" s="204"/>
      <c r="X112" s="196"/>
      <c r="Y112" s="196"/>
      <c r="Z112" s="196"/>
      <c r="AA112" s="196"/>
      <c r="AB112" s="196"/>
      <c r="AC112" s="196"/>
      <c r="AD112" s="196"/>
      <c r="AE112" s="196"/>
    </row>
    <row r="113" ht="9.75" customHeight="1" spans="1:31" x14ac:dyDescent="0.25">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c r="AA113" s="196"/>
      <c r="AB113" s="196"/>
      <c r="AC113" s="196"/>
      <c r="AD113" s="196"/>
      <c r="AE113" s="196"/>
    </row>
    <row r="114" ht="17.25" customHeight="1" spans="1:31" x14ac:dyDescent="0.25">
      <c r="A114" s="255" t="s">
        <v>239</v>
      </c>
      <c r="B114" s="215"/>
      <c r="C114" s="215"/>
      <c r="D114" s="215"/>
      <c r="E114" s="256"/>
      <c r="F114" s="257"/>
      <c r="G114" s="28"/>
      <c r="H114" s="258" t="s">
        <v>240</v>
      </c>
      <c r="I114" s="259">
        <f>初期入力!B31</f>
        <v>25208700</v>
      </c>
      <c r="J114" s="259"/>
      <c r="K114" s="259"/>
      <c r="L114" s="260" t="s">
        <v>241</v>
      </c>
      <c r="M114" s="189"/>
      <c r="N114" s="208"/>
      <c r="O114" s="208"/>
      <c r="P114" s="208"/>
      <c r="Q114" s="208"/>
      <c r="R114" s="208"/>
      <c r="S114" s="208"/>
      <c r="T114" s="210"/>
      <c r="U114" s="204"/>
      <c r="V114" s="204"/>
      <c r="W114" s="204"/>
      <c r="X114" s="196"/>
      <c r="Y114" s="196"/>
      <c r="Z114" s="196"/>
      <c r="AA114" s="196"/>
      <c r="AB114" s="196"/>
      <c r="AC114" s="196"/>
      <c r="AD114" s="196"/>
      <c r="AE114" s="196"/>
    </row>
    <row r="115" ht="17.25" customHeight="1" spans="1:31" x14ac:dyDescent="0.25">
      <c r="A115" s="261" t="s">
        <v>242</v>
      </c>
      <c r="B115" s="225"/>
      <c r="C115" s="225"/>
      <c r="D115" s="225"/>
      <c r="E115" s="262"/>
      <c r="F115" s="263"/>
      <c r="G115" s="225"/>
      <c r="H115" s="264" t="s">
        <v>240</v>
      </c>
      <c r="I115" s="265">
        <f>初期入力!B32</f>
        <v>2520870</v>
      </c>
      <c r="J115" s="265"/>
      <c r="K115" s="265"/>
      <c r="L115" s="266" t="s">
        <v>241</v>
      </c>
      <c r="M115" s="224"/>
      <c r="N115" s="267"/>
      <c r="O115" s="267"/>
      <c r="P115" s="267"/>
      <c r="Q115" s="267"/>
      <c r="R115" s="267"/>
      <c r="S115" s="267"/>
      <c r="T115" s="268"/>
      <c r="U115" s="204"/>
      <c r="V115" s="204"/>
      <c r="W115" s="204"/>
      <c r="X115" s="196"/>
      <c r="Y115" s="196"/>
      <c r="Z115" s="196"/>
      <c r="AA115" s="196"/>
      <c r="AB115" s="196"/>
      <c r="AC115" s="196"/>
      <c r="AD115" s="196"/>
      <c r="AE115" s="196"/>
    </row>
    <row r="116" ht="17.25" customHeight="1" spans="1:31" x14ac:dyDescent="0.25">
      <c r="A116" s="269" t="s">
        <v>243</v>
      </c>
      <c r="B116" s="251"/>
      <c r="C116" s="251"/>
      <c r="D116" s="251"/>
      <c r="E116" s="270"/>
      <c r="F116" s="271"/>
      <c r="G116" s="251"/>
      <c r="H116" s="272" t="s">
        <v>240</v>
      </c>
      <c r="I116" s="273">
        <f>初期入力!B33</f>
        <v>27729570</v>
      </c>
      <c r="J116" s="273"/>
      <c r="K116" s="273"/>
      <c r="L116" s="274" t="s">
        <v>241</v>
      </c>
      <c r="M116" s="198"/>
      <c r="N116" s="98"/>
      <c r="O116" s="98"/>
      <c r="P116" s="98"/>
      <c r="Q116" s="98"/>
      <c r="R116" s="98"/>
      <c r="S116" s="98"/>
      <c r="T116" s="275"/>
      <c r="U116" s="204"/>
      <c r="V116" s="204"/>
      <c r="W116" s="204"/>
      <c r="X116" s="196"/>
      <c r="Y116" s="196"/>
      <c r="Z116" s="196"/>
      <c r="AA116" s="196"/>
      <c r="AB116" s="196"/>
      <c r="AC116" s="196"/>
      <c r="AD116" s="196"/>
      <c r="AE116" s="196"/>
    </row>
    <row r="117" ht="9.75" customHeight="1" spans="1:31" x14ac:dyDescent="0.25">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c r="AA117" s="196"/>
      <c r="AB117" s="196"/>
      <c r="AC117" s="196"/>
      <c r="AD117" s="196"/>
      <c r="AE117" s="196"/>
    </row>
    <row r="118" ht="17.25" customHeight="1" spans="1:31" x14ac:dyDescent="0.25">
      <c r="A118" s="276" t="s">
        <v>244</v>
      </c>
      <c r="B118" s="14"/>
      <c r="C118" s="14"/>
      <c r="D118" s="277" t="s">
        <v>245</v>
      </c>
      <c r="E118" s="278"/>
      <c r="F118" s="278"/>
      <c r="G118" s="279" t="s">
        <v>246</v>
      </c>
      <c r="H118" s="280"/>
      <c r="I118" s="280"/>
      <c r="J118" s="280"/>
      <c r="K118" s="280"/>
      <c r="L118" s="280"/>
      <c r="M118" s="281" t="s">
        <v>247</v>
      </c>
      <c r="N118" s="282"/>
      <c r="O118" s="282"/>
      <c r="P118" s="282"/>
      <c r="Q118" s="282"/>
      <c r="R118" s="282"/>
      <c r="S118" s="282"/>
      <c r="T118" s="283"/>
      <c r="U118" s="204"/>
      <c r="V118" s="204"/>
      <c r="W118" s="204"/>
      <c r="X118" s="196"/>
      <c r="Y118" s="196"/>
      <c r="Z118" s="196"/>
      <c r="AA118" s="196"/>
      <c r="AB118" s="196"/>
      <c r="AC118" s="196"/>
      <c r="AD118" s="196"/>
      <c r="AE118" s="196"/>
    </row>
    <row r="119" ht="17.25" customHeight="1" spans="1:31" x14ac:dyDescent="0.25">
      <c r="A119" s="284" t="s">
        <v>248</v>
      </c>
      <c r="B119" s="285" t="s">
        <v>249</v>
      </c>
      <c r="C119" s="221"/>
      <c r="D119" s="286" t="s">
        <v>250</v>
      </c>
      <c r="E119" s="221"/>
      <c r="F119" s="221"/>
      <c r="G119" s="287"/>
      <c r="H119" s="288" t="s">
        <v>240</v>
      </c>
      <c r="I119" s="289">
        <f>初期入力!B34</f>
        <v>100000</v>
      </c>
      <c r="J119" s="289"/>
      <c r="K119" s="289"/>
      <c r="L119" s="290" t="s">
        <v>241</v>
      </c>
      <c r="M119" s="291">
        <f>IF((初期入力!B35)="","",初期入力!B35)</f>
        <v>45356</v>
      </c>
      <c r="N119" s="292"/>
      <c r="O119" s="292"/>
      <c r="P119" s="292"/>
      <c r="Q119" s="292"/>
      <c r="R119" s="292"/>
      <c r="S119" s="292"/>
      <c r="T119" s="293"/>
      <c r="U119" s="294"/>
      <c r="V119" s="294"/>
      <c r="W119" s="294"/>
      <c r="X119" s="196"/>
      <c r="Y119" s="196"/>
      <c r="Z119" s="196"/>
      <c r="AA119" s="196"/>
      <c r="AB119" s="196"/>
      <c r="AC119" s="196"/>
      <c r="AD119" s="196"/>
      <c r="AE119" s="196"/>
    </row>
    <row r="120" ht="17.25" customHeight="1" spans="1:31" x14ac:dyDescent="0.25">
      <c r="A120" s="295"/>
      <c r="B120" s="224" t="s">
        <v>251</v>
      </c>
      <c r="C120" s="225"/>
      <c r="D120" s="296" t="s">
        <v>252</v>
      </c>
      <c r="E120" s="225"/>
      <c r="F120" s="225"/>
      <c r="G120" s="297"/>
      <c r="H120" s="264" t="s">
        <v>240</v>
      </c>
      <c r="I120" s="265">
        <f>初期入力!B36</f>
        <v>1000000</v>
      </c>
      <c r="J120" s="264"/>
      <c r="K120" s="264"/>
      <c r="L120" s="266" t="s">
        <v>241</v>
      </c>
      <c r="M120" s="291">
        <f>初期入力!B37</f>
        <v>45376</v>
      </c>
      <c r="N120" s="292"/>
      <c r="O120" s="292"/>
      <c r="P120" s="292"/>
      <c r="Q120" s="292"/>
      <c r="R120" s="292"/>
      <c r="S120" s="292"/>
      <c r="T120" s="293"/>
      <c r="U120" s="294"/>
      <c r="V120" s="294"/>
      <c r="W120" s="294"/>
      <c r="X120" s="196"/>
      <c r="Y120" s="196"/>
      <c r="Z120" s="196"/>
      <c r="AA120" s="196"/>
      <c r="AB120" s="196"/>
      <c r="AC120" s="196"/>
      <c r="AD120" s="196"/>
      <c r="AE120" s="196"/>
    </row>
    <row r="121" ht="17.25" customHeight="1" spans="1:31" x14ac:dyDescent="0.25">
      <c r="A121" s="295"/>
      <c r="B121" s="224" t="s">
        <v>253</v>
      </c>
      <c r="C121" s="225"/>
      <c r="D121" s="296" t="s">
        <v>254</v>
      </c>
      <c r="E121" s="225"/>
      <c r="F121" s="225"/>
      <c r="G121" s="297"/>
      <c r="H121" s="264" t="s">
        <v>240</v>
      </c>
      <c r="I121" s="265">
        <f>初期入力!B38</f>
        <v>8300000</v>
      </c>
      <c r="J121" s="264"/>
      <c r="K121" s="264"/>
      <c r="L121" s="266" t="s">
        <v>241</v>
      </c>
      <c r="M121" s="298">
        <f>初期入力!B39</f>
        <v>46233</v>
      </c>
      <c r="N121" s="299"/>
      <c r="O121" s="299"/>
      <c r="P121" s="299"/>
      <c r="Q121" s="299"/>
      <c r="R121" s="299"/>
      <c r="S121" s="299"/>
      <c r="T121" s="300"/>
      <c r="U121" s="294"/>
      <c r="V121" s="294"/>
      <c r="W121" s="294"/>
      <c r="X121" s="196"/>
      <c r="Y121" s="196"/>
      <c r="Z121" s="196"/>
      <c r="AA121" s="196"/>
      <c r="AB121" s="196"/>
      <c r="AC121" s="196"/>
      <c r="AD121" s="196"/>
      <c r="AE121" s="196"/>
    </row>
    <row r="122" ht="17.25" customHeight="1" spans="1:31" x14ac:dyDescent="0.25">
      <c r="A122" s="295"/>
      <c r="B122" s="224" t="s">
        <v>255</v>
      </c>
      <c r="C122" s="225"/>
      <c r="D122" s="296" t="s">
        <v>256</v>
      </c>
      <c r="E122" s="225"/>
      <c r="F122" s="225"/>
      <c r="G122" s="297"/>
      <c r="H122" s="264" t="s">
        <v>240</v>
      </c>
      <c r="I122" s="265">
        <f>初期入力!B40</f>
        <v>8300000</v>
      </c>
      <c r="J122" s="264"/>
      <c r="K122" s="264"/>
      <c r="L122" s="266" t="s">
        <v>241</v>
      </c>
      <c r="M122" s="298">
        <f>初期入力!B41</f>
        <v>46273</v>
      </c>
      <c r="N122" s="299"/>
      <c r="O122" s="299"/>
      <c r="P122" s="299"/>
      <c r="Q122" s="299"/>
      <c r="R122" s="299"/>
      <c r="S122" s="299"/>
      <c r="T122" s="300"/>
      <c r="U122" s="294"/>
      <c r="V122" s="294"/>
      <c r="W122" s="294"/>
      <c r="X122" s="196"/>
      <c r="Y122" s="196"/>
      <c r="Z122" s="196"/>
      <c r="AA122" s="196"/>
      <c r="AB122" s="196"/>
      <c r="AC122" s="196"/>
      <c r="AD122" s="196"/>
      <c r="AE122" s="196"/>
    </row>
    <row r="123" ht="17.25" customHeight="1" spans="1:31" x14ac:dyDescent="0.25">
      <c r="A123" s="295"/>
      <c r="B123" s="224" t="s">
        <v>257</v>
      </c>
      <c r="C123" s="225"/>
      <c r="D123" s="296" t="s">
        <v>258</v>
      </c>
      <c r="E123" s="225"/>
      <c r="F123" s="225"/>
      <c r="G123" s="297"/>
      <c r="H123" s="264" t="s">
        <v>240</v>
      </c>
      <c r="I123" s="265">
        <f>初期入力!B42</f>
        <v>10029570</v>
      </c>
      <c r="J123" s="264"/>
      <c r="K123" s="264"/>
      <c r="L123" s="266" t="s">
        <v>241</v>
      </c>
      <c r="M123" s="298">
        <f>初期入力!B43</f>
        <v>46066</v>
      </c>
      <c r="N123" s="299"/>
      <c r="O123" s="299"/>
      <c r="P123" s="299"/>
      <c r="Q123" s="299"/>
      <c r="R123" s="299"/>
      <c r="S123" s="299"/>
      <c r="T123" s="300"/>
      <c r="U123" s="294"/>
      <c r="V123" s="294"/>
      <c r="W123" s="294"/>
      <c r="X123" s="196"/>
      <c r="Y123" s="196"/>
      <c r="Z123" s="196"/>
      <c r="AA123" s="196"/>
      <c r="AB123" s="196"/>
      <c r="AC123" s="196"/>
      <c r="AD123" s="196"/>
      <c r="AE123" s="196"/>
    </row>
    <row r="124" ht="17.25" customHeight="1" spans="1:31" x14ac:dyDescent="0.25">
      <c r="A124" s="295"/>
      <c r="B124" s="224"/>
      <c r="C124" s="225"/>
      <c r="D124" s="296"/>
      <c r="E124" s="225"/>
      <c r="F124" s="225"/>
      <c r="G124" s="301"/>
      <c r="H124" s="225"/>
      <c r="I124" s="225"/>
      <c r="J124" s="225"/>
      <c r="K124" s="225"/>
      <c r="L124" s="225"/>
      <c r="M124" s="302"/>
      <c r="N124" s="303"/>
      <c r="O124" s="303"/>
      <c r="P124" s="303"/>
      <c r="Q124" s="303"/>
      <c r="R124" s="303"/>
      <c r="S124" s="303"/>
      <c r="T124" s="304"/>
      <c r="U124" s="294"/>
      <c r="V124" s="294"/>
      <c r="W124" s="294"/>
      <c r="X124" s="196"/>
      <c r="Y124" s="196"/>
      <c r="Z124" s="196"/>
      <c r="AA124" s="196"/>
      <c r="AB124" s="196"/>
      <c r="AC124" s="196"/>
      <c r="AD124" s="196"/>
      <c r="AE124" s="196"/>
    </row>
    <row r="125" ht="17.25" customHeight="1" spans="1:31" x14ac:dyDescent="0.25">
      <c r="A125" s="305"/>
      <c r="B125" s="269"/>
      <c r="C125" s="251"/>
      <c r="D125" s="251"/>
      <c r="E125" s="251"/>
      <c r="F125" s="270"/>
      <c r="G125" s="271"/>
      <c r="H125" s="306"/>
      <c r="I125" s="306"/>
      <c r="J125" s="306"/>
      <c r="K125" s="306"/>
      <c r="L125" s="306"/>
      <c r="M125" s="307"/>
      <c r="N125" s="308"/>
      <c r="O125" s="308"/>
      <c r="P125" s="308"/>
      <c r="Q125" s="308"/>
      <c r="R125" s="308"/>
      <c r="S125" s="308"/>
      <c r="T125" s="309"/>
      <c r="U125" s="196"/>
      <c r="V125" s="196"/>
      <c r="W125" s="196"/>
      <c r="X125" s="196"/>
      <c r="Y125" s="196"/>
      <c r="Z125" s="196"/>
      <c r="AA125" s="196"/>
      <c r="AB125" s="196"/>
      <c r="AC125" s="196"/>
      <c r="AD125" s="196"/>
      <c r="AE125" s="196"/>
    </row>
    <row r="126" ht="17.25" customHeight="1" spans="1:31" x14ac:dyDescent="0.25">
      <c r="A126" s="310"/>
      <c r="B126" s="311"/>
      <c r="C126" s="311"/>
      <c r="D126" s="311"/>
      <c r="E126" s="311"/>
      <c r="F126" s="311"/>
      <c r="G126" s="196"/>
      <c r="H126" s="196"/>
      <c r="I126" s="196"/>
      <c r="J126" s="196"/>
      <c r="K126" s="196"/>
      <c r="L126" s="196"/>
      <c r="M126" s="196"/>
      <c r="N126" s="196"/>
      <c r="O126" s="196"/>
      <c r="P126" s="196"/>
      <c r="Q126" s="196"/>
      <c r="R126" s="196"/>
      <c r="S126" s="196"/>
      <c r="T126" s="196"/>
      <c r="U126" s="196"/>
      <c r="V126" s="196"/>
      <c r="W126" s="196"/>
      <c r="X126" s="196"/>
      <c r="Y126" s="196"/>
      <c r="Z126" s="196"/>
      <c r="AA126" s="196"/>
      <c r="AB126" s="196"/>
      <c r="AC126" s="196"/>
      <c r="AD126" s="196"/>
      <c r="AE126" s="196"/>
    </row>
    <row r="127" ht="15" customHeight="1" spans="1:31" x14ac:dyDescent="0.25">
      <c r="A127" s="310"/>
      <c r="B127" s="310"/>
      <c r="C127" s="310"/>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c r="AA127" s="196"/>
      <c r="AB127" s="196"/>
      <c r="AC127" s="196"/>
      <c r="AD127" s="196"/>
      <c r="AE127" s="196"/>
    </row>
    <row r="128" ht="15" customHeight="1" spans="1:31" x14ac:dyDescent="0.25">
      <c r="A128" s="312" t="s">
        <v>259</v>
      </c>
      <c r="B128" s="310"/>
      <c r="C128" s="310"/>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c r="AA128" s="196"/>
      <c r="AB128" s="196"/>
      <c r="AC128" s="196"/>
      <c r="AD128" s="196"/>
      <c r="AE128" s="196"/>
    </row>
    <row r="129" ht="6" customHeight="1" spans="1:31" x14ac:dyDescent="0.25">
      <c r="A129" s="312"/>
      <c r="B129" s="310"/>
      <c r="C129" s="310"/>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c r="AA129" s="196"/>
      <c r="AB129" s="196"/>
      <c r="AC129" s="196"/>
      <c r="AD129" s="196"/>
      <c r="AE129" s="196"/>
    </row>
    <row r="130" ht="15" customHeight="1" spans="1:31" x14ac:dyDescent="0.25">
      <c r="A130" s="196" t="s">
        <v>260</v>
      </c>
      <c r="B130" s="310"/>
      <c r="C130" s="310"/>
      <c r="D130" s="196"/>
      <c r="E130" s="313"/>
      <c r="F130" s="196"/>
      <c r="G130" s="196"/>
      <c r="H130" s="196"/>
      <c r="I130" s="196"/>
      <c r="J130" s="196"/>
      <c r="K130" s="313"/>
      <c r="L130" s="196"/>
      <c r="M130" s="196"/>
      <c r="N130" s="196"/>
      <c r="O130" s="196"/>
      <c r="P130" s="196"/>
      <c r="Q130" s="196"/>
      <c r="R130" s="196"/>
      <c r="S130" s="196"/>
      <c r="T130" s="196"/>
      <c r="U130" s="196"/>
      <c r="V130" s="196"/>
      <c r="W130" s="196"/>
      <c r="X130" s="196"/>
      <c r="Y130" s="196"/>
      <c r="Z130" s="196"/>
      <c r="AA130" s="196"/>
      <c r="AB130" s="196"/>
      <c r="AC130" s="196"/>
      <c r="AD130" s="196"/>
      <c r="AE130" s="196"/>
    </row>
    <row r="131" ht="6" customHeight="1" spans="1:31" x14ac:dyDescent="0.25">
      <c r="A131" s="312"/>
      <c r="B131" s="310"/>
      <c r="C131" s="310"/>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c r="AA131" s="196"/>
      <c r="AB131" s="196"/>
      <c r="AC131" s="196"/>
      <c r="AD131" s="196"/>
      <c r="AE131" s="196"/>
    </row>
    <row r="132" ht="15" customHeight="1" spans="1:31" x14ac:dyDescent="0.25">
      <c r="A132" s="196" t="s">
        <v>261</v>
      </c>
      <c r="B132" s="310"/>
      <c r="C132" s="310"/>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c r="AD132" s="196"/>
      <c r="AE132" s="196"/>
    </row>
    <row r="133" ht="15" customHeight="1" spans="1:31" x14ac:dyDescent="0.25">
      <c r="A133" s="196" t="s">
        <v>262</v>
      </c>
      <c r="B133" s="310"/>
      <c r="C133" s="310"/>
      <c r="D133" s="196"/>
      <c r="E133" s="196"/>
      <c r="F133" s="196"/>
      <c r="G133" s="196"/>
      <c r="H133" s="196"/>
      <c r="I133" s="196"/>
      <c r="J133" s="196"/>
      <c r="K133" s="196"/>
      <c r="L133" s="196"/>
      <c r="M133" s="196"/>
      <c r="N133" s="196"/>
      <c r="O133" s="196"/>
      <c r="P133" s="313"/>
      <c r="Q133" s="196"/>
      <c r="R133" s="196"/>
      <c r="S133" s="196"/>
      <c r="T133" s="196"/>
      <c r="U133" s="196"/>
      <c r="V133" s="196"/>
      <c r="W133" s="196"/>
      <c r="X133" s="196"/>
      <c r="Y133" s="196"/>
      <c r="Z133" s="196"/>
      <c r="AA133" s="196"/>
      <c r="AB133" s="196"/>
      <c r="AC133" s="196"/>
      <c r="AD133" s="196"/>
      <c r="AE133" s="196"/>
    </row>
    <row r="134" ht="15" customHeight="1" spans="1:31" x14ac:dyDescent="0.25">
      <c r="A134" s="196" t="s">
        <v>263</v>
      </c>
      <c r="B134" s="310"/>
      <c r="C134" s="310"/>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c r="AA134" s="196"/>
      <c r="AB134" s="196"/>
      <c r="AC134" s="196"/>
      <c r="AD134" s="196"/>
      <c r="AE134" s="196"/>
    </row>
    <row r="135" ht="15" customHeight="1" spans="1:31" x14ac:dyDescent="0.25">
      <c r="A135" s="196" t="s">
        <v>264</v>
      </c>
      <c r="B135" s="310"/>
      <c r="C135" s="310"/>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row>
    <row r="136" ht="15" customHeight="1" spans="1:31" x14ac:dyDescent="0.25">
      <c r="A136" s="196" t="s">
        <v>265</v>
      </c>
      <c r="B136" s="310"/>
      <c r="C136" s="310"/>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c r="AA136" s="196"/>
      <c r="AB136" s="196"/>
      <c r="AC136" s="196"/>
      <c r="AD136" s="196"/>
      <c r="AE136" s="196"/>
    </row>
    <row r="137" ht="15" customHeight="1" spans="1:31" x14ac:dyDescent="0.25">
      <c r="A137" s="196" t="s">
        <v>266</v>
      </c>
      <c r="B137" s="310"/>
      <c r="C137" s="310"/>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c r="AA137" s="196"/>
      <c r="AB137" s="196"/>
      <c r="AC137" s="196"/>
      <c r="AD137" s="196"/>
      <c r="AE137" s="196"/>
    </row>
    <row r="138" ht="15" customHeight="1" spans="1:31" x14ac:dyDescent="0.25">
      <c r="A138" s="196" t="s">
        <v>267</v>
      </c>
      <c r="B138" s="310"/>
      <c r="C138" s="310"/>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c r="AA138" s="196"/>
      <c r="AB138" s="196"/>
      <c r="AC138" s="196"/>
      <c r="AD138" s="196"/>
      <c r="AE138" s="196"/>
    </row>
    <row r="139" ht="15" customHeight="1" spans="1:31" x14ac:dyDescent="0.25">
      <c r="A139" s="196" t="s">
        <v>268</v>
      </c>
      <c r="B139" s="310"/>
      <c r="C139" s="310"/>
      <c r="D139" s="196"/>
      <c r="E139" s="196"/>
      <c r="F139" s="196"/>
      <c r="G139" s="196"/>
      <c r="I139" s="314"/>
      <c r="J139" s="315" t="s">
        <v>269</v>
      </c>
      <c r="K139" s="314"/>
      <c r="L139" s="314"/>
      <c r="M139" s="314"/>
      <c r="N139" s="314"/>
      <c r="O139" s="314"/>
      <c r="P139" s="314"/>
      <c r="Q139" s="314"/>
      <c r="R139" s="314"/>
      <c r="S139" s="314"/>
      <c r="T139" s="314"/>
      <c r="U139" s="196"/>
      <c r="V139" s="196"/>
      <c r="W139" s="196"/>
      <c r="X139" s="196"/>
      <c r="Y139" s="196"/>
      <c r="Z139" s="196"/>
      <c r="AA139" s="196"/>
      <c r="AB139" s="196"/>
      <c r="AC139" s="196"/>
      <c r="AD139" s="196"/>
      <c r="AE139" s="196"/>
    </row>
    <row r="140" ht="6" customHeight="1" spans="1:31" x14ac:dyDescent="0.25">
      <c r="A140" s="312"/>
      <c r="B140" s="310"/>
      <c r="C140" s="310"/>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c r="AA140" s="196"/>
      <c r="AB140" s="196"/>
      <c r="AC140" s="196"/>
      <c r="AD140" s="196"/>
      <c r="AE140" s="196"/>
    </row>
    <row r="141" ht="15" customHeight="1" spans="1:31" x14ac:dyDescent="0.25">
      <c r="A141" s="196" t="s">
        <v>270</v>
      </c>
      <c r="B141" s="310"/>
      <c r="C141" s="310"/>
      <c r="D141" s="196"/>
      <c r="E141" s="196"/>
      <c r="F141" s="196"/>
      <c r="G141" s="196"/>
      <c r="H141" s="196"/>
      <c r="I141" s="196"/>
      <c r="J141" s="313"/>
      <c r="K141" s="196"/>
      <c r="L141" s="196"/>
      <c r="M141" s="196"/>
      <c r="N141" s="196"/>
      <c r="O141" s="196"/>
      <c r="P141" s="196"/>
      <c r="Q141" s="196"/>
      <c r="R141" s="196"/>
      <c r="S141" s="196"/>
      <c r="T141" s="196"/>
      <c r="U141" s="196"/>
      <c r="V141" s="196"/>
      <c r="W141" s="196"/>
      <c r="X141" s="196"/>
      <c r="Y141" s="196"/>
      <c r="Z141" s="196"/>
      <c r="AA141" s="196"/>
      <c r="AB141" s="196"/>
      <c r="AC141" s="196"/>
      <c r="AD141" s="196"/>
      <c r="AE141" s="196"/>
    </row>
    <row r="142" ht="15" customHeight="1" spans="1:31" x14ac:dyDescent="0.25">
      <c r="A142" s="196" t="s">
        <v>271</v>
      </c>
      <c r="B142" s="310"/>
      <c r="C142" s="310"/>
      <c r="D142" s="196"/>
      <c r="E142" s="196"/>
      <c r="G142" s="316"/>
      <c r="H142" s="316"/>
      <c r="I142" s="316"/>
      <c r="J142" s="314"/>
      <c r="K142" s="196"/>
      <c r="L142" s="196"/>
      <c r="M142" s="196"/>
      <c r="N142" s="196"/>
      <c r="O142" s="196"/>
      <c r="P142" s="311"/>
      <c r="Q142" s="137"/>
      <c r="R142" s="137"/>
      <c r="S142" s="137"/>
      <c r="T142" s="196"/>
      <c r="U142" s="196"/>
      <c r="V142" s="196"/>
      <c r="W142" s="196"/>
      <c r="X142" s="196"/>
      <c r="Y142" s="196"/>
      <c r="Z142" s="196"/>
      <c r="AA142" s="196"/>
      <c r="AB142" s="196"/>
      <c r="AC142" s="196"/>
      <c r="AD142" s="196"/>
      <c r="AE142" s="196"/>
    </row>
    <row r="143" ht="15" customHeight="1" spans="1:31" x14ac:dyDescent="0.25">
      <c r="A143" s="196" t="s">
        <v>272</v>
      </c>
      <c r="B143" s="310"/>
      <c r="C143" s="310"/>
      <c r="D143" s="196"/>
      <c r="E143" s="196"/>
      <c r="F143" s="196"/>
      <c r="G143" s="317"/>
      <c r="H143" s="317"/>
      <c r="I143" s="317"/>
      <c r="J143" s="317"/>
      <c r="K143" s="317"/>
      <c r="L143" s="317"/>
      <c r="M143" s="317"/>
      <c r="N143" s="317"/>
      <c r="O143" s="317"/>
      <c r="P143" s="317"/>
      <c r="Q143" s="317"/>
      <c r="R143" s="317"/>
      <c r="S143" s="317"/>
      <c r="T143" s="317"/>
      <c r="U143" s="204"/>
      <c r="V143" s="204"/>
      <c r="W143" s="204"/>
      <c r="X143" s="196"/>
      <c r="Y143" s="196"/>
      <c r="Z143" s="196"/>
      <c r="AA143" s="196"/>
      <c r="AB143" s="196"/>
      <c r="AC143" s="196"/>
      <c r="AD143" s="196"/>
      <c r="AE143" s="196"/>
    </row>
    <row r="144" ht="15" customHeight="1" spans="1:31" x14ac:dyDescent="0.25">
      <c r="A144" s="196" t="s">
        <v>273</v>
      </c>
      <c r="B144" s="310"/>
      <c r="C144" s="310"/>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c r="AB144" s="196"/>
      <c r="AC144" s="196"/>
      <c r="AD144" s="196"/>
      <c r="AE144" s="196"/>
    </row>
    <row r="145" ht="15" customHeight="1" spans="1:31" x14ac:dyDescent="0.25">
      <c r="A145" s="196" t="s">
        <v>274</v>
      </c>
      <c r="B145" s="310"/>
      <c r="C145" s="310"/>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row>
    <row r="146" ht="15" customHeight="1" spans="1:31" x14ac:dyDescent="0.25">
      <c r="A146" s="196" t="s">
        <v>275</v>
      </c>
      <c r="B146" s="310"/>
      <c r="C146" s="310"/>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c r="AB146" s="196"/>
      <c r="AC146" s="196"/>
      <c r="AD146" s="196"/>
      <c r="AE146" s="196"/>
    </row>
    <row r="147" ht="15" customHeight="1" spans="1:31" x14ac:dyDescent="0.25">
      <c r="A147" s="196" t="s">
        <v>276</v>
      </c>
      <c r="B147" s="310"/>
      <c r="C147" s="310"/>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c r="AD147" s="196"/>
      <c r="AE147" s="196"/>
    </row>
    <row r="148" ht="9.75" customHeight="1" spans="1:31" x14ac:dyDescent="0.25">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c r="AB148" s="196"/>
      <c r="AC148" s="196"/>
      <c r="AD148" s="196"/>
      <c r="AE148" s="196"/>
    </row>
    <row r="149" ht="9.75" customHeight="1" spans="1:31" x14ac:dyDescent="0.25">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row>
    <row r="150" ht="9.75" customHeight="1" spans="1:31" x14ac:dyDescent="0.25">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row>
    <row r="151" ht="9.75" customHeight="1" spans="1:31" x14ac:dyDescent="0.25">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c r="AE151" s="196"/>
    </row>
    <row r="152" ht="9.75" customHeight="1" spans="1:31" x14ac:dyDescent="0.25">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c r="AE152" s="196"/>
    </row>
    <row r="153" ht="15" customHeight="1" spans="1:31" x14ac:dyDescent="0.25">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row>
    <row r="154" ht="15" customHeight="1" spans="1:31" x14ac:dyDescent="0.25">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c r="AE154" s="196"/>
    </row>
    <row r="155" ht="17.25" customHeight="1" x14ac:dyDescent="0.25"/>
    <row r="156" ht="17.25" customHeight="1" spans="3:17" x14ac:dyDescent="0.25">
      <c r="C156" s="169" t="s">
        <v>277</v>
      </c>
      <c r="D156" s="137"/>
      <c r="E156" s="137"/>
      <c r="F156" s="137"/>
      <c r="G156" s="137"/>
      <c r="H156" s="137"/>
      <c r="I156" s="137"/>
      <c r="J156" s="137"/>
      <c r="K156" s="137"/>
      <c r="L156" s="137"/>
      <c r="M156" s="137"/>
      <c r="N156" s="137"/>
      <c r="O156" s="137"/>
      <c r="P156" s="137"/>
      <c r="Q156" s="137"/>
    </row>
    <row r="157" ht="24.75" customHeight="1" spans="3:17" x14ac:dyDescent="0.25">
      <c r="C157" s="137"/>
      <c r="D157" s="137"/>
      <c r="E157" s="137"/>
      <c r="F157" s="137"/>
      <c r="G157" s="137"/>
      <c r="H157" s="137"/>
      <c r="I157" s="137"/>
      <c r="J157" s="137"/>
      <c r="K157" s="137"/>
      <c r="L157" s="137"/>
      <c r="M157" s="137"/>
      <c r="N157" s="137"/>
      <c r="O157" s="137"/>
      <c r="P157" s="137"/>
      <c r="Q157" s="137"/>
    </row>
    <row r="158" ht="20.25" customHeight="1" spans="3:11" x14ac:dyDescent="0.25">
      <c r="C158" s="318"/>
      <c r="D158" s="318"/>
      <c r="E158" s="318"/>
      <c r="F158" s="318"/>
      <c r="G158" s="318"/>
      <c r="H158" s="318"/>
      <c r="I158" s="318"/>
      <c r="J158" s="318"/>
      <c r="K158" s="318"/>
    </row>
    <row r="159" ht="20.25" customHeight="1" spans="1:2" x14ac:dyDescent="0.25">
      <c r="A159" s="312" t="s">
        <v>278</v>
      </c>
      <c r="B159" s="312"/>
    </row>
    <row r="160" ht="20.25" customHeight="1" spans="1:1" x14ac:dyDescent="0.25">
      <c r="A160" s="137" t="s">
        <v>279</v>
      </c>
    </row>
    <row r="161" ht="20.25" customHeight="1" spans="1:1" x14ac:dyDescent="0.25">
      <c r="A161" s="137" t="s">
        <v>280</v>
      </c>
    </row>
    <row r="162" ht="20.25" customHeight="1" spans="1:1" x14ac:dyDescent="0.25">
      <c r="A162" s="137" t="s">
        <v>281</v>
      </c>
    </row>
    <row r="163" ht="20.25" customHeight="1" spans="1:1" x14ac:dyDescent="0.25">
      <c r="A163" s="137" t="s">
        <v>282</v>
      </c>
    </row>
    <row r="164" ht="20.25" customHeight="1" spans="1:1" x14ac:dyDescent="0.25">
      <c r="A164" s="137" t="s">
        <v>283</v>
      </c>
    </row>
    <row r="165" ht="20.25" customHeight="1" spans="1:1" x14ac:dyDescent="0.25">
      <c r="A165" s="137" t="s">
        <v>284</v>
      </c>
    </row>
    <row r="166" ht="20.25" customHeight="1" spans="1:1" x14ac:dyDescent="0.25">
      <c r="A166" s="137" t="s">
        <v>285</v>
      </c>
    </row>
    <row r="167" ht="20.25" customHeight="1" spans="1:1" x14ac:dyDescent="0.25">
      <c r="A167" s="137" t="s">
        <v>286</v>
      </c>
    </row>
    <row r="168" ht="20.25" customHeight="1" spans="1:1" x14ac:dyDescent="0.25">
      <c r="A168" s="137" t="s">
        <v>287</v>
      </c>
    </row>
    <row r="169" ht="20.25" customHeight="1" spans="1:2" x14ac:dyDescent="0.25">
      <c r="A169" s="312" t="s">
        <v>288</v>
      </c>
      <c r="B169" s="312"/>
    </row>
    <row r="170" ht="20.25" customHeight="1" spans="1:1" x14ac:dyDescent="0.25">
      <c r="A170" s="137" t="s">
        <v>289</v>
      </c>
    </row>
    <row r="171" ht="20.25" customHeight="1" spans="1:1" x14ac:dyDescent="0.25">
      <c r="A171" s="137" t="s">
        <v>290</v>
      </c>
    </row>
    <row r="172" ht="20.25" customHeight="1" spans="1:1" x14ac:dyDescent="0.25">
      <c r="A172" s="137" t="s">
        <v>291</v>
      </c>
    </row>
    <row r="173" ht="20.25" customHeight="1" spans="1:1" x14ac:dyDescent="0.25">
      <c r="A173" s="137" t="s">
        <v>292</v>
      </c>
    </row>
    <row r="174" ht="20.25" customHeight="1" spans="1:1" x14ac:dyDescent="0.25">
      <c r="A174" s="137" t="s">
        <v>293</v>
      </c>
    </row>
    <row r="175" ht="20.25" customHeight="1" spans="1:1" x14ac:dyDescent="0.25">
      <c r="A175" s="137" t="s">
        <v>294</v>
      </c>
    </row>
    <row r="176" ht="20.25" customHeight="1" spans="1:2" x14ac:dyDescent="0.25">
      <c r="A176" s="312" t="s">
        <v>295</v>
      </c>
      <c r="B176" s="312"/>
    </row>
    <row r="177" ht="20.25" customHeight="1" spans="1:2" x14ac:dyDescent="0.25">
      <c r="A177" s="137" t="s">
        <v>296</v>
      </c>
      <c r="B177" s="312"/>
    </row>
    <row r="178" ht="20.25" customHeight="1" spans="1:2" x14ac:dyDescent="0.25">
      <c r="A178" s="137" t="s">
        <v>297</v>
      </c>
      <c r="B178" s="312"/>
    </row>
    <row r="179" ht="20.25" customHeight="1" spans="1:2" x14ac:dyDescent="0.25">
      <c r="A179" s="137" t="s">
        <v>298</v>
      </c>
      <c r="B179" s="312"/>
    </row>
    <row r="180" ht="20.25" customHeight="1" spans="1:2" x14ac:dyDescent="0.25">
      <c r="A180" s="137" t="s">
        <v>299</v>
      </c>
      <c r="B180" s="312"/>
    </row>
    <row r="181" ht="20.25" customHeight="1" spans="1:2" x14ac:dyDescent="0.25">
      <c r="A181" s="137" t="s">
        <v>300</v>
      </c>
      <c r="B181" s="312"/>
    </row>
    <row r="182" ht="20.25" customHeight="1" spans="1:1" x14ac:dyDescent="0.25">
      <c r="A182" s="137" t="s">
        <v>301</v>
      </c>
    </row>
    <row r="183" ht="20.25" customHeight="1" spans="1:1" x14ac:dyDescent="0.25">
      <c r="A183" s="312" t="s">
        <v>302</v>
      </c>
    </row>
    <row r="184" ht="20.25" customHeight="1" spans="1:1" x14ac:dyDescent="0.25">
      <c r="A184" s="137" t="s">
        <v>303</v>
      </c>
    </row>
    <row r="185" ht="20.25" customHeight="1" spans="1:1" x14ac:dyDescent="0.25">
      <c r="A185" s="137" t="s">
        <v>304</v>
      </c>
    </row>
    <row r="186" ht="20.25" customHeight="1" spans="1:1" x14ac:dyDescent="0.25">
      <c r="A186" s="137" t="s">
        <v>305</v>
      </c>
    </row>
    <row r="187" ht="20.25" customHeight="1" spans="1:1" x14ac:dyDescent="0.25">
      <c r="A187" s="137" t="s">
        <v>306</v>
      </c>
    </row>
    <row r="188" ht="20.25" customHeight="1" spans="1:1" x14ac:dyDescent="0.25">
      <c r="A188" s="137" t="s">
        <v>307</v>
      </c>
    </row>
    <row r="189" ht="20.25" customHeight="1" spans="1:1" x14ac:dyDescent="0.25">
      <c r="A189" s="137" t="s">
        <v>308</v>
      </c>
    </row>
    <row r="190" ht="20.25" customHeight="1" spans="1:1" x14ac:dyDescent="0.25">
      <c r="A190" s="137" t="s">
        <v>309</v>
      </c>
    </row>
    <row r="191" ht="20.25" customHeight="1" spans="1:1" x14ac:dyDescent="0.25">
      <c r="A191" s="137" t="s">
        <v>310</v>
      </c>
    </row>
    <row r="192" ht="20.25" customHeight="1" spans="1:1" x14ac:dyDescent="0.25">
      <c r="A192" s="137" t="s">
        <v>311</v>
      </c>
    </row>
    <row r="193" ht="20.25" customHeight="1" spans="1:1" x14ac:dyDescent="0.25">
      <c r="A193" s="137" t="s">
        <v>312</v>
      </c>
    </row>
    <row r="194" ht="20.25" customHeight="1" spans="1:1" x14ac:dyDescent="0.25">
      <c r="A194" s="137" t="s">
        <v>313</v>
      </c>
    </row>
    <row r="195" ht="20.25" customHeight="1" spans="1:2" x14ac:dyDescent="0.25">
      <c r="A195" s="312" t="s">
        <v>314</v>
      </c>
      <c r="B195" s="312"/>
    </row>
    <row r="196" ht="20.25" customHeight="1" spans="1:1" x14ac:dyDescent="0.25">
      <c r="A196" s="137" t="s">
        <v>315</v>
      </c>
    </row>
    <row r="197" ht="20.25" customHeight="1" spans="1:1" x14ac:dyDescent="0.25">
      <c r="A197" s="137" t="s">
        <v>316</v>
      </c>
    </row>
    <row r="198" ht="20.25" customHeight="1" spans="1:1" x14ac:dyDescent="0.25">
      <c r="A198" s="137" t="s">
        <v>317</v>
      </c>
    </row>
    <row r="199" ht="20.25" customHeight="1" spans="1:1" x14ac:dyDescent="0.25">
      <c r="A199" s="137" t="s">
        <v>318</v>
      </c>
    </row>
    <row r="200" ht="20.25" customHeight="1" spans="1:1" x14ac:dyDescent="0.25">
      <c r="A200" s="137" t="s">
        <v>319</v>
      </c>
    </row>
    <row r="201" ht="20.25" customHeight="1" spans="1:1" x14ac:dyDescent="0.25">
      <c r="A201" s="137" t="s">
        <v>320</v>
      </c>
    </row>
    <row r="202" ht="20.25" customHeight="1" spans="1:1" x14ac:dyDescent="0.25">
      <c r="A202" s="137" t="s">
        <v>321</v>
      </c>
    </row>
    <row r="203" ht="20.25" customHeight="1" spans="1:1" x14ac:dyDescent="0.25">
      <c r="A203" s="137" t="s">
        <v>322</v>
      </c>
    </row>
    <row r="204" ht="20.25" customHeight="1" spans="1:2" x14ac:dyDescent="0.25">
      <c r="A204" s="312" t="s">
        <v>323</v>
      </c>
      <c r="B204" s="312"/>
    </row>
    <row r="205" ht="20.25" customHeight="1" spans="1:1" x14ac:dyDescent="0.25">
      <c r="A205" s="137" t="s">
        <v>324</v>
      </c>
    </row>
    <row r="206" ht="20.25" customHeight="1" spans="1:1" x14ac:dyDescent="0.25">
      <c r="A206" s="137" t="s">
        <v>325</v>
      </c>
    </row>
    <row r="207" ht="20.25" customHeight="1" spans="1:1" x14ac:dyDescent="0.25">
      <c r="A207" s="137" t="s">
        <v>326</v>
      </c>
    </row>
    <row r="208" ht="20.25" customHeight="1" spans="1:2" x14ac:dyDescent="0.25">
      <c r="A208" s="312" t="s">
        <v>327</v>
      </c>
      <c r="B208" s="312"/>
    </row>
    <row r="209" ht="20.25" customHeight="1" spans="1:1" x14ac:dyDescent="0.25">
      <c r="A209" s="137" t="s">
        <v>328</v>
      </c>
    </row>
    <row r="210" ht="20.25" customHeight="1" spans="1:1" x14ac:dyDescent="0.25">
      <c r="A210" s="137" t="s">
        <v>329</v>
      </c>
    </row>
    <row r="211" ht="20.25" customHeight="1" spans="1:1" x14ac:dyDescent="0.25">
      <c r="A211" s="137" t="s">
        <v>330</v>
      </c>
    </row>
    <row r="212" ht="20.25" customHeight="1" spans="1:1" x14ac:dyDescent="0.25">
      <c r="A212" s="137" t="s">
        <v>331</v>
      </c>
    </row>
    <row r="213" ht="20.25" customHeight="1" spans="1:2" x14ac:dyDescent="0.25">
      <c r="A213" s="312" t="s">
        <v>332</v>
      </c>
      <c r="B213" s="312"/>
    </row>
    <row r="214" ht="20.25" customHeight="1" spans="1:1" x14ac:dyDescent="0.25">
      <c r="A214" s="137" t="s">
        <v>333</v>
      </c>
    </row>
    <row r="215" ht="20.25" customHeight="1" spans="1:1" x14ac:dyDescent="0.25">
      <c r="A215" s="137" t="s">
        <v>334</v>
      </c>
    </row>
    <row r="216" ht="20.25" customHeight="1" spans="1:1" x14ac:dyDescent="0.25">
      <c r="A216" s="137" t="s">
        <v>335</v>
      </c>
    </row>
    <row r="217" ht="20.25" customHeight="1" spans="1:1" x14ac:dyDescent="0.25">
      <c r="A217" s="137" t="s">
        <v>336</v>
      </c>
    </row>
    <row r="218" ht="20.25" customHeight="1" spans="1:1" x14ac:dyDescent="0.25">
      <c r="A218" s="137" t="s">
        <v>337</v>
      </c>
    </row>
    <row r="219" ht="20.25" customHeight="1" spans="1:1" x14ac:dyDescent="0.25">
      <c r="A219" s="137" t="s">
        <v>338</v>
      </c>
    </row>
    <row r="220" ht="20.25" customHeight="1" spans="1:1" x14ac:dyDescent="0.25">
      <c r="A220" s="312" t="s">
        <v>339</v>
      </c>
    </row>
    <row r="221" ht="20.25" customHeight="1" spans="1:1" x14ac:dyDescent="0.25">
      <c r="A221" s="137" t="s">
        <v>340</v>
      </c>
    </row>
    <row r="222" ht="20.25" customHeight="1" spans="1:1" x14ac:dyDescent="0.25">
      <c r="A222" s="137" t="s">
        <v>341</v>
      </c>
    </row>
    <row r="223" ht="20.25" customHeight="1" spans="1:1" x14ac:dyDescent="0.25">
      <c r="A223" s="137" t="s">
        <v>342</v>
      </c>
    </row>
    <row r="224" ht="20.25" customHeight="1" spans="1:1" x14ac:dyDescent="0.25">
      <c r="A224" s="137" t="s">
        <v>343</v>
      </c>
    </row>
    <row r="225" ht="20.25" customHeight="1" spans="1:1" x14ac:dyDescent="0.25">
      <c r="A225" s="312" t="s">
        <v>344</v>
      </c>
    </row>
    <row r="226" ht="20.25" customHeight="1" spans="1:1" x14ac:dyDescent="0.25">
      <c r="A226" s="137" t="s">
        <v>345</v>
      </c>
    </row>
    <row r="227" ht="20.25" customHeight="1" spans="1:1" x14ac:dyDescent="0.25">
      <c r="A227" s="137" t="s">
        <v>346</v>
      </c>
    </row>
    <row r="228" ht="20.25" customHeight="1" spans="1:1" x14ac:dyDescent="0.25">
      <c r="A228" s="137" t="s">
        <v>347</v>
      </c>
    </row>
    <row r="229" ht="20.25" customHeight="1" spans="1:1" x14ac:dyDescent="0.25">
      <c r="A229" s="137" t="s">
        <v>348</v>
      </c>
    </row>
    <row r="230" ht="20.25" customHeight="1" spans="1:1" x14ac:dyDescent="0.25">
      <c r="A230" s="137" t="s">
        <v>349</v>
      </c>
    </row>
    <row r="231" ht="20.25" customHeight="1" spans="1:1" x14ac:dyDescent="0.25">
      <c r="A231" s="137" t="s">
        <v>350</v>
      </c>
    </row>
    <row r="232" ht="20.25" customHeight="1" spans="1:1" x14ac:dyDescent="0.25">
      <c r="A232" s="137" t="s">
        <v>351</v>
      </c>
    </row>
    <row r="233" ht="20.25" customHeight="1" spans="1:1" x14ac:dyDescent="0.25">
      <c r="A233" s="137" t="s">
        <v>352</v>
      </c>
    </row>
    <row r="234" ht="20.25" customHeight="1" spans="1:1" x14ac:dyDescent="0.25">
      <c r="A234" s="137" t="s">
        <v>353</v>
      </c>
    </row>
    <row r="235" ht="20.25" customHeight="1" spans="1:1" x14ac:dyDescent="0.25">
      <c r="A235" s="137" t="s">
        <v>354</v>
      </c>
    </row>
    <row r="236" ht="20.25" customHeight="1" spans="1:1" x14ac:dyDescent="0.25">
      <c r="A236" s="137" t="s">
        <v>355</v>
      </c>
    </row>
    <row r="237" ht="20.25" customHeight="1" spans="1:1" x14ac:dyDescent="0.25">
      <c r="A237" s="137" t="s">
        <v>356</v>
      </c>
    </row>
    <row r="238" ht="20.25" customHeight="1" spans="1:1" x14ac:dyDescent="0.25">
      <c r="A238" s="137" t="s">
        <v>357</v>
      </c>
    </row>
    <row r="239" ht="20.25" customHeight="1" spans="1:1" x14ac:dyDescent="0.25">
      <c r="A239" s="137" t="s">
        <v>358</v>
      </c>
    </row>
    <row r="240" ht="20.25" customHeight="1" spans="1:1" x14ac:dyDescent="0.25">
      <c r="A240" s="137" t="s">
        <v>359</v>
      </c>
    </row>
    <row r="241" ht="20.25" customHeight="1" spans="1:1" x14ac:dyDescent="0.25">
      <c r="A241" s="137" t="s">
        <v>360</v>
      </c>
    </row>
    <row r="242" ht="20.25" customHeight="1" spans="1:1" x14ac:dyDescent="0.25">
      <c r="A242" s="137" t="s">
        <v>361</v>
      </c>
    </row>
    <row r="243" ht="20.25" customHeight="1" spans="1:1" x14ac:dyDescent="0.25">
      <c r="A243" s="312" t="s">
        <v>362</v>
      </c>
    </row>
    <row r="244" ht="20.25" customHeight="1" spans="1:1" x14ac:dyDescent="0.25">
      <c r="A244" s="137" t="s">
        <v>363</v>
      </c>
    </row>
    <row r="245" ht="20.25" customHeight="1" spans="1:1" x14ac:dyDescent="0.25">
      <c r="A245" s="137" t="s">
        <v>364</v>
      </c>
    </row>
    <row r="246" ht="20.25" customHeight="1" spans="1:1" x14ac:dyDescent="0.25">
      <c r="A246" s="137" t="s">
        <v>365</v>
      </c>
    </row>
    <row r="247" ht="20.25" customHeight="1" spans="1:1" x14ac:dyDescent="0.25">
      <c r="A247" s="137" t="s">
        <v>366</v>
      </c>
    </row>
    <row r="248" ht="20.25" customHeight="1" spans="1:1" x14ac:dyDescent="0.25">
      <c r="A248" s="137" t="s">
        <v>367</v>
      </c>
    </row>
    <row r="249" ht="20.25" customHeight="1" spans="1:1" x14ac:dyDescent="0.25">
      <c r="A249" s="137" t="s">
        <v>368</v>
      </c>
    </row>
    <row r="250" ht="20.25" customHeight="1" spans="1:1" x14ac:dyDescent="0.25">
      <c r="A250" s="137" t="s">
        <v>369</v>
      </c>
    </row>
    <row r="251" ht="20.25" customHeight="1" spans="1:1" x14ac:dyDescent="0.25">
      <c r="A251" s="137" t="s">
        <v>370</v>
      </c>
    </row>
    <row r="252" ht="20.25" customHeight="1" spans="1:1" x14ac:dyDescent="0.25">
      <c r="A252" s="137" t="s">
        <v>371</v>
      </c>
    </row>
    <row r="253" ht="20.25" customHeight="1" spans="1:1" x14ac:dyDescent="0.25">
      <c r="A253" s="137" t="s">
        <v>372</v>
      </c>
    </row>
    <row r="254" ht="20.25" customHeight="1" spans="1:1" x14ac:dyDescent="0.25">
      <c r="A254" s="137" t="s">
        <v>373</v>
      </c>
    </row>
    <row r="255" ht="20.25" customHeight="1" spans="1:1" x14ac:dyDescent="0.25">
      <c r="A255" s="137" t="s">
        <v>374</v>
      </c>
    </row>
    <row r="256" ht="20.25" customHeight="1" spans="1:1" x14ac:dyDescent="0.25">
      <c r="A256" s="137" t="s">
        <v>375</v>
      </c>
    </row>
    <row r="257" ht="20.25" customHeight="1" spans="1:1" x14ac:dyDescent="0.25">
      <c r="A257" s="137" t="s">
        <v>376</v>
      </c>
    </row>
    <row r="258" ht="20.25" customHeight="1" spans="1:1" x14ac:dyDescent="0.25">
      <c r="A258" s="137" t="s">
        <v>377</v>
      </c>
    </row>
    <row r="259" ht="20.25" customHeight="1" spans="1:1" x14ac:dyDescent="0.25">
      <c r="A259" s="137" t="s">
        <v>378</v>
      </c>
    </row>
    <row r="260" ht="20.25" customHeight="1" spans="1:1" x14ac:dyDescent="0.25">
      <c r="A260" s="137" t="s">
        <v>379</v>
      </c>
    </row>
    <row r="261" ht="20.25" customHeight="1" spans="1:1" x14ac:dyDescent="0.25">
      <c r="A261" s="137" t="s">
        <v>380</v>
      </c>
    </row>
    <row r="262" ht="20.25" customHeight="1" spans="1:1" x14ac:dyDescent="0.25">
      <c r="A262" s="137" t="s">
        <v>381</v>
      </c>
    </row>
    <row r="263" ht="20.25" customHeight="1" spans="1:1" x14ac:dyDescent="0.25">
      <c r="A263" s="137" t="s">
        <v>382</v>
      </c>
    </row>
    <row r="264" ht="20.25" customHeight="1" spans="1:1" x14ac:dyDescent="0.25">
      <c r="A264" s="312" t="s">
        <v>383</v>
      </c>
    </row>
    <row r="265" ht="20.25" customHeight="1" spans="1:24" x14ac:dyDescent="0.25">
      <c r="A265" s="137" t="s">
        <v>384</v>
      </c>
      <c r="X265" s="319"/>
    </row>
    <row r="266" ht="20.25" customHeight="1" spans="1:24" x14ac:dyDescent="0.25">
      <c r="A266" s="137" t="s">
        <v>385</v>
      </c>
      <c r="X266" s="319"/>
    </row>
    <row r="267" ht="20.25" customHeight="1" spans="1:24" x14ac:dyDescent="0.25">
      <c r="A267" s="137" t="s">
        <v>386</v>
      </c>
      <c r="X267" s="319"/>
    </row>
    <row r="268" ht="20.25" customHeight="1" spans="1:24" x14ac:dyDescent="0.25">
      <c r="A268" s="137" t="s">
        <v>387</v>
      </c>
      <c r="X268" s="319"/>
    </row>
    <row r="269" ht="20.25" customHeight="1" spans="1:24" x14ac:dyDescent="0.25">
      <c r="A269" s="137" t="s">
        <v>388</v>
      </c>
      <c r="X269" s="319"/>
    </row>
    <row r="270" ht="20.25" customHeight="1" spans="1:24" x14ac:dyDescent="0.25">
      <c r="A270" s="137" t="s">
        <v>389</v>
      </c>
      <c r="X270" s="319"/>
    </row>
    <row r="271" ht="20.25" customHeight="1" spans="1:24" x14ac:dyDescent="0.25">
      <c r="A271" s="137" t="s">
        <v>390</v>
      </c>
      <c r="X271" s="319"/>
    </row>
    <row r="272" ht="20.25" customHeight="1" spans="1:24" x14ac:dyDescent="0.25">
      <c r="A272" s="137" t="s">
        <v>391</v>
      </c>
      <c r="X272" s="319"/>
    </row>
    <row r="273" ht="20.25" customHeight="1" spans="1:24" x14ac:dyDescent="0.25">
      <c r="A273" s="137" t="s">
        <v>392</v>
      </c>
      <c r="X273" s="319"/>
    </row>
    <row r="274" ht="20.25" customHeight="1" spans="1:24" x14ac:dyDescent="0.25">
      <c r="A274" s="137" t="s">
        <v>393</v>
      </c>
      <c r="X274" s="319"/>
    </row>
    <row r="275" ht="20.25" customHeight="1" spans="1:24" x14ac:dyDescent="0.25">
      <c r="A275" s="137" t="s">
        <v>394</v>
      </c>
      <c r="X275" s="319"/>
    </row>
    <row r="276" ht="20.25" customHeight="1" spans="1:24" x14ac:dyDescent="0.25">
      <c r="A276" s="137" t="s">
        <v>380</v>
      </c>
      <c r="X276" s="319"/>
    </row>
    <row r="277" ht="20.25" customHeight="1" spans="1:24" x14ac:dyDescent="0.25">
      <c r="A277" s="137" t="s">
        <v>395</v>
      </c>
      <c r="X277" s="319"/>
    </row>
    <row r="278" ht="20.25" customHeight="1" spans="1:24" x14ac:dyDescent="0.25">
      <c r="A278" s="137" t="s">
        <v>396</v>
      </c>
      <c r="X278" s="319"/>
    </row>
    <row r="279" ht="20.25" customHeight="1" spans="1:24" x14ac:dyDescent="0.25">
      <c r="A279" s="312" t="s">
        <v>397</v>
      </c>
      <c r="X279" s="319"/>
    </row>
    <row r="280" ht="20.25" customHeight="1" spans="1:24" x14ac:dyDescent="0.25">
      <c r="A280" s="137" t="s">
        <v>398</v>
      </c>
      <c r="X280" s="319"/>
    </row>
    <row r="281" ht="20.25" customHeight="1" spans="1:24" x14ac:dyDescent="0.25">
      <c r="A281" s="137" t="s">
        <v>399</v>
      </c>
      <c r="X281" s="319"/>
    </row>
    <row r="282" ht="20.25" customHeight="1" spans="1:1" x14ac:dyDescent="0.25">
      <c r="A282" s="137" t="s">
        <v>400</v>
      </c>
    </row>
    <row r="283" ht="20.25" customHeight="1" spans="1:1" x14ac:dyDescent="0.25">
      <c r="A283" s="137" t="s">
        <v>401</v>
      </c>
    </row>
    <row r="284" ht="20.25" customHeight="1" spans="1:1" x14ac:dyDescent="0.25">
      <c r="A284" s="137" t="s">
        <v>402</v>
      </c>
    </row>
    <row r="285" ht="20.25" customHeight="1" spans="1:1" x14ac:dyDescent="0.25">
      <c r="A285" s="137" t="s">
        <v>403</v>
      </c>
    </row>
    <row r="286" ht="20.25" customHeight="1" spans="1:2" x14ac:dyDescent="0.25">
      <c r="A286" s="312" t="s">
        <v>404</v>
      </c>
      <c r="B286" s="312"/>
    </row>
    <row r="287" ht="20.25" customHeight="1" spans="1:1" x14ac:dyDescent="0.25">
      <c r="A287" s="137" t="s">
        <v>405</v>
      </c>
    </row>
    <row r="288" ht="20.25" customHeight="1" spans="1:1" x14ac:dyDescent="0.25">
      <c r="A288" s="137" t="s">
        <v>406</v>
      </c>
    </row>
    <row r="289" ht="20.25" customHeight="1" spans="1:1" x14ac:dyDescent="0.25">
      <c r="A289" s="137" t="s">
        <v>407</v>
      </c>
    </row>
    <row r="290" ht="20.25" customHeight="1" spans="1:1" x14ac:dyDescent="0.25">
      <c r="A290" s="137" t="s">
        <v>408</v>
      </c>
    </row>
    <row r="291" ht="20.25" customHeight="1" spans="1:1" x14ac:dyDescent="0.25">
      <c r="A291" s="137" t="s">
        <v>409</v>
      </c>
    </row>
    <row r="292" ht="20.25" customHeight="1" spans="1:1" x14ac:dyDescent="0.25">
      <c r="A292" s="137" t="s">
        <v>410</v>
      </c>
    </row>
    <row r="293" ht="20.25" customHeight="1" spans="1:1" x14ac:dyDescent="0.25">
      <c r="A293" s="137" t="s">
        <v>411</v>
      </c>
    </row>
    <row r="294" ht="20.25" customHeight="1" spans="1:1" x14ac:dyDescent="0.25">
      <c r="A294" s="137" t="s">
        <v>412</v>
      </c>
    </row>
    <row r="295" ht="20.25" customHeight="1" spans="1:1" x14ac:dyDescent="0.25">
      <c r="A295" s="137" t="s">
        <v>413</v>
      </c>
    </row>
    <row r="296" ht="20.25" customHeight="1" spans="1:1" x14ac:dyDescent="0.25">
      <c r="A296" s="137" t="s">
        <v>414</v>
      </c>
    </row>
    <row r="297" ht="20.25" customHeight="1" spans="1:1" x14ac:dyDescent="0.25">
      <c r="A297" s="137" t="s">
        <v>415</v>
      </c>
    </row>
    <row r="298" ht="20.25" customHeight="1" spans="1:1" x14ac:dyDescent="0.25">
      <c r="A298" s="137" t="s">
        <v>416</v>
      </c>
    </row>
    <row r="299" ht="20.25" customHeight="1" spans="1:2" x14ac:dyDescent="0.25">
      <c r="A299" s="312" t="s">
        <v>417</v>
      </c>
      <c r="B299" s="312"/>
    </row>
    <row r="300" ht="20.25" customHeight="1" spans="1:1" x14ac:dyDescent="0.25">
      <c r="A300" s="137" t="s">
        <v>418</v>
      </c>
    </row>
    <row r="301" ht="20.25" customHeight="1" spans="1:1" x14ac:dyDescent="0.25">
      <c r="A301" s="137" t="s">
        <v>419</v>
      </c>
    </row>
    <row r="302" ht="20.25" customHeight="1" spans="1:1" x14ac:dyDescent="0.25">
      <c r="A302" s="137" t="s">
        <v>420</v>
      </c>
    </row>
    <row r="303" ht="20.25" customHeight="1" spans="1:1" x14ac:dyDescent="0.25">
      <c r="A303" s="137" t="s">
        <v>421</v>
      </c>
    </row>
    <row r="304" ht="20.25" customHeight="1" spans="1:1" x14ac:dyDescent="0.25">
      <c r="A304" s="137" t="s">
        <v>422</v>
      </c>
    </row>
    <row r="305" ht="20.25" customHeight="1" spans="1:1" x14ac:dyDescent="0.25">
      <c r="A305" s="137" t="s">
        <v>423</v>
      </c>
    </row>
    <row r="306" ht="20.25" customHeight="1" spans="1:1" x14ac:dyDescent="0.25">
      <c r="A306" s="137" t="s">
        <v>424</v>
      </c>
    </row>
    <row r="307" ht="20.25" customHeight="1" spans="1:1" x14ac:dyDescent="0.25">
      <c r="A307" s="137" t="s">
        <v>425</v>
      </c>
    </row>
    <row r="308" ht="20.25" customHeight="1" spans="1:1" x14ac:dyDescent="0.25">
      <c r="A308" s="137" t="s">
        <v>426</v>
      </c>
    </row>
    <row r="309" ht="20.25" customHeight="1" spans="1:1" x14ac:dyDescent="0.25">
      <c r="A309" s="137" t="s">
        <v>427</v>
      </c>
    </row>
    <row r="310" ht="20.25" customHeight="1" spans="1:1" x14ac:dyDescent="0.25">
      <c r="A310" s="137" t="s">
        <v>428</v>
      </c>
    </row>
    <row r="311" ht="20.25" customHeight="1" spans="1:1" x14ac:dyDescent="0.25">
      <c r="A311" s="137" t="s">
        <v>429</v>
      </c>
    </row>
    <row r="312" ht="20.25" customHeight="1" spans="1:2" x14ac:dyDescent="0.25">
      <c r="A312" s="312" t="s">
        <v>430</v>
      </c>
      <c r="B312" s="312"/>
    </row>
    <row r="313" ht="20.25" customHeight="1" spans="1:1" x14ac:dyDescent="0.25">
      <c r="A313" s="137" t="s">
        <v>431</v>
      </c>
    </row>
    <row r="314" ht="20.25" customHeight="1" spans="1:1" x14ac:dyDescent="0.25">
      <c r="A314" s="137" t="s">
        <v>432</v>
      </c>
    </row>
    <row r="315" ht="20.25" customHeight="1" spans="1:1" x14ac:dyDescent="0.25">
      <c r="A315" s="137" t="s">
        <v>433</v>
      </c>
    </row>
    <row r="316" ht="20.25" customHeight="1" spans="1:1" x14ac:dyDescent="0.25">
      <c r="A316" s="137" t="s">
        <v>434</v>
      </c>
    </row>
    <row r="317" ht="20.25" customHeight="1" spans="1:1" x14ac:dyDescent="0.25">
      <c r="A317" s="137" t="s">
        <v>435</v>
      </c>
    </row>
    <row r="318" ht="20.25" customHeight="1" spans="1:1" x14ac:dyDescent="0.25">
      <c r="A318" s="137" t="s">
        <v>436</v>
      </c>
    </row>
    <row r="319" ht="20.25" customHeight="1" spans="1:1" x14ac:dyDescent="0.25">
      <c r="A319" s="137" t="s">
        <v>437</v>
      </c>
    </row>
    <row r="320" ht="20.25" customHeight="1" spans="1:1" x14ac:dyDescent="0.25">
      <c r="A320" s="137" t="s">
        <v>438</v>
      </c>
    </row>
    <row r="321" ht="20.25" customHeight="1" spans="1:2" x14ac:dyDescent="0.25">
      <c r="A321" s="312" t="s">
        <v>439</v>
      </c>
      <c r="B321" s="320"/>
    </row>
    <row r="322" ht="20.25" customHeight="1" spans="1:1" x14ac:dyDescent="0.25">
      <c r="A322" s="137" t="s">
        <v>440</v>
      </c>
    </row>
    <row r="323" ht="20.25" customHeight="1" spans="1:1" x14ac:dyDescent="0.25">
      <c r="A323" s="137" t="s">
        <v>441</v>
      </c>
    </row>
    <row r="324" ht="20.25" customHeight="1" spans="1:1" x14ac:dyDescent="0.25">
      <c r="A324" s="137" t="s">
        <v>442</v>
      </c>
    </row>
    <row r="325" ht="20.25" customHeight="1" spans="1:1" x14ac:dyDescent="0.25">
      <c r="A325" s="137" t="s">
        <v>443</v>
      </c>
    </row>
    <row r="326" ht="20.25" customHeight="1" spans="1:1" x14ac:dyDescent="0.25">
      <c r="A326" s="137" t="s">
        <v>444</v>
      </c>
    </row>
    <row r="327" ht="20.25" customHeight="1" spans="1:1" x14ac:dyDescent="0.25">
      <c r="A327" s="137" t="s">
        <v>445</v>
      </c>
    </row>
    <row r="328" ht="20.25" customHeight="1" spans="1:2" x14ac:dyDescent="0.25">
      <c r="A328" s="312" t="s">
        <v>446</v>
      </c>
      <c r="B328" s="320"/>
    </row>
    <row r="329" ht="20.25" customHeight="1" spans="1:1" x14ac:dyDescent="0.25">
      <c r="A329" s="137" t="s">
        <v>447</v>
      </c>
    </row>
    <row r="330" ht="20.25" customHeight="1" spans="1:1" x14ac:dyDescent="0.25">
      <c r="A330" s="137" t="s">
        <v>448</v>
      </c>
    </row>
    <row r="331" ht="20.25" customHeight="1" spans="1:1" x14ac:dyDescent="0.25">
      <c r="A331" s="137" t="s">
        <v>449</v>
      </c>
    </row>
    <row r="332" ht="20.25" customHeight="1" spans="1:1" x14ac:dyDescent="0.25">
      <c r="A332" s="137" t="s">
        <v>450</v>
      </c>
    </row>
    <row r="333" ht="20.25" customHeight="1" spans="1:1" x14ac:dyDescent="0.25">
      <c r="A333" s="137" t="s">
        <v>451</v>
      </c>
    </row>
    <row r="334" ht="20.25" customHeight="1" spans="1:1" x14ac:dyDescent="0.25">
      <c r="A334" s="137" t="s">
        <v>452</v>
      </c>
    </row>
    <row r="335" ht="20.25" customHeight="1" spans="1:1" x14ac:dyDescent="0.25">
      <c r="A335" s="137" t="s">
        <v>453</v>
      </c>
    </row>
    <row r="336" ht="20.25" customHeight="1" spans="1:1" x14ac:dyDescent="0.25">
      <c r="A336" s="137" t="s">
        <v>454</v>
      </c>
    </row>
    <row r="337" ht="20.25" customHeight="1" spans="1:1" x14ac:dyDescent="0.25">
      <c r="A337" s="137" t="s">
        <v>455</v>
      </c>
    </row>
    <row r="338" ht="20.25" customHeight="1" spans="1:1" x14ac:dyDescent="0.25">
      <c r="A338" s="137" t="s">
        <v>456</v>
      </c>
    </row>
    <row r="339" ht="20.25" customHeight="1" spans="1:1" x14ac:dyDescent="0.25">
      <c r="A339" s="137" t="s">
        <v>457</v>
      </c>
    </row>
    <row r="340" ht="20.25" customHeight="1" spans="1:1" x14ac:dyDescent="0.25">
      <c r="A340" s="137" t="s">
        <v>458</v>
      </c>
    </row>
    <row r="341" ht="20.25" customHeight="1" spans="1:1" x14ac:dyDescent="0.25">
      <c r="A341" s="137" t="s">
        <v>459</v>
      </c>
    </row>
    <row r="342" ht="20.25" customHeight="1" spans="1:1" x14ac:dyDescent="0.25">
      <c r="A342" s="137" t="s">
        <v>460</v>
      </c>
    </row>
    <row r="343" ht="20.25" customHeight="1" spans="1:1" x14ac:dyDescent="0.25">
      <c r="A343" s="137" t="s">
        <v>461</v>
      </c>
    </row>
    <row r="344" ht="20.25" customHeight="1" spans="1:1" x14ac:dyDescent="0.25">
      <c r="A344" s="137" t="s">
        <v>462</v>
      </c>
    </row>
    <row r="345" ht="20.25" customHeight="1" spans="1:1" x14ac:dyDescent="0.25">
      <c r="A345" s="137" t="s">
        <v>463</v>
      </c>
    </row>
    <row r="346" ht="20.25" customHeight="1" spans="1:1" x14ac:dyDescent="0.25">
      <c r="A346" s="137" t="s">
        <v>464</v>
      </c>
    </row>
    <row r="347" ht="20.25" customHeight="1" spans="1:1" x14ac:dyDescent="0.25">
      <c r="A347" s="137" t="s">
        <v>465</v>
      </c>
    </row>
    <row r="348" ht="20.25" customHeight="1" spans="1:1" x14ac:dyDescent="0.25">
      <c r="A348" s="137" t="s">
        <v>466</v>
      </c>
    </row>
    <row r="349" ht="20.25" customHeight="1" spans="1:1" x14ac:dyDescent="0.25">
      <c r="A349" s="137" t="s">
        <v>467</v>
      </c>
    </row>
    <row r="350" ht="20.25" customHeight="1" spans="1:1" x14ac:dyDescent="0.25">
      <c r="A350" s="137" t="s">
        <v>468</v>
      </c>
    </row>
    <row r="351" ht="20.25" customHeight="1" spans="1:1" x14ac:dyDescent="0.25">
      <c r="A351" s="137" t="s">
        <v>469</v>
      </c>
    </row>
    <row r="352" ht="20.25" customHeight="1" spans="1:1" x14ac:dyDescent="0.25">
      <c r="A352" s="312" t="s">
        <v>470</v>
      </c>
    </row>
    <row r="353" ht="20.25" customHeight="1" spans="1:1" x14ac:dyDescent="0.25">
      <c r="A353" s="137" t="s">
        <v>471</v>
      </c>
    </row>
    <row r="354" ht="20.25" customHeight="1" spans="1:1" x14ac:dyDescent="0.25">
      <c r="A354" s="137" t="s">
        <v>472</v>
      </c>
    </row>
    <row r="355" ht="20.25" customHeight="1" spans="1:2" x14ac:dyDescent="0.25">
      <c r="A355" s="312" t="s">
        <v>473</v>
      </c>
      <c r="B355" s="320"/>
    </row>
    <row r="356" ht="20.25" customHeight="1" spans="1:1" x14ac:dyDescent="0.25">
      <c r="A356" s="137" t="s">
        <v>474</v>
      </c>
    </row>
    <row r="357" ht="20.25" customHeight="1" spans="1:1" x14ac:dyDescent="0.25">
      <c r="A357" s="137" t="s">
        <v>475</v>
      </c>
    </row>
    <row r="358" ht="20.25" customHeight="1" spans="1:1" x14ac:dyDescent="0.25">
      <c r="A358" s="137" t="s">
        <v>476</v>
      </c>
    </row>
    <row r="359" ht="20.25" customHeight="1" spans="1:1" x14ac:dyDescent="0.25">
      <c r="A359" s="137" t="s">
        <v>477</v>
      </c>
    </row>
    <row r="360" ht="20.25" customHeight="1" spans="1:1" x14ac:dyDescent="0.25">
      <c r="A360" s="137" t="s">
        <v>478</v>
      </c>
    </row>
    <row r="361" ht="20.25" customHeight="1" spans="1:1" x14ac:dyDescent="0.25">
      <c r="A361" s="137" t="s">
        <v>479</v>
      </c>
    </row>
    <row r="362" ht="20.25" customHeight="1" spans="1:1" x14ac:dyDescent="0.25">
      <c r="A362" s="137" t="s">
        <v>480</v>
      </c>
    </row>
    <row r="363" ht="20.25" customHeight="1" spans="1:1" x14ac:dyDescent="0.25">
      <c r="A363" s="137" t="s">
        <v>481</v>
      </c>
    </row>
    <row r="364" ht="20.25" customHeight="1" spans="1:1" x14ac:dyDescent="0.25">
      <c r="A364" s="137" t="s">
        <v>482</v>
      </c>
    </row>
    <row r="365" ht="20.25" customHeight="1" spans="1:1" x14ac:dyDescent="0.25">
      <c r="A365" s="137" t="s">
        <v>483</v>
      </c>
    </row>
    <row r="366" ht="20.25" customHeight="1" spans="1:1" x14ac:dyDescent="0.25">
      <c r="A366" s="137" t="s">
        <v>484</v>
      </c>
    </row>
    <row r="367" ht="20.25" customHeight="1" spans="1:1" x14ac:dyDescent="0.25">
      <c r="A367" s="137" t="s">
        <v>485</v>
      </c>
    </row>
    <row r="368" ht="20.25" customHeight="1" spans="1:1" x14ac:dyDescent="0.25">
      <c r="A368" s="137" t="s">
        <v>486</v>
      </c>
    </row>
    <row r="369" ht="20.25" customHeight="1" spans="1:1" x14ac:dyDescent="0.25">
      <c r="A369" s="137" t="s">
        <v>487</v>
      </c>
    </row>
    <row r="370" ht="20.25" customHeight="1" spans="1:1" x14ac:dyDescent="0.25">
      <c r="A370" s="137" t="s">
        <v>488</v>
      </c>
    </row>
    <row r="371" ht="20.25" customHeight="1" spans="1:1" x14ac:dyDescent="0.25">
      <c r="A371" s="137" t="s">
        <v>489</v>
      </c>
    </row>
    <row r="372" ht="20.25" customHeight="1" spans="1:1" x14ac:dyDescent="0.25">
      <c r="A372" s="137" t="s">
        <v>490</v>
      </c>
    </row>
    <row r="373" ht="20.25" customHeight="1" spans="1:1" x14ac:dyDescent="0.25">
      <c r="A373" s="137" t="s">
        <v>491</v>
      </c>
    </row>
    <row r="374" ht="20.25" customHeight="1" spans="1:1" x14ac:dyDescent="0.25">
      <c r="A374" s="137" t="s">
        <v>492</v>
      </c>
    </row>
    <row r="375" ht="20.25" customHeight="1" spans="1:1" x14ac:dyDescent="0.25">
      <c r="A375" s="137" t="s">
        <v>493</v>
      </c>
    </row>
    <row r="376" ht="20.25" customHeight="1" spans="1:1" x14ac:dyDescent="0.25">
      <c r="A376" s="137" t="s">
        <v>494</v>
      </c>
    </row>
    <row r="377" ht="20.25" customHeight="1" spans="1:1" x14ac:dyDescent="0.25">
      <c r="A377" s="137" t="s">
        <v>495</v>
      </c>
    </row>
    <row r="378" ht="20.25" customHeight="1" spans="1:2" x14ac:dyDescent="0.25">
      <c r="A378" s="312" t="s">
        <v>496</v>
      </c>
      <c r="B378" s="320"/>
    </row>
    <row r="379" ht="20.25" customHeight="1" spans="1:1" x14ac:dyDescent="0.25">
      <c r="A379" s="137" t="s">
        <v>497</v>
      </c>
    </row>
    <row r="380" ht="20.25" customHeight="1" spans="1:1" x14ac:dyDescent="0.25">
      <c r="A380" s="137" t="s">
        <v>498</v>
      </c>
    </row>
    <row r="381" ht="20.25" customHeight="1" spans="1:1" x14ac:dyDescent="0.25">
      <c r="A381" s="137" t="s">
        <v>499</v>
      </c>
    </row>
    <row r="382" ht="20.25" customHeight="1" spans="1:1" x14ac:dyDescent="0.25">
      <c r="A382" s="137" t="s">
        <v>500</v>
      </c>
    </row>
    <row r="383" ht="20.25" customHeight="1" spans="1:1" x14ac:dyDescent="0.25">
      <c r="A383" s="137" t="s">
        <v>501</v>
      </c>
    </row>
    <row r="384" ht="20.25" customHeight="1" spans="1:1" x14ac:dyDescent="0.25">
      <c r="A384" s="137" t="s">
        <v>502</v>
      </c>
    </row>
    <row r="385" ht="20.25" customHeight="1" spans="1:1" x14ac:dyDescent="0.25">
      <c r="A385" s="137" t="s">
        <v>503</v>
      </c>
    </row>
    <row r="386" ht="20.25" customHeight="1" spans="1:1" x14ac:dyDescent="0.25">
      <c r="A386" s="137" t="s">
        <v>504</v>
      </c>
    </row>
    <row r="387" ht="20.25" customHeight="1" spans="1:1" x14ac:dyDescent="0.25">
      <c r="A387" s="137" t="s">
        <v>505</v>
      </c>
    </row>
    <row r="388" ht="20.25" customHeight="1" spans="1:2" x14ac:dyDescent="0.25">
      <c r="A388" s="312" t="s">
        <v>506</v>
      </c>
      <c r="B388" s="320"/>
    </row>
    <row r="389" ht="20.25" customHeight="1" spans="1:1" x14ac:dyDescent="0.25">
      <c r="A389" s="137" t="s">
        <v>507</v>
      </c>
    </row>
    <row r="390" ht="20.25" customHeight="1" spans="1:1" x14ac:dyDescent="0.25">
      <c r="A390" s="137" t="s">
        <v>508</v>
      </c>
    </row>
    <row r="391" ht="20.25" customHeight="1" spans="1:1" x14ac:dyDescent="0.25">
      <c r="A391" s="137" t="s">
        <v>509</v>
      </c>
    </row>
    <row r="392" ht="20.25" customHeight="1" spans="1:1" x14ac:dyDescent="0.25">
      <c r="A392" s="137" t="s">
        <v>510</v>
      </c>
    </row>
    <row r="393" ht="20.25" customHeight="1" spans="1:1" x14ac:dyDescent="0.25">
      <c r="A393" s="137" t="s">
        <v>511</v>
      </c>
    </row>
    <row r="394" ht="20.25" customHeight="1" spans="1:1" x14ac:dyDescent="0.25">
      <c r="A394" s="137" t="s">
        <v>512</v>
      </c>
    </row>
    <row r="395" ht="20.25" customHeight="1" spans="1:1" x14ac:dyDescent="0.25">
      <c r="A395" s="137" t="s">
        <v>513</v>
      </c>
    </row>
    <row r="396" ht="20.25" customHeight="1" spans="1:1" x14ac:dyDescent="0.25">
      <c r="A396" s="137" t="s">
        <v>514</v>
      </c>
    </row>
    <row r="397" ht="20.25" customHeight="1" spans="1:1" x14ac:dyDescent="0.25">
      <c r="A397" s="137" t="s">
        <v>515</v>
      </c>
    </row>
    <row r="398" ht="20.25" customHeight="1" spans="1:1" x14ac:dyDescent="0.25">
      <c r="A398" s="137" t="s">
        <v>516</v>
      </c>
    </row>
    <row r="399" ht="20.25" customHeight="1" spans="1:1" x14ac:dyDescent="0.25">
      <c r="A399" s="137" t="s">
        <v>517</v>
      </c>
    </row>
    <row r="400" ht="20.25" customHeight="1" spans="1:1" x14ac:dyDescent="0.25">
      <c r="A400" s="137" t="s">
        <v>518</v>
      </c>
    </row>
    <row r="401" ht="20.25" customHeight="1" spans="1:1" x14ac:dyDescent="0.25">
      <c r="A401" s="137" t="s">
        <v>519</v>
      </c>
    </row>
    <row r="402" ht="20.25" customHeight="1" spans="1:1" x14ac:dyDescent="0.25">
      <c r="A402" s="137" t="s">
        <v>520</v>
      </c>
    </row>
    <row r="403" ht="20.25" customHeight="1" spans="1:1" x14ac:dyDescent="0.25">
      <c r="A403" s="312" t="s">
        <v>521</v>
      </c>
    </row>
    <row r="404" ht="20.25" customHeight="1" spans="1:1" x14ac:dyDescent="0.25">
      <c r="A404" s="137" t="s">
        <v>522</v>
      </c>
    </row>
    <row r="405" ht="20.25" customHeight="1" spans="1:1" x14ac:dyDescent="0.25">
      <c r="A405" s="137" t="s">
        <v>523</v>
      </c>
    </row>
    <row r="406" ht="20.25" customHeight="1" spans="1:1" x14ac:dyDescent="0.25">
      <c r="A406" s="137" t="s">
        <v>524</v>
      </c>
    </row>
    <row r="407" ht="20.25" customHeight="1" spans="1:1" x14ac:dyDescent="0.25">
      <c r="A407" s="137" t="s">
        <v>525</v>
      </c>
    </row>
    <row r="408" ht="20.25" customHeight="1" spans="1:1" x14ac:dyDescent="0.25">
      <c r="A408" s="312" t="s">
        <v>526</v>
      </c>
    </row>
    <row r="409" ht="20.25" customHeight="1" spans="1:1" x14ac:dyDescent="0.25">
      <c r="A409" s="137" t="s">
        <v>527</v>
      </c>
    </row>
    <row r="410" ht="20.25" customHeight="1" spans="1:1" x14ac:dyDescent="0.25">
      <c r="A410" s="137" t="s">
        <v>528</v>
      </c>
    </row>
    <row r="411" ht="20.25" customHeight="1" spans="1:1" x14ac:dyDescent="0.25">
      <c r="A411" s="137" t="s">
        <v>529</v>
      </c>
    </row>
    <row r="412" ht="20.25" customHeight="1" spans="1:1" x14ac:dyDescent="0.25">
      <c r="A412" s="137" t="s">
        <v>530</v>
      </c>
    </row>
    <row r="413" ht="19.5" customHeight="1" spans="1:1" x14ac:dyDescent="0.25">
      <c r="A413" s="137" t="s">
        <v>531</v>
      </c>
    </row>
    <row r="414" ht="19.5" customHeight="1" spans="1:1" x14ac:dyDescent="0.25">
      <c r="A414" s="137" t="s">
        <v>532</v>
      </c>
    </row>
    <row r="415" ht="19.5" customHeight="1" spans="1:1" x14ac:dyDescent="0.25">
      <c r="A415" s="137" t="s">
        <v>533</v>
      </c>
    </row>
    <row r="416" ht="19.5" customHeight="1" spans="1:1" x14ac:dyDescent="0.25">
      <c r="A416" s="137" t="s">
        <v>534</v>
      </c>
    </row>
    <row r="417" ht="19.5" customHeight="1" spans="1:1" x14ac:dyDescent="0.25">
      <c r="A417" s="137" t="s">
        <v>535</v>
      </c>
    </row>
    <row r="418" ht="19.5" customHeight="1" spans="1:1" x14ac:dyDescent="0.25">
      <c r="A418" s="137" t="s">
        <v>385</v>
      </c>
    </row>
    <row r="419" ht="19.5" customHeight="1" spans="1:1" x14ac:dyDescent="0.25">
      <c r="A419" s="137" t="s">
        <v>536</v>
      </c>
    </row>
    <row r="420" ht="19.5" customHeight="1" spans="1:1" x14ac:dyDescent="0.25">
      <c r="A420" s="137" t="s">
        <v>537</v>
      </c>
    </row>
    <row r="421" ht="19.5" customHeight="1" spans="1:1" x14ac:dyDescent="0.25">
      <c r="A421" s="137" t="s">
        <v>538</v>
      </c>
    </row>
    <row r="422" ht="19.5" customHeight="1" spans="1:1" x14ac:dyDescent="0.25">
      <c r="A422" s="312" t="s">
        <v>539</v>
      </c>
    </row>
    <row r="423" ht="19.5" customHeight="1" spans="1:1" x14ac:dyDescent="0.25">
      <c r="A423" s="137" t="s">
        <v>540</v>
      </c>
    </row>
    <row r="424" ht="19.5" customHeight="1" spans="1:1" x14ac:dyDescent="0.25">
      <c r="A424" s="137" t="s">
        <v>541</v>
      </c>
    </row>
    <row r="425" ht="19.5" customHeight="1" spans="1:1" x14ac:dyDescent="0.25">
      <c r="A425" s="137" t="s">
        <v>542</v>
      </c>
    </row>
    <row r="426" ht="19.5" customHeight="1" spans="1:1" x14ac:dyDescent="0.25">
      <c r="A426" s="137" t="s">
        <v>543</v>
      </c>
    </row>
    <row r="427" ht="19.5" customHeight="1" spans="1:1" x14ac:dyDescent="0.25">
      <c r="A427" s="137" t="s">
        <v>544</v>
      </c>
    </row>
    <row r="428" ht="19.5" customHeight="1" spans="1:1" x14ac:dyDescent="0.25">
      <c r="A428" s="137" t="s">
        <v>545</v>
      </c>
    </row>
    <row r="429" ht="19.5" customHeight="1" spans="1:1" x14ac:dyDescent="0.25">
      <c r="A429" s="137" t="s">
        <v>546</v>
      </c>
    </row>
    <row r="430" ht="19.5" customHeight="1" spans="1:1" x14ac:dyDescent="0.25">
      <c r="A430" s="137" t="s">
        <v>547</v>
      </c>
    </row>
    <row r="431" ht="19.5" customHeight="1" spans="1:1" x14ac:dyDescent="0.25">
      <c r="A431" s="137" t="s">
        <v>548</v>
      </c>
    </row>
    <row r="432" ht="19.5" customHeight="1" spans="1:1" x14ac:dyDescent="0.25">
      <c r="A432" s="137" t="s">
        <v>549</v>
      </c>
    </row>
    <row r="433" ht="19.5" customHeight="1" spans="1:1" x14ac:dyDescent="0.25">
      <c r="A433" s="137" t="s">
        <v>550</v>
      </c>
    </row>
    <row r="434" ht="19.5" customHeight="1" spans="1:1" x14ac:dyDescent="0.25">
      <c r="A434" s="137" t="s">
        <v>551</v>
      </c>
    </row>
    <row r="435" ht="19.5" customHeight="1" spans="1:1" x14ac:dyDescent="0.25">
      <c r="A435" s="137" t="s">
        <v>552</v>
      </c>
    </row>
    <row r="436" ht="19.5" customHeight="1" spans="1:1" x14ac:dyDescent="0.25">
      <c r="A436" s="137" t="s">
        <v>553</v>
      </c>
    </row>
    <row r="437" ht="19.5" customHeight="1" spans="1:1" x14ac:dyDescent="0.25">
      <c r="A437" s="137" t="s">
        <v>554</v>
      </c>
    </row>
    <row r="438" ht="19.5" customHeight="1" spans="1:1" x14ac:dyDescent="0.25">
      <c r="A438" s="137" t="s">
        <v>555</v>
      </c>
    </row>
    <row r="439" ht="19.5" customHeight="1" spans="1:1" x14ac:dyDescent="0.25">
      <c r="A439" s="137" t="s">
        <v>556</v>
      </c>
    </row>
    <row r="440" ht="19.5" customHeight="1" spans="1:1" x14ac:dyDescent="0.25">
      <c r="A440" s="137" t="s">
        <v>557</v>
      </c>
    </row>
    <row r="441" ht="19.5" customHeight="1" spans="1:1" x14ac:dyDescent="0.25">
      <c r="A441" s="137" t="s">
        <v>558</v>
      </c>
    </row>
    <row r="442" ht="19.5" customHeight="1" spans="1:1" x14ac:dyDescent="0.25">
      <c r="A442" s="137" t="s">
        <v>559</v>
      </c>
    </row>
    <row r="443" ht="19.5" customHeight="1" spans="1:1" x14ac:dyDescent="0.25">
      <c r="A443" s="137" t="s">
        <v>560</v>
      </c>
    </row>
    <row r="444" ht="19.5" customHeight="1" spans="1:1" x14ac:dyDescent="0.25">
      <c r="A444" s="137" t="s">
        <v>561</v>
      </c>
    </row>
    <row r="445" ht="19.5" customHeight="1" spans="1:1" x14ac:dyDescent="0.25">
      <c r="A445" s="137" t="s">
        <v>562</v>
      </c>
    </row>
    <row r="446" ht="19.5" customHeight="1" spans="1:1" x14ac:dyDescent="0.25">
      <c r="A446" s="137" t="s">
        <v>563</v>
      </c>
    </row>
    <row r="447" ht="19.5" customHeight="1" spans="1:1" x14ac:dyDescent="0.25">
      <c r="A447" s="137" t="s">
        <v>533</v>
      </c>
    </row>
    <row r="448" ht="19.5" customHeight="1" spans="1:1" x14ac:dyDescent="0.25">
      <c r="A448" s="137" t="s">
        <v>564</v>
      </c>
    </row>
    <row r="449" ht="19.5" customHeight="1" spans="1:1" x14ac:dyDescent="0.25">
      <c r="A449" s="137" t="s">
        <v>565</v>
      </c>
    </row>
    <row r="450" ht="19.5" customHeight="1" spans="1:1" x14ac:dyDescent="0.25">
      <c r="A450" s="137" t="s">
        <v>566</v>
      </c>
    </row>
    <row r="451" ht="19.5" customHeight="1" spans="1:1" x14ac:dyDescent="0.25">
      <c r="A451" s="312" t="s">
        <v>567</v>
      </c>
    </row>
    <row r="452" ht="19.5" customHeight="1" spans="1:1" x14ac:dyDescent="0.25">
      <c r="A452" s="137" t="s">
        <v>568</v>
      </c>
    </row>
    <row r="453" ht="19.5" customHeight="1" spans="1:1" x14ac:dyDescent="0.25">
      <c r="A453" s="137" t="s">
        <v>569</v>
      </c>
    </row>
    <row r="454" ht="19.5" customHeight="1" spans="1:1" x14ac:dyDescent="0.25">
      <c r="A454" s="137" t="s">
        <v>570</v>
      </c>
    </row>
    <row r="455" ht="19.5" customHeight="1" spans="1:1" x14ac:dyDescent="0.25">
      <c r="A455" s="137" t="s">
        <v>571</v>
      </c>
    </row>
    <row r="456" ht="19.5" customHeight="1" spans="1:1" x14ac:dyDescent="0.25">
      <c r="A456" s="137" t="s">
        <v>572</v>
      </c>
    </row>
    <row r="457" ht="19.5" customHeight="1" spans="1:1" x14ac:dyDescent="0.25">
      <c r="A457" s="137" t="s">
        <v>573</v>
      </c>
    </row>
    <row r="458" ht="19.5" customHeight="1" spans="1:1" x14ac:dyDescent="0.25">
      <c r="A458" s="137" t="s">
        <v>574</v>
      </c>
    </row>
    <row r="459" ht="19.5" customHeight="1" spans="1:1" x14ac:dyDescent="0.25">
      <c r="A459" s="137" t="s">
        <v>575</v>
      </c>
    </row>
    <row r="460" ht="19.5" customHeight="1" spans="1:1" x14ac:dyDescent="0.25">
      <c r="A460" s="137" t="s">
        <v>576</v>
      </c>
    </row>
    <row r="461" ht="19.5" customHeight="1" spans="1:1" x14ac:dyDescent="0.25">
      <c r="A461" s="137" t="s">
        <v>577</v>
      </c>
    </row>
    <row r="462" ht="19.5" customHeight="1" spans="1:1" x14ac:dyDescent="0.25">
      <c r="A462" s="137" t="s">
        <v>578</v>
      </c>
    </row>
    <row r="463" ht="19.5" customHeight="1" spans="1:1" x14ac:dyDescent="0.25">
      <c r="A463" s="137" t="s">
        <v>579</v>
      </c>
    </row>
    <row r="464" ht="19.5" customHeight="1" spans="1:1" x14ac:dyDescent="0.25">
      <c r="A464" s="137" t="s">
        <v>580</v>
      </c>
    </row>
    <row r="465" ht="19.5" customHeight="1" spans="1:1" x14ac:dyDescent="0.25">
      <c r="A465" s="137" t="s">
        <v>581</v>
      </c>
    </row>
    <row r="466" ht="19.5" customHeight="1" spans="1:1" x14ac:dyDescent="0.25">
      <c r="A466" s="137" t="s">
        <v>582</v>
      </c>
    </row>
    <row r="467" ht="19.5" customHeight="1" spans="1:1" x14ac:dyDescent="0.25">
      <c r="A467" s="137" t="s">
        <v>583</v>
      </c>
    </row>
    <row r="468" ht="19.5" customHeight="1" spans="1:1" x14ac:dyDescent="0.25">
      <c r="A468" s="137" t="s">
        <v>584</v>
      </c>
    </row>
    <row r="469" ht="19.5" customHeight="1" spans="1:1" x14ac:dyDescent="0.25">
      <c r="A469" s="137" t="s">
        <v>585</v>
      </c>
    </row>
    <row r="470" ht="19.5" customHeight="1" spans="1:1" x14ac:dyDescent="0.25">
      <c r="A470" s="137" t="s">
        <v>586</v>
      </c>
    </row>
    <row r="471" ht="19.5" customHeight="1" spans="1:1" x14ac:dyDescent="0.25">
      <c r="A471" s="137" t="s">
        <v>587</v>
      </c>
    </row>
    <row r="472" ht="19.5" customHeight="1" spans="1:1" x14ac:dyDescent="0.25">
      <c r="A472" s="137" t="s">
        <v>588</v>
      </c>
    </row>
    <row r="473" ht="19.5" customHeight="1" spans="1:1" x14ac:dyDescent="0.25">
      <c r="A473" s="137" t="s">
        <v>561</v>
      </c>
    </row>
    <row r="474" ht="19.5" customHeight="1" spans="1:1" x14ac:dyDescent="0.25">
      <c r="A474" s="137" t="s">
        <v>589</v>
      </c>
    </row>
    <row r="475" ht="19.5" customHeight="1" spans="1:1" x14ac:dyDescent="0.25">
      <c r="A475" s="137" t="s">
        <v>590</v>
      </c>
    </row>
    <row r="476" ht="19.5" customHeight="1" spans="1:1" x14ac:dyDescent="0.25">
      <c r="A476" s="137" t="s">
        <v>591</v>
      </c>
    </row>
    <row r="477" ht="19.5" customHeight="1" spans="1:1" x14ac:dyDescent="0.25">
      <c r="A477" s="137" t="s">
        <v>592</v>
      </c>
    </row>
    <row r="478" ht="19.5" customHeight="1" spans="1:1" x14ac:dyDescent="0.25">
      <c r="A478" s="137" t="s">
        <v>593</v>
      </c>
    </row>
    <row r="479" ht="19.5" customHeight="1" spans="1:1" x14ac:dyDescent="0.25">
      <c r="A479" s="312" t="s">
        <v>594</v>
      </c>
    </row>
    <row r="480" ht="19.5" customHeight="1" spans="1:1" x14ac:dyDescent="0.25">
      <c r="A480" s="137" t="s">
        <v>595</v>
      </c>
    </row>
    <row r="481" ht="19.5" customHeight="1" spans="1:1" x14ac:dyDescent="0.25">
      <c r="A481" s="137" t="s">
        <v>596</v>
      </c>
    </row>
    <row r="482" ht="19.5" customHeight="1" spans="1:1" x14ac:dyDescent="0.25">
      <c r="A482" s="137" t="s">
        <v>597</v>
      </c>
    </row>
    <row r="483" ht="19.5" customHeight="1" spans="1:1" x14ac:dyDescent="0.25">
      <c r="A483" s="137" t="s">
        <v>598</v>
      </c>
    </row>
    <row r="484" ht="19.5" customHeight="1" spans="1:1" x14ac:dyDescent="0.25">
      <c r="A484" s="137" t="s">
        <v>599</v>
      </c>
    </row>
    <row r="485" ht="19.5" customHeight="1" spans="1:1" x14ac:dyDescent="0.25">
      <c r="A485" s="137" t="s">
        <v>600</v>
      </c>
    </row>
    <row r="486" ht="20.25" customHeight="1" spans="1:1" x14ac:dyDescent="0.25">
      <c r="A486" s="137" t="s">
        <v>601</v>
      </c>
    </row>
    <row r="487" ht="20.25" customHeight="1" spans="1:1" x14ac:dyDescent="0.25">
      <c r="A487" s="137" t="s">
        <v>602</v>
      </c>
    </row>
    <row r="488" ht="20.25" customHeight="1" spans="1:1" x14ac:dyDescent="0.25">
      <c r="A488" s="137" t="s">
        <v>603</v>
      </c>
    </row>
    <row r="489" ht="20.25" customHeight="1" spans="1:1" x14ac:dyDescent="0.25">
      <c r="A489" s="137" t="s">
        <v>604</v>
      </c>
    </row>
    <row r="490" ht="20.25" customHeight="1" spans="1:1" x14ac:dyDescent="0.25">
      <c r="A490" s="137" t="s">
        <v>605</v>
      </c>
    </row>
    <row r="491" ht="20.25" customHeight="1" spans="1:1" x14ac:dyDescent="0.25">
      <c r="A491" s="137" t="s">
        <v>606</v>
      </c>
    </row>
    <row r="492" ht="20.25" customHeight="1" spans="1:1" x14ac:dyDescent="0.25">
      <c r="A492" s="137" t="s">
        <v>607</v>
      </c>
    </row>
    <row r="493" ht="20.25" customHeight="1" spans="1:1" x14ac:dyDescent="0.25">
      <c r="A493" s="137" t="s">
        <v>608</v>
      </c>
    </row>
    <row r="494" ht="20.25" customHeight="1" spans="1:1" x14ac:dyDescent="0.25">
      <c r="A494" s="137" t="s">
        <v>609</v>
      </c>
    </row>
    <row r="495" ht="20.25" customHeight="1" spans="1:1" x14ac:dyDescent="0.25">
      <c r="A495" s="137" t="s">
        <v>610</v>
      </c>
    </row>
    <row r="496" ht="20.25" customHeight="1" spans="1:1" x14ac:dyDescent="0.25">
      <c r="A496" s="137" t="s">
        <v>611</v>
      </c>
    </row>
    <row r="497" ht="20.25" customHeight="1" spans="1:1" x14ac:dyDescent="0.25">
      <c r="A497" s="137" t="s">
        <v>612</v>
      </c>
    </row>
    <row r="498" ht="20.25" customHeight="1" spans="1:1" x14ac:dyDescent="0.25">
      <c r="A498" s="137" t="s">
        <v>613</v>
      </c>
    </row>
    <row r="499" ht="20.25" customHeight="1" spans="1:1" x14ac:dyDescent="0.25">
      <c r="A499" s="137" t="s">
        <v>614</v>
      </c>
    </row>
    <row r="500" ht="20.25" customHeight="1" spans="1:1" x14ac:dyDescent="0.25">
      <c r="A500" s="137" t="s">
        <v>615</v>
      </c>
    </row>
    <row r="501" ht="20.25" customHeight="1" spans="1:2" x14ac:dyDescent="0.25">
      <c r="A501" s="312" t="s">
        <v>616</v>
      </c>
      <c r="B501" s="320"/>
    </row>
    <row r="502" ht="20.25" customHeight="1" spans="1:1" x14ac:dyDescent="0.25">
      <c r="A502" s="137" t="s">
        <v>617</v>
      </c>
    </row>
    <row r="503" ht="20.25" customHeight="1" spans="1:1" x14ac:dyDescent="0.25">
      <c r="A503" s="137" t="s">
        <v>618</v>
      </c>
    </row>
    <row r="504" ht="20.25" customHeight="1" spans="1:1" x14ac:dyDescent="0.25">
      <c r="A504" s="137" t="s">
        <v>385</v>
      </c>
    </row>
    <row r="505" ht="20.25" customHeight="1" spans="1:1" x14ac:dyDescent="0.25">
      <c r="A505" s="137" t="s">
        <v>619</v>
      </c>
    </row>
    <row r="506" ht="20.25" customHeight="1" spans="1:1" x14ac:dyDescent="0.25">
      <c r="A506" s="137" t="s">
        <v>620</v>
      </c>
    </row>
    <row r="507" ht="20.25" customHeight="1" spans="1:1" x14ac:dyDescent="0.25">
      <c r="A507" s="137" t="s">
        <v>621</v>
      </c>
    </row>
    <row r="508" ht="20.25" customHeight="1" spans="1:2" x14ac:dyDescent="0.25">
      <c r="A508" s="312" t="s">
        <v>622</v>
      </c>
      <c r="B508" s="320"/>
    </row>
    <row r="509" ht="20.25" customHeight="1" spans="1:2" x14ac:dyDescent="0.25">
      <c r="A509" s="137" t="s">
        <v>623</v>
      </c>
      <c r="B509" s="320"/>
    </row>
    <row r="510" ht="20.25" customHeight="1" spans="1:2" x14ac:dyDescent="0.25">
      <c r="A510" s="137" t="s">
        <v>624</v>
      </c>
      <c r="B510" s="320"/>
    </row>
    <row r="511" ht="20.25" customHeight="1" spans="1:2" x14ac:dyDescent="0.25">
      <c r="A511" s="137" t="s">
        <v>625</v>
      </c>
      <c r="B511" s="320"/>
    </row>
    <row r="512" ht="20.25" customHeight="1" spans="1:2" x14ac:dyDescent="0.25">
      <c r="A512" s="137" t="s">
        <v>626</v>
      </c>
      <c r="B512" s="320"/>
    </row>
    <row r="513" ht="20.25" customHeight="1" spans="1:2" x14ac:dyDescent="0.25">
      <c r="A513" s="137" t="s">
        <v>627</v>
      </c>
      <c r="B513" s="320"/>
    </row>
    <row r="514" ht="20.25" customHeight="1" spans="1:2" x14ac:dyDescent="0.25">
      <c r="A514" s="137" t="s">
        <v>628</v>
      </c>
      <c r="B514" s="320"/>
    </row>
    <row r="515" ht="20.25" customHeight="1" spans="1:2" x14ac:dyDescent="0.25">
      <c r="A515" s="137" t="s">
        <v>385</v>
      </c>
      <c r="B515" s="320"/>
    </row>
    <row r="516" ht="20.25" customHeight="1" spans="1:2" x14ac:dyDescent="0.25">
      <c r="A516" s="137" t="s">
        <v>629</v>
      </c>
      <c r="B516" s="320"/>
    </row>
    <row r="517" ht="20.25" customHeight="1" spans="1:2" x14ac:dyDescent="0.25">
      <c r="A517" s="312" t="s">
        <v>630</v>
      </c>
      <c r="B517" s="320"/>
    </row>
    <row r="518" ht="20.25" customHeight="1" spans="1:1" x14ac:dyDescent="0.25">
      <c r="A518" s="137" t="s">
        <v>631</v>
      </c>
    </row>
    <row r="519" ht="20.25" customHeight="1" spans="1:1" x14ac:dyDescent="0.25">
      <c r="A519" s="137" t="s">
        <v>632</v>
      </c>
    </row>
    <row r="520" ht="20.25" customHeight="1" spans="1:1" x14ac:dyDescent="0.25">
      <c r="A520" s="137" t="s">
        <v>633</v>
      </c>
    </row>
    <row r="521" ht="20.25" customHeight="1" spans="1:1" x14ac:dyDescent="0.25">
      <c r="A521" s="312" t="s">
        <v>634</v>
      </c>
    </row>
    <row r="522" ht="20.25" customHeight="1" spans="1:1" x14ac:dyDescent="0.25">
      <c r="A522" s="137" t="s">
        <v>635</v>
      </c>
    </row>
    <row r="523" ht="20.25" customHeight="1" spans="1:1" x14ac:dyDescent="0.25">
      <c r="A523" s="137" t="s">
        <v>636</v>
      </c>
    </row>
    <row r="524" ht="20.25" customHeight="1" spans="1:1" x14ac:dyDescent="0.25">
      <c r="A524" s="312" t="s">
        <v>637</v>
      </c>
    </row>
    <row r="525" ht="20.25" customHeight="1" spans="1:1" x14ac:dyDescent="0.25">
      <c r="A525" s="137" t="s">
        <v>638</v>
      </c>
    </row>
    <row r="526" ht="20.25" customHeight="1" spans="1:1" x14ac:dyDescent="0.25">
      <c r="A526" s="137" t="s">
        <v>639</v>
      </c>
    </row>
    <row r="527" ht="20.25" customHeight="1" spans="1:1" x14ac:dyDescent="0.25">
      <c r="A527" s="137" t="s">
        <v>640</v>
      </c>
    </row>
    <row r="528" ht="20.25" customHeight="1" spans="1:1" x14ac:dyDescent="0.25">
      <c r="A528" s="137" t="s">
        <v>641</v>
      </c>
    </row>
    <row r="529" ht="20.25" customHeight="1" spans="1:1" x14ac:dyDescent="0.25">
      <c r="A529" s="137" t="s">
        <v>642</v>
      </c>
    </row>
    <row r="530" ht="20.25" customHeight="1" spans="1:1" x14ac:dyDescent="0.25">
      <c r="A530" s="137" t="s">
        <v>643</v>
      </c>
    </row>
    <row r="531" ht="19.9" customHeight="1" spans="1:1" x14ac:dyDescent="0.25">
      <c r="A531" s="137" t="s">
        <v>644</v>
      </c>
    </row>
    <row r="532" ht="19.9" customHeight="1" spans="1:1" x14ac:dyDescent="0.25">
      <c r="A532" s="137" t="s">
        <v>645</v>
      </c>
    </row>
    <row r="533" ht="20.25" customHeight="1" spans="1:1" x14ac:dyDescent="0.25">
      <c r="A533" s="312" t="s">
        <v>646</v>
      </c>
    </row>
    <row r="534" ht="20.25" customHeight="1" spans="1:1" x14ac:dyDescent="0.25">
      <c r="A534" s="137" t="s">
        <v>647</v>
      </c>
    </row>
    <row r="535" ht="20.25" customHeight="1" spans="1:1" x14ac:dyDescent="0.25">
      <c r="A535" s="137" t="s">
        <v>648</v>
      </c>
    </row>
    <row r="536" ht="20.25" customHeight="1" spans="1:1" x14ac:dyDescent="0.25">
      <c r="A536" s="137" t="s">
        <v>649</v>
      </c>
    </row>
    <row r="537" ht="20.25" customHeight="1" spans="1:1" x14ac:dyDescent="0.25">
      <c r="A537" s="137" t="s">
        <v>650</v>
      </c>
    </row>
    <row r="538" ht="20.25" customHeight="1" spans="1:1" x14ac:dyDescent="0.25">
      <c r="A538" s="137" t="s">
        <v>651</v>
      </c>
    </row>
    <row r="539" ht="20.25" customHeight="1" spans="1:1" x14ac:dyDescent="0.25">
      <c r="A539" s="137" t="s">
        <v>652</v>
      </c>
    </row>
    <row r="540" ht="20.25" customHeight="1" spans="1:1" x14ac:dyDescent="0.25">
      <c r="A540" s="137" t="s">
        <v>653</v>
      </c>
    </row>
    <row r="541" ht="20.25" customHeight="1" spans="1:2" x14ac:dyDescent="0.25">
      <c r="A541" s="312" t="s">
        <v>654</v>
      </c>
      <c r="B541" s="320"/>
    </row>
    <row r="542" ht="20.25" customHeight="1" spans="1:1" x14ac:dyDescent="0.25">
      <c r="A542" s="137" t="s">
        <v>655</v>
      </c>
    </row>
    <row r="543" ht="20.25" customHeight="1" spans="1:1" x14ac:dyDescent="0.25">
      <c r="A543" s="137" t="s">
        <v>656</v>
      </c>
    </row>
    <row r="544" ht="20.25" customHeight="1" spans="1:2" x14ac:dyDescent="0.25">
      <c r="A544" s="312" t="s">
        <v>657</v>
      </c>
      <c r="B544" s="320"/>
    </row>
    <row r="545" ht="20.25" customHeight="1" spans="1:1" x14ac:dyDescent="0.25">
      <c r="A545" s="137" t="s">
        <v>658</v>
      </c>
    </row>
    <row r="546" ht="20.25" customHeight="1" spans="1:1" x14ac:dyDescent="0.25">
      <c r="A546" s="137" t="s">
        <v>659</v>
      </c>
    </row>
    <row r="547" ht="20.25" customHeight="1" spans="1:1" x14ac:dyDescent="0.25">
      <c r="A547" s="312" t="s">
        <v>660</v>
      </c>
    </row>
    <row r="548" ht="20.25" customHeight="1" spans="1:1" x14ac:dyDescent="0.25">
      <c r="A548" s="137" t="s">
        <v>661</v>
      </c>
    </row>
    <row r="549" ht="20.25" customHeight="1" spans="1:1" x14ac:dyDescent="0.25">
      <c r="A549" s="137" t="s">
        <v>662</v>
      </c>
    </row>
    <row r="550" ht="20.25" customHeight="1" spans="1:1" x14ac:dyDescent="0.25">
      <c r="A550" s="137" t="s">
        <v>663</v>
      </c>
    </row>
    <row r="551" ht="20.25" customHeight="1" spans="1:1" x14ac:dyDescent="0.25">
      <c r="A551" s="137" t="s">
        <v>664</v>
      </c>
    </row>
    <row r="552" ht="20.25" customHeight="1" spans="1:1" x14ac:dyDescent="0.25">
      <c r="A552" s="137" t="s">
        <v>665</v>
      </c>
    </row>
    <row r="553" ht="20.25" customHeight="1" spans="1:1" x14ac:dyDescent="0.25">
      <c r="A553" s="137" t="s">
        <v>666</v>
      </c>
    </row>
    <row r="554" ht="20.25" customHeight="1" spans="1:1" x14ac:dyDescent="0.25">
      <c r="A554" s="137" t="s">
        <v>667</v>
      </c>
    </row>
    <row r="555" ht="20.25" customHeight="1" spans="1:1" x14ac:dyDescent="0.25">
      <c r="A555" s="137" t="s">
        <v>668</v>
      </c>
    </row>
    <row r="556" ht="20.25" customHeight="1" spans="1:1" x14ac:dyDescent="0.25">
      <c r="A556" s="312" t="s">
        <v>669</v>
      </c>
    </row>
    <row r="557" ht="20.25" customHeight="1" spans="1:1" x14ac:dyDescent="0.25">
      <c r="A557" s="137" t="s">
        <v>670</v>
      </c>
    </row>
    <row r="558" ht="20.25" customHeight="1" spans="1:1" x14ac:dyDescent="0.25">
      <c r="A558" s="137" t="s">
        <v>671</v>
      </c>
    </row>
    <row r="559" ht="20.25" customHeight="1" spans="1:1" x14ac:dyDescent="0.25">
      <c r="A559" s="137" t="s">
        <v>672</v>
      </c>
    </row>
    <row r="560" ht="20.25" customHeight="1" spans="1:1" x14ac:dyDescent="0.25">
      <c r="A560" s="137" t="s">
        <v>673</v>
      </c>
    </row>
    <row r="561" ht="20.25" customHeight="1" spans="1:1" x14ac:dyDescent="0.25">
      <c r="A561" s="312" t="s">
        <v>674</v>
      </c>
    </row>
    <row r="562" ht="20.25" customHeight="1" spans="1:1" x14ac:dyDescent="0.25">
      <c r="A562" s="137" t="s">
        <v>675</v>
      </c>
    </row>
    <row r="563" ht="20.25" customHeight="1" spans="1:1" x14ac:dyDescent="0.25">
      <c r="A563" s="137" t="s">
        <v>676</v>
      </c>
    </row>
    <row r="564" ht="20.25" customHeight="1" x14ac:dyDescent="0.25"/>
    <row r="565" ht="20.25" customHeight="1" x14ac:dyDescent="0.25"/>
    <row r="566" ht="20.25" customHeight="1" spans="3:23" x14ac:dyDescent="0.25">
      <c r="C566" s="321" t="s">
        <v>677</v>
      </c>
      <c r="D566" s="321"/>
      <c r="E566" s="321"/>
      <c r="F566" s="321"/>
      <c r="G566" s="321"/>
      <c r="H566" s="321"/>
      <c r="I566" s="321"/>
      <c r="J566" s="321"/>
      <c r="K566" s="321"/>
      <c r="L566" s="321"/>
      <c r="M566" s="321"/>
      <c r="N566" s="321"/>
      <c r="O566" s="321"/>
      <c r="P566" s="321"/>
      <c r="Q566" s="321"/>
      <c r="R566" s="321"/>
      <c r="S566" s="321"/>
      <c r="T566" s="321"/>
      <c r="U566" s="321"/>
      <c r="V566" s="321"/>
      <c r="W566" s="321"/>
    </row>
    <row r="567" ht="20.25" customHeight="1" x14ac:dyDescent="0.25"/>
    <row r="568" ht="20.25" customHeight="1" x14ac:dyDescent="0.25"/>
    <row r="569" ht="20.25" customHeight="1" spans="1:24" x14ac:dyDescent="0.25">
      <c r="A569" s="322" t="s">
        <v>678</v>
      </c>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row>
    <row r="570" ht="20.25" customHeight="1" spans="1:24" x14ac:dyDescent="0.25">
      <c r="A570" s="322" t="s">
        <v>679</v>
      </c>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row>
    <row r="571" ht="20.25" customHeight="1" spans="1:24" x14ac:dyDescent="0.25">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row>
    <row r="572" ht="20.25" customHeight="1" spans="1:24" x14ac:dyDescent="0.25">
      <c r="A572" s="19" t="s">
        <v>680</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row>
    <row r="573" ht="20.25" customHeight="1" spans="1:24"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row>
    <row r="574" ht="20.25" customHeight="1" spans="1:24"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row>
    <row r="575" ht="20.25" customHeight="1" spans="1:24" x14ac:dyDescent="0.25">
      <c r="A575" s="19" t="s">
        <v>681</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row>
    <row r="576" ht="20.25" customHeight="1" spans="1:24" x14ac:dyDescent="0.25">
      <c r="A576" s="19" t="s">
        <v>682</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row>
    <row r="577" ht="20.25" customHeight="1" spans="1:24" x14ac:dyDescent="0.25">
      <c r="A577" s="19" t="s">
        <v>683</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row>
    <row r="578" ht="20.25" customHeight="1" spans="1:24" x14ac:dyDescent="0.25">
      <c r="A578" s="19" t="s">
        <v>684</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row>
    <row r="579" ht="20.25" customHeight="1" spans="1:24" x14ac:dyDescent="0.25">
      <c r="A579" s="19" t="s">
        <v>685</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row>
    <row r="580" ht="20.25" customHeight="1" spans="1:24" x14ac:dyDescent="0.25">
      <c r="A580" s="19" t="s">
        <v>686</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row>
    <row r="581" ht="20.25" customHeight="1" spans="1:24" x14ac:dyDescent="0.25">
      <c r="A581" s="19" t="s">
        <v>687</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row>
    <row r="582" ht="20.25" customHeight="1" spans="1:24" x14ac:dyDescent="0.25">
      <c r="A582" s="19" t="s">
        <v>688</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row>
    <row r="583" ht="20.25" customHeight="1" spans="1:24" x14ac:dyDescent="0.25">
      <c r="A583" s="19" t="s">
        <v>689</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row>
    <row r="584" ht="20.25" customHeight="1" spans="1:24" x14ac:dyDescent="0.25">
      <c r="A584" s="19" t="s">
        <v>690</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row>
    <row r="585" ht="20.25" customHeight="1" spans="1:24" x14ac:dyDescent="0.25">
      <c r="A585" s="19" t="s">
        <v>691</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row>
    <row r="586" ht="20.25" customHeight="1" spans="1:24" x14ac:dyDescent="0.25">
      <c r="A586" s="19" t="s">
        <v>692</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row>
    <row r="587" ht="20.25" customHeight="1" spans="1:24"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row>
    <row r="588" ht="20.25" customHeight="1" spans="1:24" x14ac:dyDescent="0.25">
      <c r="A588" s="19" t="s">
        <v>693</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row>
    <row r="589" ht="20.25" customHeight="1" spans="1:24" x14ac:dyDescent="0.25">
      <c r="A589" s="19" t="s">
        <v>694</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row>
    <row r="590" ht="20.25" customHeight="1" spans="1:24" x14ac:dyDescent="0.25">
      <c r="A590" s="19" t="s">
        <v>695</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row>
    <row r="591" ht="20.25" customHeight="1" spans="1:24" x14ac:dyDescent="0.25">
      <c r="A591" s="19" t="s">
        <v>696</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row>
    <row r="592" ht="20.25" customHeight="1" spans="1:24" x14ac:dyDescent="0.25">
      <c r="A592" s="19" t="s">
        <v>697</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row>
    <row r="593" ht="20.25" customHeight="1" spans="1:24" x14ac:dyDescent="0.25">
      <c r="A593" s="19" t="s">
        <v>698</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row>
    <row r="594" ht="20.25" customHeight="1" spans="1:24" x14ac:dyDescent="0.25">
      <c r="A594" s="19" t="s">
        <v>699</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row>
    <row r="595" ht="20.25" customHeight="1" spans="1:24" x14ac:dyDescent="0.25">
      <c r="A595" s="19" t="s">
        <v>700</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row>
    <row r="596" ht="20.25" customHeight="1" spans="1:24" x14ac:dyDescent="0.25">
      <c r="A596" s="19" t="s">
        <v>701</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row>
    <row r="597" ht="20.25" customHeight="1" spans="1:24" x14ac:dyDescent="0.25">
      <c r="A597" s="19" t="s">
        <v>702</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row>
    <row r="598" ht="20.25" customHeight="1" spans="1:1" x14ac:dyDescent="0.25">
      <c r="A598" s="137" t="s">
        <v>703</v>
      </c>
    </row>
    <row r="599" ht="20.25" customHeight="1" spans="1:1" x14ac:dyDescent="0.25">
      <c r="A599" s="137" t="s">
        <v>704</v>
      </c>
    </row>
    <row r="600" ht="20.25" customHeight="1" x14ac:dyDescent="0.25"/>
    <row r="601" ht="20.25" customHeight="1" spans="1:1" x14ac:dyDescent="0.25">
      <c r="A601" s="137" t="s">
        <v>705</v>
      </c>
    </row>
    <row r="602" ht="20.25" customHeight="1" x14ac:dyDescent="0.25"/>
    <row r="603" ht="20.25" customHeight="1" x14ac:dyDescent="0.25"/>
    <row r="604" ht="20.25" customHeight="1" x14ac:dyDescent="0.25"/>
    <row r="605" ht="20.25" customHeight="1" x14ac:dyDescent="0.25"/>
    <row r="606" ht="20.25" customHeight="1" x14ac:dyDescent="0.25"/>
    <row r="607" ht="20.25" customHeight="1" x14ac:dyDescent="0.25"/>
    <row r="608" ht="20.25" customHeight="1" x14ac:dyDescent="0.25"/>
    <row r="609" ht="20.25" customHeight="1" x14ac:dyDescent="0.25"/>
    <row r="610" ht="20.25" customHeight="1" x14ac:dyDescent="0.25"/>
    <row r="611" ht="20.25" customHeight="1" x14ac:dyDescent="0.25"/>
    <row r="612" ht="20.25" customHeight="1" x14ac:dyDescent="0.25"/>
    <row r="613" ht="20.25" customHeight="1" spans="1:26" x14ac:dyDescent="0.25">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20.25" customHeight="1" spans="1:26" x14ac:dyDescent="0.25">
      <c r="A614" s="137"/>
      <c r="B614" s="137"/>
      <c r="C614" s="169" t="s">
        <v>706</v>
      </c>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20.25" customHeight="1" spans="1:26" x14ac:dyDescent="0.2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9.75" customHeight="1" spans="1:26" x14ac:dyDescent="0.25">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20.25" customHeight="1" spans="1:26" x14ac:dyDescent="0.25">
      <c r="A617" s="196" t="s">
        <v>707</v>
      </c>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20.25" customHeight="1" spans="1:26" x14ac:dyDescent="0.25">
      <c r="A618" s="196"/>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20.25" customHeight="1" spans="1:26" x14ac:dyDescent="0.25">
      <c r="A619" s="137" t="s">
        <v>708</v>
      </c>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20.25" customHeight="1" spans="1:26" x14ac:dyDescent="0.25">
      <c r="A620" s="137" t="s">
        <v>709</v>
      </c>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20.25" customHeight="1" spans="1:26" x14ac:dyDescent="0.25">
      <c r="A621" s="196" t="s">
        <v>710</v>
      </c>
      <c r="B621" s="196"/>
      <c r="C621" s="196"/>
      <c r="D621" s="196"/>
      <c r="E621" s="196"/>
      <c r="F621" s="196"/>
      <c r="G621" s="196"/>
      <c r="H621" s="196"/>
      <c r="I621" s="196"/>
      <c r="J621" s="196"/>
      <c r="K621" s="196"/>
      <c r="L621" s="196"/>
      <c r="M621" s="196"/>
      <c r="N621" s="196"/>
      <c r="O621" s="196"/>
      <c r="P621" s="196"/>
      <c r="Q621" s="196"/>
      <c r="R621" s="196"/>
      <c r="S621" s="196"/>
      <c r="T621" s="137"/>
      <c r="U621" s="137"/>
      <c r="V621" s="137"/>
      <c r="W621" s="137"/>
      <c r="X621" s="137"/>
      <c r="Y621" s="137"/>
      <c r="Z621" s="137"/>
    </row>
    <row r="622" ht="20.25" customHeight="1" spans="1:26" x14ac:dyDescent="0.25">
      <c r="A622" s="196" t="s">
        <v>711</v>
      </c>
      <c r="B622" s="196"/>
      <c r="C622" s="196"/>
      <c r="D622" s="196"/>
      <c r="E622" s="196"/>
      <c r="F622" s="196"/>
      <c r="G622" s="196"/>
      <c r="H622" s="196"/>
      <c r="I622" s="196"/>
      <c r="J622" s="196"/>
      <c r="K622" s="196"/>
      <c r="L622" s="196"/>
      <c r="M622" s="196"/>
      <c r="N622" s="196"/>
      <c r="O622" s="196"/>
      <c r="P622" s="196"/>
      <c r="Q622" s="196"/>
      <c r="R622" s="196"/>
      <c r="S622" s="196"/>
      <c r="T622" s="137"/>
      <c r="U622" s="137"/>
      <c r="V622" s="137"/>
      <c r="W622" s="137"/>
      <c r="X622" s="137"/>
      <c r="Y622" s="137"/>
      <c r="Z622" s="137"/>
    </row>
    <row r="623" ht="20.25" customHeight="1" spans="1:26" x14ac:dyDescent="0.25">
      <c r="A623" s="196" t="s">
        <v>712</v>
      </c>
      <c r="B623" s="196"/>
      <c r="C623" s="196"/>
      <c r="D623" s="196"/>
      <c r="E623" s="196"/>
      <c r="F623" s="196"/>
      <c r="G623" s="196"/>
      <c r="H623" s="196"/>
      <c r="I623" s="196"/>
      <c r="J623" s="196"/>
      <c r="K623" s="196"/>
      <c r="L623" s="196"/>
      <c r="M623" s="196"/>
      <c r="N623" s="196"/>
      <c r="O623" s="196"/>
      <c r="P623" s="196"/>
      <c r="Q623" s="196"/>
      <c r="R623" s="196"/>
      <c r="S623" s="196"/>
      <c r="T623" s="137"/>
      <c r="U623" s="137"/>
      <c r="V623" s="137"/>
      <c r="W623" s="137"/>
      <c r="X623" s="137"/>
      <c r="Y623" s="137"/>
      <c r="Z623" s="137"/>
    </row>
    <row r="624" ht="20.65" customHeight="1" spans="1:26" x14ac:dyDescent="0.25">
      <c r="A624" s="137" t="s">
        <v>713</v>
      </c>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20.25" customHeight="1" spans="1:26" x14ac:dyDescent="0.25">
      <c r="A625" s="196" t="s">
        <v>714</v>
      </c>
      <c r="B625" s="196"/>
      <c r="C625" s="196"/>
      <c r="D625" s="196"/>
      <c r="E625" s="196"/>
      <c r="F625" s="196"/>
      <c r="G625" s="196"/>
      <c r="H625" s="196"/>
      <c r="I625" s="196"/>
      <c r="J625" s="196"/>
      <c r="K625" s="196"/>
      <c r="L625" s="196"/>
      <c r="M625" s="196"/>
      <c r="N625" s="196"/>
      <c r="O625" s="196"/>
      <c r="P625" s="196"/>
      <c r="Q625" s="196"/>
      <c r="R625" s="196"/>
      <c r="S625" s="196"/>
      <c r="T625" s="137"/>
      <c r="U625" s="137"/>
      <c r="V625" s="137"/>
      <c r="W625" s="137"/>
      <c r="X625" s="137"/>
      <c r="Y625" s="137"/>
      <c r="Z625" s="137"/>
    </row>
    <row r="626" ht="20.25" customHeight="1" spans="1:26" x14ac:dyDescent="0.25">
      <c r="A626" s="196" t="s">
        <v>715</v>
      </c>
      <c r="B626" s="196"/>
      <c r="C626" s="196"/>
      <c r="D626" s="196"/>
      <c r="E626" s="196"/>
      <c r="F626" s="196"/>
      <c r="G626" s="196"/>
      <c r="H626" s="196"/>
      <c r="I626" s="196"/>
      <c r="J626" s="196"/>
      <c r="K626" s="196"/>
      <c r="L626" s="196"/>
      <c r="M626" s="196"/>
      <c r="N626" s="196"/>
      <c r="O626" s="196"/>
      <c r="P626" s="196"/>
      <c r="Q626" s="196"/>
      <c r="R626" s="196"/>
      <c r="S626" s="196"/>
      <c r="T626" s="137"/>
      <c r="U626" s="137"/>
      <c r="V626" s="137"/>
      <c r="W626" s="137"/>
      <c r="X626" s="137"/>
      <c r="Y626" s="137"/>
      <c r="Z626" s="137"/>
    </row>
    <row r="627" ht="20.25" customHeight="1" spans="1:26" x14ac:dyDescent="0.25">
      <c r="A627" s="196" t="s">
        <v>716</v>
      </c>
      <c r="B627" s="196"/>
      <c r="C627" s="196"/>
      <c r="D627" s="196"/>
      <c r="E627" s="196"/>
      <c r="F627" s="196"/>
      <c r="G627" s="196"/>
      <c r="H627" s="196"/>
      <c r="I627" s="196"/>
      <c r="J627" s="196"/>
      <c r="K627" s="196"/>
      <c r="L627" s="196"/>
      <c r="M627" s="196"/>
      <c r="N627" s="196"/>
      <c r="O627" s="196"/>
      <c r="P627" s="196"/>
      <c r="Q627" s="196"/>
      <c r="R627" s="196"/>
      <c r="S627" s="196"/>
      <c r="T627" s="137"/>
      <c r="U627" s="137"/>
      <c r="V627" s="137"/>
      <c r="W627" s="137"/>
      <c r="X627" s="137"/>
      <c r="Y627" s="137"/>
      <c r="Z627" s="137"/>
    </row>
    <row r="628" ht="20.25" customHeight="1" spans="1:26" x14ac:dyDescent="0.25">
      <c r="A628" s="196" t="s">
        <v>717</v>
      </c>
      <c r="B628" s="196"/>
      <c r="C628" s="196"/>
      <c r="D628" s="196"/>
      <c r="E628" s="196"/>
      <c r="F628" s="196"/>
      <c r="G628" s="196"/>
      <c r="H628" s="196"/>
      <c r="I628" s="196"/>
      <c r="J628" s="196"/>
      <c r="K628" s="196"/>
      <c r="L628" s="196"/>
      <c r="M628" s="196"/>
      <c r="N628" s="196"/>
      <c r="O628" s="196"/>
      <c r="P628" s="196"/>
      <c r="Q628" s="196"/>
      <c r="R628" s="196"/>
      <c r="S628" s="196"/>
      <c r="T628" s="137"/>
      <c r="U628" s="137"/>
      <c r="V628" s="137"/>
      <c r="W628" s="137"/>
      <c r="X628" s="137"/>
      <c r="Y628" s="137"/>
      <c r="Z628" s="137"/>
    </row>
    <row r="629" ht="20.25" customHeight="1" spans="1:26" x14ac:dyDescent="0.25">
      <c r="A629" s="196" t="s">
        <v>718</v>
      </c>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37"/>
      <c r="X629" s="137"/>
      <c r="Y629" s="137"/>
      <c r="Z629" s="137"/>
    </row>
    <row r="630" ht="20.25" customHeight="1" spans="1:26" x14ac:dyDescent="0.25">
      <c r="A630" s="196" t="s">
        <v>719</v>
      </c>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37"/>
      <c r="X630" s="137"/>
      <c r="Y630" s="137"/>
      <c r="Z630" s="137"/>
    </row>
    <row r="631" ht="20.25" customHeight="1" spans="1:26" x14ac:dyDescent="0.25">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37"/>
      <c r="X631" s="137"/>
      <c r="Y631" s="137"/>
      <c r="Z631" s="137"/>
    </row>
    <row r="632" ht="20.25" customHeight="1" spans="1:26" x14ac:dyDescent="0.25">
      <c r="A632" s="196"/>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15.75" customHeight="1" spans="1:31" x14ac:dyDescent="0.25">
      <c r="A633" s="196"/>
      <c r="B633" s="137"/>
      <c r="C633" s="137"/>
      <c r="D633" s="137"/>
      <c r="E633" s="137"/>
      <c r="F633" s="137"/>
      <c r="G633" s="137"/>
      <c r="H633" s="137"/>
      <c r="I633" s="137"/>
      <c r="J633" s="137"/>
      <c r="K633" s="137"/>
      <c r="L633" s="137"/>
      <c r="M633" s="137"/>
      <c r="N633" s="137"/>
      <c r="O633" s="137"/>
      <c r="P633" s="137"/>
      <c r="Q633" s="137"/>
      <c r="R633" s="137"/>
      <c r="S633" s="137"/>
      <c r="T633" s="114"/>
      <c r="U633" s="114"/>
      <c r="V633" s="114"/>
      <c r="W633" s="114"/>
      <c r="X633" s="114"/>
      <c r="Y633" s="114"/>
      <c r="Z633" s="114"/>
      <c r="AA633" s="114"/>
      <c r="AB633" s="114"/>
      <c r="AC633" s="114"/>
      <c r="AD633" s="114"/>
      <c r="AE633" s="114"/>
    </row>
    <row r="634" ht="15.75" customHeight="1" spans="1:31" x14ac:dyDescent="0.25">
      <c r="A634" s="137" t="s">
        <v>720</v>
      </c>
      <c r="B634" s="137"/>
      <c r="C634" s="137"/>
      <c r="D634" s="137"/>
      <c r="E634" s="137"/>
      <c r="F634" s="137"/>
      <c r="G634" s="137"/>
      <c r="H634" s="137"/>
      <c r="I634" s="137"/>
      <c r="J634" s="137"/>
      <c r="K634" s="137"/>
      <c r="L634" s="137"/>
      <c r="M634" s="137"/>
      <c r="N634" s="137"/>
      <c r="O634" s="137"/>
      <c r="P634" s="137"/>
      <c r="Q634" s="137"/>
      <c r="R634" s="137"/>
      <c r="S634" s="137"/>
      <c r="T634" s="196"/>
      <c r="U634" s="196"/>
      <c r="V634" s="196"/>
      <c r="W634" s="196"/>
      <c r="X634" s="196"/>
      <c r="Y634" s="196"/>
      <c r="Z634" s="196"/>
      <c r="AA634" s="196"/>
      <c r="AB634" s="196"/>
      <c r="AC634" s="196"/>
      <c r="AD634" s="196"/>
      <c r="AE634" s="196"/>
    </row>
    <row r="635" ht="15.75" customHeight="1" spans="1:31" x14ac:dyDescent="0.25">
      <c r="A635" s="323" t="s">
        <v>721</v>
      </c>
      <c r="B635" s="14"/>
      <c r="C635" s="14"/>
      <c r="D635" s="14"/>
      <c r="E635" s="15"/>
      <c r="F635" s="323" t="s">
        <v>722</v>
      </c>
      <c r="G635" s="14"/>
      <c r="H635" s="14"/>
      <c r="I635" s="14"/>
      <c r="J635" s="14"/>
      <c r="K635" s="324" t="s">
        <v>723</v>
      </c>
      <c r="L635" s="324"/>
      <c r="M635" s="324"/>
      <c r="N635" s="324"/>
      <c r="O635" s="324"/>
      <c r="P635" s="324"/>
      <c r="Q635" s="324"/>
      <c r="R635" s="324"/>
      <c r="S635" s="325" t="s">
        <v>724</v>
      </c>
      <c r="T635" s="326"/>
      <c r="U635" s="219"/>
      <c r="V635" s="219"/>
      <c r="W635" s="219"/>
      <c r="X635" s="196"/>
      <c r="Y635" s="196"/>
      <c r="Z635" s="196"/>
      <c r="AA635" s="196"/>
      <c r="AB635" s="196"/>
      <c r="AC635" s="196"/>
      <c r="AD635" s="196"/>
      <c r="AE635" s="196"/>
    </row>
    <row r="636" ht="15.75" customHeight="1" spans="1:31" x14ac:dyDescent="0.25">
      <c r="A636" s="327" t="s">
        <v>725</v>
      </c>
      <c r="B636" s="328" t="s">
        <v>726</v>
      </c>
      <c r="C636" s="28"/>
      <c r="D636" s="28"/>
      <c r="E636" s="29"/>
      <c r="F636" s="329" t="s">
        <v>727</v>
      </c>
      <c r="G636" s="28"/>
      <c r="H636" s="28"/>
      <c r="I636" s="28"/>
      <c r="J636" s="28"/>
      <c r="K636" s="330" t="s">
        <v>728</v>
      </c>
      <c r="L636" s="330"/>
      <c r="M636" s="330"/>
      <c r="N636" s="330"/>
      <c r="O636" s="330"/>
      <c r="P636" s="330"/>
      <c r="Q636" s="330"/>
      <c r="R636" s="330"/>
      <c r="S636" s="331" t="s">
        <v>729</v>
      </c>
      <c r="T636" s="331"/>
      <c r="U636" s="170"/>
      <c r="V636" s="170"/>
      <c r="W636" s="170"/>
      <c r="X636" s="196"/>
      <c r="Y636" s="196"/>
      <c r="Z636" s="196"/>
      <c r="AA636" s="196"/>
      <c r="AB636" s="196"/>
      <c r="AC636" s="196"/>
      <c r="AD636" s="196"/>
      <c r="AE636" s="196"/>
    </row>
    <row r="637" ht="15.75" customHeight="1" spans="1:31" x14ac:dyDescent="0.25">
      <c r="A637" s="295"/>
      <c r="B637" s="16"/>
      <c r="C637" s="137"/>
      <c r="D637" s="137"/>
      <c r="E637" s="332"/>
      <c r="F637" s="16"/>
      <c r="G637" s="137"/>
      <c r="H637" s="137"/>
      <c r="I637" s="137"/>
      <c r="J637" s="137"/>
      <c r="K637" s="330"/>
      <c r="L637" s="330"/>
      <c r="M637" s="330"/>
      <c r="N637" s="330"/>
      <c r="O637" s="330"/>
      <c r="P637" s="330"/>
      <c r="Q637" s="330"/>
      <c r="R637" s="330"/>
      <c r="S637" s="331"/>
      <c r="T637" s="331"/>
      <c r="U637" s="170"/>
      <c r="V637" s="170"/>
      <c r="W637" s="170"/>
      <c r="X637" s="196"/>
      <c r="Y637" s="196"/>
      <c r="Z637" s="196"/>
      <c r="AA637" s="196"/>
      <c r="AB637" s="196"/>
      <c r="AC637" s="196"/>
      <c r="AD637" s="196"/>
      <c r="AE637" s="196"/>
    </row>
    <row r="638" ht="15.75" customHeight="1" spans="1:31" x14ac:dyDescent="0.25">
      <c r="A638" s="295"/>
      <c r="B638" s="197"/>
      <c r="C638" s="9"/>
      <c r="D638" s="9"/>
      <c r="E638" s="10"/>
      <c r="F638" s="197"/>
      <c r="G638" s="9"/>
      <c r="H638" s="9"/>
      <c r="I638" s="9"/>
      <c r="J638" s="9"/>
      <c r="K638" s="330"/>
      <c r="L638" s="330"/>
      <c r="M638" s="330"/>
      <c r="N638" s="330"/>
      <c r="O638" s="330"/>
      <c r="P638" s="330"/>
      <c r="Q638" s="330"/>
      <c r="R638" s="330"/>
      <c r="S638" s="331"/>
      <c r="T638" s="331"/>
      <c r="U638" s="170"/>
      <c r="V638" s="170"/>
      <c r="W638" s="170"/>
      <c r="X638" s="196"/>
      <c r="Y638" s="196"/>
      <c r="Z638" s="196"/>
      <c r="AA638" s="196"/>
      <c r="AB638" s="196"/>
      <c r="AC638" s="196"/>
      <c r="AD638" s="196"/>
      <c r="AE638" s="196"/>
    </row>
    <row r="639" ht="15.75" customHeight="1" spans="1:31" x14ac:dyDescent="0.25">
      <c r="A639" s="295"/>
      <c r="B639" s="328" t="s">
        <v>730</v>
      </c>
      <c r="C639" s="28"/>
      <c r="D639" s="28"/>
      <c r="E639" s="29"/>
      <c r="F639" s="329" t="s">
        <v>731</v>
      </c>
      <c r="G639" s="28"/>
      <c r="H639" s="28"/>
      <c r="I639" s="28"/>
      <c r="J639" s="28"/>
      <c r="K639" s="330" t="s">
        <v>732</v>
      </c>
      <c r="L639" s="330"/>
      <c r="M639" s="330"/>
      <c r="N639" s="330"/>
      <c r="O639" s="330"/>
      <c r="P639" s="330"/>
      <c r="Q639" s="330"/>
      <c r="R639" s="330"/>
      <c r="S639" s="331"/>
      <c r="T639" s="331"/>
      <c r="U639" s="170"/>
      <c r="V639" s="170"/>
      <c r="W639" s="170"/>
      <c r="X639" s="196"/>
      <c r="Y639" s="196"/>
      <c r="Z639" s="196"/>
      <c r="AA639" s="196"/>
      <c r="AB639" s="196"/>
      <c r="AC639" s="196"/>
      <c r="AD639" s="196"/>
      <c r="AE639" s="196"/>
    </row>
    <row r="640" ht="15.75" customHeight="1" spans="1:31" x14ac:dyDescent="0.25">
      <c r="A640" s="295"/>
      <c r="B640" s="16"/>
      <c r="C640" s="137"/>
      <c r="D640" s="137"/>
      <c r="E640" s="332"/>
      <c r="F640" s="16"/>
      <c r="G640" s="137"/>
      <c r="H640" s="137"/>
      <c r="I640" s="137"/>
      <c r="J640" s="137"/>
      <c r="K640" s="330"/>
      <c r="L640" s="330"/>
      <c r="M640" s="330"/>
      <c r="N640" s="330"/>
      <c r="O640" s="330"/>
      <c r="P640" s="330"/>
      <c r="Q640" s="330"/>
      <c r="R640" s="330"/>
      <c r="S640" s="331"/>
      <c r="T640" s="331"/>
      <c r="U640" s="170"/>
      <c r="V640" s="170"/>
      <c r="W640" s="170"/>
      <c r="X640" s="196"/>
      <c r="Y640" s="196"/>
      <c r="Z640" s="196"/>
      <c r="AA640" s="196"/>
      <c r="AB640" s="196"/>
      <c r="AC640" s="196"/>
      <c r="AD640" s="196"/>
      <c r="AE640" s="196"/>
    </row>
    <row r="641" ht="15.75" customHeight="1" spans="1:31" x14ac:dyDescent="0.25">
      <c r="A641" s="295"/>
      <c r="B641" s="197"/>
      <c r="C641" s="9"/>
      <c r="D641" s="9"/>
      <c r="E641" s="10"/>
      <c r="F641" s="197"/>
      <c r="G641" s="9"/>
      <c r="H641" s="9"/>
      <c r="I641" s="9"/>
      <c r="J641" s="9"/>
      <c r="K641" s="330"/>
      <c r="L641" s="330"/>
      <c r="M641" s="330"/>
      <c r="N641" s="330"/>
      <c r="O641" s="330"/>
      <c r="P641" s="330"/>
      <c r="Q641" s="330"/>
      <c r="R641" s="330"/>
      <c r="S641" s="331"/>
      <c r="T641" s="331"/>
      <c r="U641" s="170"/>
      <c r="V641" s="170"/>
      <c r="W641" s="170"/>
      <c r="X641" s="196"/>
      <c r="Y641" s="196"/>
      <c r="Z641" s="196"/>
      <c r="AA641" s="196"/>
      <c r="AB641" s="196"/>
      <c r="AC641" s="196"/>
      <c r="AD641" s="196"/>
      <c r="AE641" s="196"/>
    </row>
    <row r="642" ht="15.75" customHeight="1" spans="1:31" x14ac:dyDescent="0.25">
      <c r="A642" s="295"/>
      <c r="B642" s="328" t="s">
        <v>733</v>
      </c>
      <c r="C642" s="28"/>
      <c r="D642" s="28"/>
      <c r="E642" s="29"/>
      <c r="F642" s="329" t="s">
        <v>734</v>
      </c>
      <c r="G642" s="28"/>
      <c r="H642" s="28"/>
      <c r="I642" s="28"/>
      <c r="J642" s="28"/>
      <c r="K642" s="330" t="s">
        <v>732</v>
      </c>
      <c r="L642" s="330"/>
      <c r="M642" s="330"/>
      <c r="N642" s="330"/>
      <c r="O642" s="330"/>
      <c r="P642" s="330"/>
      <c r="Q642" s="330"/>
      <c r="R642" s="330"/>
      <c r="S642" s="331"/>
      <c r="T642" s="331"/>
      <c r="U642" s="170"/>
      <c r="V642" s="170"/>
      <c r="W642" s="170"/>
      <c r="X642" s="196"/>
      <c r="Y642" s="196"/>
      <c r="Z642" s="196"/>
      <c r="AA642" s="196"/>
      <c r="AB642" s="196"/>
      <c r="AC642" s="196"/>
      <c r="AD642" s="196"/>
      <c r="AE642" s="196"/>
    </row>
    <row r="643" ht="16.5" customHeight="1" spans="1:31" x14ac:dyDescent="0.25">
      <c r="A643" s="295"/>
      <c r="B643" s="16"/>
      <c r="C643" s="137"/>
      <c r="D643" s="137"/>
      <c r="E643" s="332"/>
      <c r="F643" s="16"/>
      <c r="G643" s="137"/>
      <c r="H643" s="137"/>
      <c r="I643" s="137"/>
      <c r="J643" s="137"/>
      <c r="K643" s="330"/>
      <c r="L643" s="330"/>
      <c r="M643" s="330"/>
      <c r="N643" s="330"/>
      <c r="O643" s="330"/>
      <c r="P643" s="330"/>
      <c r="Q643" s="330"/>
      <c r="R643" s="330"/>
      <c r="S643" s="331"/>
      <c r="T643" s="331"/>
      <c r="U643" s="170"/>
      <c r="V643" s="170"/>
      <c r="W643" s="170"/>
      <c r="X643" s="196"/>
      <c r="Y643" s="196"/>
      <c r="Z643" s="196"/>
      <c r="AA643" s="196"/>
      <c r="AB643" s="196"/>
      <c r="AC643" s="196"/>
      <c r="AD643" s="196"/>
      <c r="AE643" s="196"/>
    </row>
    <row r="644" ht="16.5" customHeight="1" spans="1:31" x14ac:dyDescent="0.25">
      <c r="A644" s="295"/>
      <c r="B644" s="197"/>
      <c r="C644" s="9"/>
      <c r="D644" s="9"/>
      <c r="E644" s="10"/>
      <c r="F644" s="197"/>
      <c r="G644" s="9"/>
      <c r="H644" s="9"/>
      <c r="I644" s="9"/>
      <c r="J644" s="9"/>
      <c r="K644" s="330"/>
      <c r="L644" s="330"/>
      <c r="M644" s="330"/>
      <c r="N644" s="330"/>
      <c r="O644" s="330"/>
      <c r="P644" s="330"/>
      <c r="Q644" s="330"/>
      <c r="R644" s="330"/>
      <c r="S644" s="331"/>
      <c r="T644" s="331"/>
      <c r="U644" s="170"/>
      <c r="V644" s="170"/>
      <c r="W644" s="170"/>
      <c r="X644" s="196"/>
      <c r="Y644" s="196"/>
      <c r="Z644" s="196"/>
      <c r="AA644" s="196"/>
      <c r="AB644" s="196"/>
      <c r="AC644" s="196"/>
      <c r="AD644" s="196"/>
      <c r="AE644" s="196"/>
    </row>
    <row r="645" ht="15.75" customHeight="1" spans="1:31" x14ac:dyDescent="0.25">
      <c r="A645" s="295"/>
      <c r="B645" s="328" t="s">
        <v>735</v>
      </c>
      <c r="C645" s="28"/>
      <c r="D645" s="28"/>
      <c r="E645" s="29"/>
      <c r="F645" s="329" t="s">
        <v>736</v>
      </c>
      <c r="G645" s="28"/>
      <c r="H645" s="28"/>
      <c r="I645" s="28"/>
      <c r="J645" s="28"/>
      <c r="K645" s="330" t="s">
        <v>737</v>
      </c>
      <c r="L645" s="330"/>
      <c r="M645" s="330"/>
      <c r="N645" s="330"/>
      <c r="O645" s="330"/>
      <c r="P645" s="330"/>
      <c r="Q645" s="330"/>
      <c r="R645" s="330"/>
      <c r="S645" s="331"/>
      <c r="T645" s="331"/>
      <c r="U645" s="170"/>
      <c r="V645" s="170"/>
      <c r="W645" s="170"/>
      <c r="X645" s="196"/>
      <c r="Y645" s="196"/>
      <c r="Z645" s="196"/>
      <c r="AA645" s="196"/>
      <c r="AB645" s="196"/>
      <c r="AC645" s="196"/>
      <c r="AD645" s="196"/>
      <c r="AE645" s="196"/>
    </row>
    <row r="646" ht="15.75" customHeight="1" spans="1:31" x14ac:dyDescent="0.25">
      <c r="A646" s="295"/>
      <c r="B646" s="16"/>
      <c r="C646" s="137"/>
      <c r="D646" s="137"/>
      <c r="E646" s="332"/>
      <c r="F646" s="16"/>
      <c r="G646" s="137"/>
      <c r="H646" s="137"/>
      <c r="I646" s="137"/>
      <c r="J646" s="137"/>
      <c r="K646" s="330"/>
      <c r="L646" s="330"/>
      <c r="M646" s="330"/>
      <c r="N646" s="330"/>
      <c r="O646" s="330"/>
      <c r="P646" s="330"/>
      <c r="Q646" s="330"/>
      <c r="R646" s="330"/>
      <c r="S646" s="331"/>
      <c r="T646" s="331"/>
      <c r="U646" s="170"/>
      <c r="V646" s="170"/>
      <c r="W646" s="170"/>
      <c r="X646" s="196"/>
      <c r="Y646" s="196"/>
      <c r="Z646" s="196"/>
      <c r="AA646" s="196"/>
      <c r="AB646" s="196"/>
      <c r="AC646" s="196"/>
      <c r="AD646" s="196"/>
      <c r="AE646" s="196"/>
    </row>
    <row r="647" ht="15.75" customHeight="1" spans="1:31" x14ac:dyDescent="0.25">
      <c r="A647" s="295"/>
      <c r="B647" s="197"/>
      <c r="C647" s="9"/>
      <c r="D647" s="9"/>
      <c r="E647" s="10"/>
      <c r="F647" s="197"/>
      <c r="G647" s="9"/>
      <c r="H647" s="9"/>
      <c r="I647" s="9"/>
      <c r="J647" s="9"/>
      <c r="K647" s="330"/>
      <c r="L647" s="330"/>
      <c r="M647" s="330"/>
      <c r="N647" s="330"/>
      <c r="O647" s="330"/>
      <c r="P647" s="330"/>
      <c r="Q647" s="330"/>
      <c r="R647" s="330"/>
      <c r="S647" s="331"/>
      <c r="T647" s="331"/>
      <c r="U647" s="170"/>
      <c r="V647" s="170"/>
      <c r="W647" s="170"/>
      <c r="X647" s="196"/>
      <c r="Y647" s="196"/>
      <c r="Z647" s="196"/>
      <c r="AA647" s="196"/>
      <c r="AB647" s="196"/>
      <c r="AC647" s="196"/>
      <c r="AD647" s="196"/>
      <c r="AE647" s="196"/>
    </row>
    <row r="648" ht="15.75" customHeight="1" spans="1:31" x14ac:dyDescent="0.25">
      <c r="A648" s="295"/>
      <c r="B648" s="328" t="s">
        <v>738</v>
      </c>
      <c r="C648" s="28"/>
      <c r="D648" s="28"/>
      <c r="E648" s="29"/>
      <c r="F648" s="329" t="s">
        <v>739</v>
      </c>
      <c r="G648" s="28"/>
      <c r="H648" s="28"/>
      <c r="I648" s="28"/>
      <c r="J648" s="28"/>
      <c r="K648" s="330" t="s">
        <v>740</v>
      </c>
      <c r="L648" s="330"/>
      <c r="M648" s="330"/>
      <c r="N648" s="330"/>
      <c r="O648" s="330"/>
      <c r="P648" s="330"/>
      <c r="Q648" s="330"/>
      <c r="R648" s="330"/>
      <c r="S648" s="331"/>
      <c r="T648" s="331"/>
      <c r="U648" s="170"/>
      <c r="V648" s="170"/>
      <c r="W648" s="170"/>
      <c r="X648" s="196"/>
      <c r="Y648" s="196"/>
      <c r="Z648" s="196"/>
      <c r="AA648" s="196"/>
      <c r="AB648" s="196"/>
      <c r="AC648" s="196"/>
      <c r="AD648" s="196"/>
      <c r="AE648" s="196"/>
    </row>
    <row r="649" ht="15.75" customHeight="1" spans="1:31" x14ac:dyDescent="0.25">
      <c r="A649" s="295"/>
      <c r="B649" s="16"/>
      <c r="C649" s="137"/>
      <c r="D649" s="137"/>
      <c r="E649" s="332"/>
      <c r="F649" s="16"/>
      <c r="G649" s="137"/>
      <c r="H649" s="137"/>
      <c r="I649" s="137"/>
      <c r="J649" s="137"/>
      <c r="K649" s="330"/>
      <c r="L649" s="330"/>
      <c r="M649" s="330"/>
      <c r="N649" s="330"/>
      <c r="O649" s="330"/>
      <c r="P649" s="330"/>
      <c r="Q649" s="330"/>
      <c r="R649" s="330"/>
      <c r="S649" s="331"/>
      <c r="T649" s="331"/>
      <c r="U649" s="170"/>
      <c r="V649" s="170"/>
      <c r="W649" s="170"/>
      <c r="X649" s="196"/>
      <c r="Y649" s="196"/>
      <c r="Z649" s="196"/>
      <c r="AA649" s="196"/>
      <c r="AB649" s="196"/>
      <c r="AC649" s="196"/>
      <c r="AD649" s="196"/>
      <c r="AE649" s="196"/>
    </row>
    <row r="650" ht="15.75" customHeight="1" spans="1:31" x14ac:dyDescent="0.25">
      <c r="A650" s="295"/>
      <c r="B650" s="16"/>
      <c r="C650" s="137"/>
      <c r="D650" s="137"/>
      <c r="E650" s="332"/>
      <c r="F650" s="16"/>
      <c r="G650" s="137"/>
      <c r="H650" s="137"/>
      <c r="I650" s="137"/>
      <c r="J650" s="137"/>
      <c r="K650" s="330"/>
      <c r="L650" s="330"/>
      <c r="M650" s="330"/>
      <c r="N650" s="330"/>
      <c r="O650" s="330"/>
      <c r="P650" s="330"/>
      <c r="Q650" s="330"/>
      <c r="R650" s="330"/>
      <c r="S650" s="331"/>
      <c r="T650" s="331"/>
      <c r="U650" s="170"/>
      <c r="V650" s="170"/>
      <c r="W650" s="170"/>
      <c r="X650" s="196"/>
      <c r="Y650" s="196"/>
      <c r="Z650" s="196"/>
      <c r="AA650" s="196"/>
      <c r="AB650" s="196"/>
      <c r="AC650" s="196"/>
      <c r="AD650" s="196"/>
      <c r="AE650" s="196"/>
    </row>
    <row r="651" ht="15.75" customHeight="1" spans="1:31" x14ac:dyDescent="0.25">
      <c r="A651" s="305"/>
      <c r="B651" s="197"/>
      <c r="C651" s="9"/>
      <c r="D651" s="9"/>
      <c r="E651" s="10"/>
      <c r="F651" s="197"/>
      <c r="G651" s="9"/>
      <c r="H651" s="9"/>
      <c r="I651" s="9"/>
      <c r="J651" s="9"/>
      <c r="K651" s="330"/>
      <c r="L651" s="330"/>
      <c r="M651" s="330"/>
      <c r="N651" s="330"/>
      <c r="O651" s="330"/>
      <c r="P651" s="330"/>
      <c r="Q651" s="330"/>
      <c r="R651" s="330"/>
      <c r="S651" s="331"/>
      <c r="T651" s="331"/>
      <c r="U651" s="170"/>
      <c r="V651" s="170"/>
      <c r="W651" s="170"/>
      <c r="X651" s="196"/>
      <c r="Y651" s="196"/>
      <c r="Z651" s="196"/>
      <c r="AA651" s="196"/>
      <c r="AB651" s="196"/>
      <c r="AC651" s="196"/>
      <c r="AD651" s="196"/>
      <c r="AE651" s="196"/>
    </row>
    <row r="652" ht="15.75" customHeight="1" spans="1:31" x14ac:dyDescent="0.25">
      <c r="A652" s="327" t="s">
        <v>741</v>
      </c>
      <c r="B652" s="328" t="s">
        <v>742</v>
      </c>
      <c r="C652" s="28"/>
      <c r="D652" s="28"/>
      <c r="E652" s="29"/>
      <c r="F652" s="329" t="s">
        <v>743</v>
      </c>
      <c r="G652" s="28"/>
      <c r="H652" s="28"/>
      <c r="I652" s="28"/>
      <c r="J652" s="28"/>
      <c r="K652" s="330" t="s">
        <v>744</v>
      </c>
      <c r="L652" s="330"/>
      <c r="M652" s="330"/>
      <c r="N652" s="330"/>
      <c r="O652" s="330"/>
      <c r="P652" s="330"/>
      <c r="Q652" s="330"/>
      <c r="R652" s="330"/>
      <c r="S652" s="331"/>
      <c r="T652" s="331"/>
      <c r="U652" s="170"/>
      <c r="V652" s="170"/>
      <c r="W652" s="170"/>
      <c r="X652" s="196"/>
      <c r="Y652" s="196"/>
      <c r="Z652" s="196"/>
      <c r="AA652" s="196"/>
      <c r="AB652" s="196"/>
      <c r="AC652" s="196"/>
      <c r="AD652" s="196"/>
      <c r="AE652" s="196"/>
    </row>
    <row r="653" ht="15.75" customHeight="1" spans="1:31" x14ac:dyDescent="0.25">
      <c r="A653" s="295"/>
      <c r="B653" s="16"/>
      <c r="C653" s="137"/>
      <c r="D653" s="137"/>
      <c r="E653" s="332"/>
      <c r="F653" s="16"/>
      <c r="G653" s="137"/>
      <c r="H653" s="137"/>
      <c r="I653" s="137"/>
      <c r="J653" s="137"/>
      <c r="K653" s="330"/>
      <c r="L653" s="330"/>
      <c r="M653" s="330"/>
      <c r="N653" s="330"/>
      <c r="O653" s="330"/>
      <c r="P653" s="330"/>
      <c r="Q653" s="330"/>
      <c r="R653" s="330"/>
      <c r="S653" s="331"/>
      <c r="T653" s="331"/>
      <c r="U653" s="170"/>
      <c r="V653" s="170"/>
      <c r="W653" s="170"/>
      <c r="X653" s="196"/>
      <c r="Y653" s="196"/>
      <c r="Z653" s="196"/>
      <c r="AA653" s="196"/>
      <c r="AB653" s="196"/>
      <c r="AC653" s="196"/>
      <c r="AD653" s="196"/>
      <c r="AE653" s="196"/>
    </row>
    <row r="654" ht="8.25" customHeight="1" spans="1:31" x14ac:dyDescent="0.25">
      <c r="A654" s="295"/>
      <c r="B654" s="197"/>
      <c r="C654" s="9"/>
      <c r="D654" s="9"/>
      <c r="E654" s="10"/>
      <c r="F654" s="16"/>
      <c r="G654" s="137"/>
      <c r="H654" s="137"/>
      <c r="I654" s="137"/>
      <c r="J654" s="137"/>
      <c r="K654" s="330"/>
      <c r="L654" s="330"/>
      <c r="M654" s="330"/>
      <c r="N654" s="330"/>
      <c r="O654" s="330"/>
      <c r="P654" s="330"/>
      <c r="Q654" s="330"/>
      <c r="R654" s="330"/>
      <c r="S654" s="331"/>
      <c r="T654" s="331"/>
      <c r="U654" s="170"/>
      <c r="V654" s="170"/>
      <c r="W654" s="170"/>
      <c r="X654" s="196"/>
      <c r="Y654" s="196"/>
      <c r="Z654" s="196"/>
      <c r="AA654" s="196"/>
      <c r="AB654" s="196"/>
      <c r="AC654" s="196"/>
      <c r="AD654" s="196"/>
      <c r="AE654" s="196"/>
    </row>
    <row r="655" ht="8.25" customHeight="1" spans="1:31" x14ac:dyDescent="0.25">
      <c r="A655" s="295"/>
      <c r="B655" s="333" t="s">
        <v>745</v>
      </c>
      <c r="C655" s="28"/>
      <c r="D655" s="28"/>
      <c r="E655" s="29"/>
      <c r="F655" s="16"/>
      <c r="G655" s="137"/>
      <c r="H655" s="137"/>
      <c r="I655" s="137"/>
      <c r="J655" s="137"/>
      <c r="K655" s="330"/>
      <c r="L655" s="330"/>
      <c r="M655" s="330"/>
      <c r="N655" s="330"/>
      <c r="O655" s="330"/>
      <c r="P655" s="330"/>
      <c r="Q655" s="330"/>
      <c r="R655" s="330"/>
      <c r="S655" s="331"/>
      <c r="T655" s="331"/>
      <c r="U655" s="170"/>
      <c r="V655" s="170"/>
      <c r="W655" s="170"/>
      <c r="X655" s="196"/>
      <c r="Y655" s="196"/>
      <c r="Z655" s="196"/>
      <c r="AA655" s="196"/>
      <c r="AB655" s="196"/>
      <c r="AC655" s="196"/>
      <c r="AD655" s="196"/>
      <c r="AE655" s="196"/>
    </row>
    <row r="656" ht="8.25" customHeight="1" spans="1:31" x14ac:dyDescent="0.25">
      <c r="A656" s="295"/>
      <c r="B656" s="16"/>
      <c r="C656" s="137"/>
      <c r="D656" s="137"/>
      <c r="E656" s="332"/>
      <c r="F656" s="16"/>
      <c r="G656" s="137"/>
      <c r="H656" s="137"/>
      <c r="I656" s="137"/>
      <c r="J656" s="137"/>
      <c r="K656" s="330"/>
      <c r="L656" s="330"/>
      <c r="M656" s="330"/>
      <c r="N656" s="330"/>
      <c r="O656" s="330"/>
      <c r="P656" s="330"/>
      <c r="Q656" s="330"/>
      <c r="R656" s="330"/>
      <c r="S656" s="331"/>
      <c r="T656" s="331"/>
      <c r="U656" s="170"/>
      <c r="V656" s="170"/>
      <c r="W656" s="170"/>
      <c r="X656" s="196"/>
      <c r="Y656" s="196"/>
      <c r="Z656" s="196"/>
      <c r="AA656" s="196"/>
      <c r="AB656" s="196"/>
      <c r="AC656" s="196"/>
      <c r="AD656" s="196"/>
      <c r="AE656" s="196"/>
    </row>
    <row r="657" ht="15.75" customHeight="1" spans="1:31" x14ac:dyDescent="0.25">
      <c r="A657" s="295"/>
      <c r="B657" s="16"/>
      <c r="C657" s="137"/>
      <c r="D657" s="137"/>
      <c r="E657" s="332"/>
      <c r="F657" s="16"/>
      <c r="G657" s="137"/>
      <c r="H657" s="137"/>
      <c r="I657" s="137"/>
      <c r="J657" s="137"/>
      <c r="K657" s="330"/>
      <c r="L657" s="330"/>
      <c r="M657" s="330"/>
      <c r="N657" s="330"/>
      <c r="O657" s="330"/>
      <c r="P657" s="330"/>
      <c r="Q657" s="330"/>
      <c r="R657" s="330"/>
      <c r="S657" s="331"/>
      <c r="T657" s="331"/>
      <c r="U657" s="170"/>
      <c r="V657" s="170"/>
      <c r="W657" s="170"/>
      <c r="X657" s="196"/>
      <c r="Y657" s="196"/>
      <c r="Z657" s="196"/>
      <c r="AA657" s="196"/>
      <c r="AB657" s="196"/>
      <c r="AC657" s="196"/>
      <c r="AD657" s="196"/>
      <c r="AE657" s="196"/>
    </row>
    <row r="658" ht="15.75" customHeight="1" spans="1:31" x14ac:dyDescent="0.25">
      <c r="A658" s="295"/>
      <c r="B658" s="197"/>
      <c r="C658" s="9"/>
      <c r="D658" s="9"/>
      <c r="E658" s="10"/>
      <c r="F658" s="16"/>
      <c r="G658" s="137"/>
      <c r="H658" s="137"/>
      <c r="I658" s="137"/>
      <c r="J658" s="137"/>
      <c r="K658" s="330"/>
      <c r="L658" s="330"/>
      <c r="M658" s="330"/>
      <c r="N658" s="330"/>
      <c r="O658" s="330"/>
      <c r="P658" s="330"/>
      <c r="Q658" s="330"/>
      <c r="R658" s="330"/>
      <c r="S658" s="331"/>
      <c r="T658" s="331"/>
      <c r="U658" s="170"/>
      <c r="V658" s="170"/>
      <c r="W658" s="170"/>
      <c r="X658" s="196"/>
      <c r="Y658" s="196"/>
      <c r="Z658" s="196"/>
      <c r="AA658" s="196"/>
      <c r="AB658" s="196"/>
      <c r="AC658" s="196"/>
      <c r="AD658" s="196"/>
      <c r="AE658" s="196"/>
    </row>
    <row r="659" ht="15.75" customHeight="1" spans="1:31" x14ac:dyDescent="0.25">
      <c r="A659" s="295"/>
      <c r="B659" s="333" t="s">
        <v>746</v>
      </c>
      <c r="C659" s="28"/>
      <c r="D659" s="28"/>
      <c r="E659" s="29"/>
      <c r="F659" s="16"/>
      <c r="G659" s="137"/>
      <c r="H659" s="137"/>
      <c r="I659" s="137"/>
      <c r="J659" s="137"/>
      <c r="K659" s="330"/>
      <c r="L659" s="330"/>
      <c r="M659" s="330"/>
      <c r="N659" s="330"/>
      <c r="O659" s="330"/>
      <c r="P659" s="330"/>
      <c r="Q659" s="330"/>
      <c r="R659" s="330"/>
      <c r="S659" s="331"/>
      <c r="T659" s="331"/>
      <c r="U659" s="170"/>
      <c r="V659" s="170"/>
      <c r="W659" s="170"/>
      <c r="X659" s="196"/>
      <c r="Y659" s="196"/>
      <c r="Z659" s="196"/>
      <c r="AA659" s="196"/>
      <c r="AB659" s="196"/>
      <c r="AC659" s="196"/>
      <c r="AD659" s="196"/>
      <c r="AE659" s="196"/>
    </row>
    <row r="660" ht="15.75" customHeight="1" spans="1:31" x14ac:dyDescent="0.25">
      <c r="A660" s="295"/>
      <c r="B660" s="16"/>
      <c r="C660" s="137"/>
      <c r="D660" s="137"/>
      <c r="E660" s="332"/>
      <c r="F660" s="16"/>
      <c r="G660" s="137"/>
      <c r="H660" s="137"/>
      <c r="I660" s="137"/>
      <c r="J660" s="137"/>
      <c r="K660" s="330"/>
      <c r="L660" s="330"/>
      <c r="M660" s="330"/>
      <c r="N660" s="330"/>
      <c r="O660" s="330"/>
      <c r="P660" s="330"/>
      <c r="Q660" s="330"/>
      <c r="R660" s="330"/>
      <c r="S660" s="331"/>
      <c r="T660" s="331"/>
      <c r="U660" s="170"/>
      <c r="V660" s="170"/>
      <c r="W660" s="170"/>
      <c r="X660" s="196"/>
      <c r="Y660" s="196"/>
      <c r="Z660" s="196"/>
      <c r="AA660" s="196"/>
      <c r="AB660" s="196"/>
      <c r="AC660" s="196"/>
      <c r="AD660" s="196"/>
      <c r="AE660" s="196"/>
    </row>
    <row r="661" ht="15.75" customHeight="1" spans="1:31" x14ac:dyDescent="0.25">
      <c r="A661" s="295"/>
      <c r="B661" s="16"/>
      <c r="C661" s="137"/>
      <c r="D661" s="137"/>
      <c r="E661" s="332"/>
      <c r="F661" s="16"/>
      <c r="G661" s="137"/>
      <c r="H661" s="137"/>
      <c r="I661" s="137"/>
      <c r="J661" s="137"/>
      <c r="K661" s="330"/>
      <c r="L661" s="330"/>
      <c r="M661" s="330"/>
      <c r="N661" s="330"/>
      <c r="O661" s="330"/>
      <c r="P661" s="330"/>
      <c r="Q661" s="330"/>
      <c r="R661" s="330"/>
      <c r="S661" s="331"/>
      <c r="T661" s="331"/>
      <c r="U661" s="170"/>
      <c r="V661" s="170"/>
      <c r="W661" s="170"/>
      <c r="X661" s="196"/>
      <c r="Y661" s="196"/>
      <c r="Z661" s="196"/>
      <c r="AA661" s="196"/>
      <c r="AB661" s="196"/>
      <c r="AC661" s="196"/>
      <c r="AD661" s="196"/>
      <c r="AE661" s="196"/>
    </row>
    <row r="662" ht="8.25" customHeight="1" spans="1:31" x14ac:dyDescent="0.25">
      <c r="A662" s="305"/>
      <c r="B662" s="197"/>
      <c r="C662" s="9"/>
      <c r="D662" s="9"/>
      <c r="E662" s="10"/>
      <c r="F662" s="197"/>
      <c r="G662" s="9"/>
      <c r="H662" s="9"/>
      <c r="I662" s="9"/>
      <c r="J662" s="9"/>
      <c r="K662" s="330"/>
      <c r="L662" s="330"/>
      <c r="M662" s="330"/>
      <c r="N662" s="330"/>
      <c r="O662" s="330"/>
      <c r="P662" s="330"/>
      <c r="Q662" s="330"/>
      <c r="R662" s="330"/>
      <c r="S662" s="331"/>
      <c r="T662" s="331"/>
      <c r="U662" s="170"/>
      <c r="V662" s="170"/>
      <c r="W662" s="170"/>
      <c r="X662" s="196"/>
      <c r="Y662" s="196"/>
      <c r="Z662" s="196"/>
      <c r="AA662" s="196"/>
      <c r="AB662" s="196"/>
      <c r="AC662" s="196"/>
      <c r="AD662" s="196"/>
      <c r="AE662" s="196"/>
    </row>
    <row r="663" ht="8.25" customHeight="1" spans="1:31" x14ac:dyDescent="0.25">
      <c r="A663" s="114"/>
      <c r="B663" s="114"/>
      <c r="C663" s="114"/>
      <c r="D663" s="114"/>
      <c r="E663" s="114"/>
      <c r="F663" s="114"/>
      <c r="G663" s="114"/>
      <c r="H663" s="114"/>
      <c r="I663" s="114"/>
      <c r="J663" s="114"/>
      <c r="K663" s="334"/>
      <c r="L663" s="334"/>
      <c r="M663" s="334"/>
      <c r="N663" s="334"/>
      <c r="O663" s="334"/>
      <c r="P663" s="334"/>
      <c r="Q663" s="334"/>
      <c r="R663" s="114"/>
      <c r="S663" s="114"/>
      <c r="T663" s="196"/>
      <c r="U663" s="196"/>
      <c r="V663" s="196"/>
      <c r="W663" s="196"/>
      <c r="X663" s="196"/>
      <c r="Y663" s="196"/>
      <c r="Z663" s="196"/>
      <c r="AA663" s="196"/>
      <c r="AB663" s="196"/>
      <c r="AC663" s="196"/>
      <c r="AD663" s="196"/>
      <c r="AE663" s="196"/>
    </row>
    <row r="664" ht="20.25" customHeight="1" spans="1:31" x14ac:dyDescent="0.25">
      <c r="A664" s="114"/>
      <c r="B664" s="114"/>
      <c r="C664" s="114"/>
      <c r="D664" s="114"/>
      <c r="E664" s="114"/>
      <c r="F664" s="114"/>
      <c r="G664" s="114"/>
      <c r="H664" s="114"/>
      <c r="I664" s="114"/>
      <c r="J664" s="114"/>
      <c r="K664" s="334"/>
      <c r="L664" s="334"/>
      <c r="M664" s="334"/>
      <c r="N664" s="334"/>
      <c r="O664" s="334"/>
      <c r="P664" s="334"/>
      <c r="Q664" s="334"/>
      <c r="R664" s="114"/>
      <c r="S664" s="114"/>
      <c r="T664" s="196"/>
      <c r="U664" s="196"/>
      <c r="V664" s="196"/>
      <c r="W664" s="196"/>
      <c r="X664" s="196"/>
      <c r="Y664" s="196"/>
      <c r="Z664" s="196"/>
      <c r="AA664" s="196"/>
      <c r="AB664" s="196"/>
      <c r="AC664" s="196"/>
      <c r="AD664" s="196"/>
      <c r="AE664" s="196"/>
    </row>
    <row r="665" ht="30" customHeight="1" spans="1:31" x14ac:dyDescent="0.25">
      <c r="A665" s="323" t="s">
        <v>721</v>
      </c>
      <c r="B665" s="14"/>
      <c r="C665" s="14"/>
      <c r="D665" s="14"/>
      <c r="E665" s="15"/>
      <c r="F665" s="323" t="s">
        <v>722</v>
      </c>
      <c r="G665" s="14"/>
      <c r="H665" s="14"/>
      <c r="I665" s="14"/>
      <c r="J665" s="14"/>
      <c r="K665" s="324" t="s">
        <v>723</v>
      </c>
      <c r="L665" s="324"/>
      <c r="M665" s="324"/>
      <c r="N665" s="324"/>
      <c r="O665" s="324"/>
      <c r="P665" s="324"/>
      <c r="Q665" s="324"/>
      <c r="R665" s="324"/>
      <c r="S665" s="335" t="s">
        <v>724</v>
      </c>
      <c r="T665" s="336"/>
      <c r="U665" s="219"/>
      <c r="V665" s="219"/>
      <c r="W665" s="219"/>
      <c r="X665" s="196"/>
      <c r="Y665" s="196"/>
      <c r="Z665" s="196"/>
      <c r="AA665" s="196"/>
      <c r="AB665" s="196"/>
      <c r="AC665" s="196"/>
      <c r="AD665" s="196"/>
      <c r="AE665" s="196"/>
    </row>
    <row r="666" ht="15" customHeight="1" spans="1:31" x14ac:dyDescent="0.25">
      <c r="A666" s="327" t="s">
        <v>747</v>
      </c>
      <c r="B666" s="328" t="s">
        <v>748</v>
      </c>
      <c r="C666" s="29"/>
      <c r="D666" s="328" t="s">
        <v>749</v>
      </c>
      <c r="E666" s="29"/>
      <c r="F666" s="329" t="s">
        <v>750</v>
      </c>
      <c r="G666" s="28"/>
      <c r="H666" s="28"/>
      <c r="I666" s="28"/>
      <c r="J666" s="28"/>
      <c r="K666" s="330" t="s">
        <v>751</v>
      </c>
      <c r="L666" s="330"/>
      <c r="M666" s="330"/>
      <c r="N666" s="330"/>
      <c r="O666" s="330"/>
      <c r="P666" s="330"/>
      <c r="Q666" s="330"/>
      <c r="R666" s="330"/>
      <c r="S666" s="337" t="s">
        <v>752</v>
      </c>
      <c r="T666" s="338"/>
      <c r="U666" s="170"/>
      <c r="V666" s="170"/>
      <c r="W666" s="170"/>
      <c r="X666" s="114"/>
      <c r="Y666" s="114"/>
      <c r="Z666" s="114"/>
      <c r="AA666" s="114"/>
      <c r="AB666" s="114"/>
      <c r="AC666" s="114"/>
      <c r="AD666" s="114"/>
      <c r="AE666" s="114"/>
    </row>
    <row r="667" ht="14.25" customHeight="1" spans="1:31" x14ac:dyDescent="0.25">
      <c r="A667" s="295"/>
      <c r="B667" s="16"/>
      <c r="C667" s="332"/>
      <c r="D667" s="16"/>
      <c r="E667" s="332"/>
      <c r="F667" s="16"/>
      <c r="G667" s="137"/>
      <c r="H667" s="137"/>
      <c r="I667" s="137"/>
      <c r="J667" s="137"/>
      <c r="K667" s="330"/>
      <c r="L667" s="330"/>
      <c r="M667" s="330"/>
      <c r="N667" s="330"/>
      <c r="O667" s="330"/>
      <c r="P667" s="330"/>
      <c r="Q667" s="330"/>
      <c r="R667" s="330"/>
      <c r="S667" s="339"/>
      <c r="T667" s="205"/>
      <c r="U667" s="170"/>
      <c r="V667" s="170"/>
      <c r="W667" s="170"/>
      <c r="X667" s="114"/>
      <c r="Y667" s="114"/>
      <c r="Z667" s="114"/>
      <c r="AA667" s="114"/>
      <c r="AB667" s="114"/>
      <c r="AC667" s="114"/>
      <c r="AD667" s="114"/>
      <c r="AE667" s="114"/>
    </row>
    <row r="668" ht="14.25" customHeight="1" spans="1:31" x14ac:dyDescent="0.25">
      <c r="A668" s="295"/>
      <c r="B668" s="197"/>
      <c r="C668" s="10"/>
      <c r="D668" s="197"/>
      <c r="E668" s="10"/>
      <c r="F668" s="197"/>
      <c r="G668" s="9"/>
      <c r="H668" s="9"/>
      <c r="I668" s="9"/>
      <c r="J668" s="9"/>
      <c r="K668" s="330"/>
      <c r="L668" s="330"/>
      <c r="M668" s="330"/>
      <c r="N668" s="330"/>
      <c r="O668" s="330"/>
      <c r="P668" s="330"/>
      <c r="Q668" s="330"/>
      <c r="R668" s="330"/>
      <c r="S668" s="339"/>
      <c r="T668" s="205"/>
      <c r="U668" s="170"/>
      <c r="V668" s="170"/>
      <c r="W668" s="170"/>
      <c r="X668" s="114"/>
      <c r="Y668" s="114"/>
      <c r="Z668" s="114"/>
      <c r="AA668" s="114"/>
      <c r="AB668" s="114"/>
      <c r="AC668" s="114"/>
      <c r="AD668" s="114"/>
      <c r="AE668" s="114"/>
    </row>
    <row r="669" ht="14.25" customHeight="1" spans="1:31" x14ac:dyDescent="0.25">
      <c r="A669" s="295"/>
      <c r="B669" s="328" t="s">
        <v>753</v>
      </c>
      <c r="C669" s="29"/>
      <c r="D669" s="333" t="s">
        <v>754</v>
      </c>
      <c r="E669" s="29"/>
      <c r="F669" s="329" t="s">
        <v>755</v>
      </c>
      <c r="G669" s="28"/>
      <c r="H669" s="28"/>
      <c r="I669" s="28"/>
      <c r="J669" s="28"/>
      <c r="K669" s="330" t="s">
        <v>756</v>
      </c>
      <c r="L669" s="330"/>
      <c r="M669" s="330"/>
      <c r="N669" s="330"/>
      <c r="O669" s="330"/>
      <c r="P669" s="330"/>
      <c r="Q669" s="330"/>
      <c r="R669" s="330"/>
      <c r="S669" s="339"/>
      <c r="T669" s="205"/>
      <c r="U669" s="170"/>
      <c r="V669" s="170"/>
      <c r="W669" s="170"/>
      <c r="X669" s="114"/>
      <c r="Y669" s="114"/>
      <c r="Z669" s="114"/>
      <c r="AA669" s="114"/>
      <c r="AB669" s="114"/>
      <c r="AC669" s="114"/>
      <c r="AD669" s="114"/>
      <c r="AE669" s="114"/>
    </row>
    <row r="670" ht="14.25" customHeight="1" spans="1:31" x14ac:dyDescent="0.25">
      <c r="A670" s="295"/>
      <c r="B670" s="16"/>
      <c r="C670" s="332"/>
      <c r="D670" s="16"/>
      <c r="E670" s="332"/>
      <c r="F670" s="16"/>
      <c r="G670" s="137"/>
      <c r="H670" s="137"/>
      <c r="I670" s="137"/>
      <c r="J670" s="137"/>
      <c r="K670" s="330"/>
      <c r="L670" s="330"/>
      <c r="M670" s="330"/>
      <c r="N670" s="330"/>
      <c r="O670" s="330"/>
      <c r="P670" s="330"/>
      <c r="Q670" s="330"/>
      <c r="R670" s="330"/>
      <c r="S670" s="339"/>
      <c r="T670" s="205"/>
      <c r="U670" s="170"/>
      <c r="V670" s="170"/>
      <c r="W670" s="170"/>
      <c r="X670" s="114"/>
      <c r="Y670" s="114"/>
      <c r="Z670" s="114"/>
      <c r="AA670" s="114"/>
      <c r="AB670" s="114"/>
      <c r="AC670" s="114"/>
      <c r="AD670" s="114"/>
      <c r="AE670" s="114"/>
    </row>
    <row r="671" ht="14.25" customHeight="1" spans="1:31" x14ac:dyDescent="0.25">
      <c r="A671" s="295"/>
      <c r="B671" s="16"/>
      <c r="C671" s="332"/>
      <c r="D671" s="16"/>
      <c r="E671" s="332"/>
      <c r="F671" s="16"/>
      <c r="G671" s="137"/>
      <c r="H671" s="137"/>
      <c r="I671" s="137"/>
      <c r="J671" s="137"/>
      <c r="K671" s="330"/>
      <c r="L671" s="330"/>
      <c r="M671" s="330"/>
      <c r="N671" s="330"/>
      <c r="O671" s="330"/>
      <c r="P671" s="330"/>
      <c r="Q671" s="330"/>
      <c r="R671" s="330"/>
      <c r="S671" s="339"/>
      <c r="T671" s="205"/>
      <c r="U671" s="170"/>
      <c r="V671" s="170"/>
      <c r="W671" s="170"/>
      <c r="X671" s="114"/>
      <c r="Y671" s="114"/>
      <c r="Z671" s="114"/>
      <c r="AA671" s="114"/>
      <c r="AB671" s="114"/>
      <c r="AC671" s="114"/>
      <c r="AD671" s="114"/>
      <c r="AE671" s="114"/>
    </row>
    <row r="672" ht="14.25" customHeight="1" spans="1:31" x14ac:dyDescent="0.25">
      <c r="A672" s="295"/>
      <c r="B672" s="16"/>
      <c r="C672" s="332"/>
      <c r="D672" s="16"/>
      <c r="E672" s="332"/>
      <c r="F672" s="16"/>
      <c r="G672" s="137"/>
      <c r="H672" s="137"/>
      <c r="I672" s="137"/>
      <c r="J672" s="137"/>
      <c r="K672" s="330"/>
      <c r="L672" s="330"/>
      <c r="M672" s="330"/>
      <c r="N672" s="330"/>
      <c r="O672" s="330"/>
      <c r="P672" s="330"/>
      <c r="Q672" s="330"/>
      <c r="R672" s="330"/>
      <c r="S672" s="339"/>
      <c r="T672" s="205"/>
      <c r="U672" s="170"/>
      <c r="V672" s="170"/>
      <c r="W672" s="170"/>
      <c r="X672" s="114"/>
      <c r="Y672" s="114"/>
      <c r="Z672" s="114"/>
      <c r="AA672" s="114"/>
      <c r="AB672" s="114"/>
      <c r="AC672" s="114"/>
      <c r="AD672" s="114"/>
      <c r="AE672" s="114"/>
    </row>
    <row r="673" ht="14.25" customHeight="1" spans="1:31" x14ac:dyDescent="0.25">
      <c r="A673" s="295"/>
      <c r="B673" s="16"/>
      <c r="C673" s="332"/>
      <c r="D673" s="16"/>
      <c r="E673" s="332"/>
      <c r="F673" s="16"/>
      <c r="G673" s="137"/>
      <c r="H673" s="137"/>
      <c r="I673" s="137"/>
      <c r="J673" s="137"/>
      <c r="K673" s="330"/>
      <c r="L673" s="330"/>
      <c r="M673" s="330"/>
      <c r="N673" s="330"/>
      <c r="O673" s="330"/>
      <c r="P673" s="330"/>
      <c r="Q673" s="330"/>
      <c r="R673" s="330"/>
      <c r="S673" s="339"/>
      <c r="T673" s="205"/>
      <c r="U673" s="170"/>
      <c r="V673" s="170"/>
      <c r="W673" s="170"/>
      <c r="X673" s="114"/>
      <c r="Y673" s="114"/>
      <c r="Z673" s="114"/>
      <c r="AA673" s="114"/>
      <c r="AB673" s="114"/>
      <c r="AC673" s="114"/>
      <c r="AD673" s="114"/>
      <c r="AE673" s="114"/>
    </row>
    <row r="674" ht="14.25" customHeight="1" spans="1:31" x14ac:dyDescent="0.25">
      <c r="A674" s="295"/>
      <c r="B674" s="16"/>
      <c r="C674" s="332"/>
      <c r="D674" s="16"/>
      <c r="E674" s="332"/>
      <c r="F674" s="16"/>
      <c r="G674" s="137"/>
      <c r="H674" s="137"/>
      <c r="I674" s="137"/>
      <c r="J674" s="137"/>
      <c r="K674" s="330"/>
      <c r="L674" s="330"/>
      <c r="M674" s="330"/>
      <c r="N674" s="330"/>
      <c r="O674" s="330"/>
      <c r="P674" s="330"/>
      <c r="Q674" s="330"/>
      <c r="R674" s="330"/>
      <c r="S674" s="339"/>
      <c r="T674" s="205"/>
      <c r="U674" s="170"/>
      <c r="V674" s="170"/>
      <c r="W674" s="170"/>
      <c r="X674" s="114"/>
      <c r="Y674" s="114"/>
      <c r="Z674" s="114"/>
      <c r="AA674" s="114"/>
      <c r="AB674" s="114"/>
      <c r="AC674" s="114"/>
      <c r="AD674" s="114"/>
      <c r="AE674" s="114"/>
    </row>
    <row r="675" ht="14.25" customHeight="1" spans="1:31" x14ac:dyDescent="0.25">
      <c r="A675" s="295"/>
      <c r="B675" s="16"/>
      <c r="C675" s="332"/>
      <c r="D675" s="16"/>
      <c r="E675" s="332"/>
      <c r="F675" s="16"/>
      <c r="G675" s="137"/>
      <c r="H675" s="137"/>
      <c r="I675" s="137"/>
      <c r="J675" s="137"/>
      <c r="K675" s="330"/>
      <c r="L675" s="330"/>
      <c r="M675" s="330"/>
      <c r="N675" s="330"/>
      <c r="O675" s="330"/>
      <c r="P675" s="330"/>
      <c r="Q675" s="330"/>
      <c r="R675" s="330"/>
      <c r="S675" s="339"/>
      <c r="T675" s="205"/>
      <c r="U675" s="170"/>
      <c r="V675" s="170"/>
      <c r="W675" s="170"/>
      <c r="X675" s="114"/>
      <c r="Y675" s="114"/>
      <c r="Z675" s="114"/>
      <c r="AA675" s="114"/>
      <c r="AB675" s="114"/>
      <c r="AC675" s="114"/>
      <c r="AD675" s="114"/>
      <c r="AE675" s="114"/>
    </row>
    <row r="676" ht="14.25" customHeight="1" spans="1:31" x14ac:dyDescent="0.25">
      <c r="A676" s="295"/>
      <c r="B676" s="16"/>
      <c r="C676" s="332"/>
      <c r="D676" s="16"/>
      <c r="E676" s="332"/>
      <c r="F676" s="16"/>
      <c r="G676" s="137"/>
      <c r="H676" s="137"/>
      <c r="I676" s="137"/>
      <c r="J676" s="137"/>
      <c r="K676" s="330"/>
      <c r="L676" s="330"/>
      <c r="M676" s="330"/>
      <c r="N676" s="330"/>
      <c r="O676" s="330"/>
      <c r="P676" s="330"/>
      <c r="Q676" s="330"/>
      <c r="R676" s="330"/>
      <c r="S676" s="339"/>
      <c r="T676" s="205"/>
      <c r="U676" s="170"/>
      <c r="V676" s="170"/>
      <c r="W676" s="170"/>
      <c r="X676" s="114"/>
      <c r="Y676" s="114"/>
      <c r="Z676" s="114"/>
      <c r="AA676" s="114"/>
      <c r="AB676" s="114"/>
      <c r="AC676" s="114"/>
      <c r="AD676" s="114"/>
      <c r="AE676" s="114"/>
    </row>
    <row r="677" ht="14.25" customHeight="1" spans="1:31" x14ac:dyDescent="0.25">
      <c r="A677" s="295"/>
      <c r="B677" s="16"/>
      <c r="C677" s="332"/>
      <c r="D677" s="16"/>
      <c r="E677" s="332"/>
      <c r="F677" s="16"/>
      <c r="G677" s="137"/>
      <c r="H677" s="137"/>
      <c r="I677" s="137"/>
      <c r="J677" s="137"/>
      <c r="K677" s="330"/>
      <c r="L677" s="330"/>
      <c r="M677" s="330"/>
      <c r="N677" s="330"/>
      <c r="O677" s="330"/>
      <c r="P677" s="330"/>
      <c r="Q677" s="330"/>
      <c r="R677" s="330"/>
      <c r="S677" s="339"/>
      <c r="T677" s="205"/>
      <c r="U677" s="170"/>
      <c r="V677" s="170"/>
      <c r="W677" s="170"/>
      <c r="X677" s="114"/>
      <c r="Y677" s="114"/>
      <c r="Z677" s="114"/>
      <c r="AA677" s="114"/>
      <c r="AB677" s="114"/>
      <c r="AC677" s="114"/>
      <c r="AD677" s="114"/>
      <c r="AE677" s="114"/>
    </row>
    <row r="678" ht="14.25" customHeight="1" spans="1:31" x14ac:dyDescent="0.25">
      <c r="A678" s="295"/>
      <c r="B678" s="197"/>
      <c r="C678" s="10"/>
      <c r="D678" s="197"/>
      <c r="E678" s="10"/>
      <c r="F678" s="197"/>
      <c r="G678" s="9"/>
      <c r="H678" s="9"/>
      <c r="I678" s="9"/>
      <c r="J678" s="9"/>
      <c r="K678" s="330"/>
      <c r="L678" s="330"/>
      <c r="M678" s="330"/>
      <c r="N678" s="330"/>
      <c r="O678" s="330"/>
      <c r="P678" s="330"/>
      <c r="Q678" s="330"/>
      <c r="R678" s="330"/>
      <c r="S678" s="340"/>
      <c r="T678" s="341"/>
      <c r="U678" s="170"/>
      <c r="V678" s="170"/>
      <c r="W678" s="170"/>
      <c r="X678" s="114"/>
      <c r="Y678" s="114"/>
      <c r="Z678" s="114"/>
      <c r="AA678" s="114"/>
      <c r="AB678" s="114"/>
      <c r="AC678" s="114"/>
      <c r="AD678" s="114"/>
      <c r="AE678" s="114"/>
    </row>
    <row r="679" ht="14.25" customHeight="1" spans="1:31" x14ac:dyDescent="0.25">
      <c r="A679" s="295"/>
      <c r="B679" s="333" t="s">
        <v>757</v>
      </c>
      <c r="C679" s="29"/>
      <c r="D679" s="333" t="s">
        <v>758</v>
      </c>
      <c r="E679" s="29"/>
      <c r="F679" s="329" t="s">
        <v>759</v>
      </c>
      <c r="G679" s="28"/>
      <c r="H679" s="28"/>
      <c r="I679" s="28"/>
      <c r="J679" s="28"/>
      <c r="K679" s="330" t="s">
        <v>760</v>
      </c>
      <c r="L679" s="330"/>
      <c r="M679" s="330"/>
      <c r="N679" s="330"/>
      <c r="O679" s="330"/>
      <c r="P679" s="330"/>
      <c r="Q679" s="330"/>
      <c r="R679" s="330"/>
      <c r="S679" s="342" t="s">
        <v>752</v>
      </c>
      <c r="T679" s="343"/>
      <c r="U679" s="170"/>
      <c r="V679" s="170"/>
      <c r="W679" s="170"/>
      <c r="X679" s="114"/>
      <c r="Y679" s="114"/>
      <c r="Z679" s="114"/>
      <c r="AA679" s="114"/>
      <c r="AB679" s="114"/>
      <c r="AC679" s="114"/>
      <c r="AD679" s="114"/>
      <c r="AE679" s="114"/>
    </row>
    <row r="680" ht="15.75" customHeight="1" spans="1:31" x14ac:dyDescent="0.25">
      <c r="A680" s="295"/>
      <c r="B680" s="16"/>
      <c r="C680" s="332"/>
      <c r="D680" s="16"/>
      <c r="E680" s="332"/>
      <c r="F680" s="16"/>
      <c r="G680" s="137"/>
      <c r="H680" s="137"/>
      <c r="I680" s="137"/>
      <c r="J680" s="137"/>
      <c r="K680" s="330"/>
      <c r="L680" s="330"/>
      <c r="M680" s="330"/>
      <c r="N680" s="330"/>
      <c r="O680" s="330"/>
      <c r="P680" s="330"/>
      <c r="Q680" s="330"/>
      <c r="R680" s="330"/>
      <c r="S680" s="339"/>
      <c r="T680" s="344"/>
      <c r="U680" s="170"/>
      <c r="V680" s="170"/>
      <c r="W680" s="170"/>
      <c r="X680" s="114"/>
      <c r="Y680" s="114"/>
      <c r="Z680" s="114"/>
      <c r="AA680" s="114"/>
      <c r="AB680" s="114"/>
      <c r="AC680" s="114"/>
      <c r="AD680" s="114"/>
      <c r="AE680" s="114"/>
    </row>
    <row r="681" ht="15.75" customHeight="1" spans="1:31" x14ac:dyDescent="0.25">
      <c r="A681" s="295"/>
      <c r="B681" s="16"/>
      <c r="C681" s="332"/>
      <c r="D681" s="16"/>
      <c r="E681" s="332"/>
      <c r="F681" s="16"/>
      <c r="G681" s="137"/>
      <c r="H681" s="137"/>
      <c r="I681" s="137"/>
      <c r="J681" s="137"/>
      <c r="K681" s="330"/>
      <c r="L681" s="330"/>
      <c r="M681" s="330"/>
      <c r="N681" s="330"/>
      <c r="O681" s="330"/>
      <c r="P681" s="330"/>
      <c r="Q681" s="330"/>
      <c r="R681" s="330"/>
      <c r="S681" s="339"/>
      <c r="T681" s="344"/>
      <c r="U681" s="170"/>
      <c r="V681" s="170"/>
      <c r="W681" s="170"/>
      <c r="X681" s="114"/>
      <c r="Y681" s="114"/>
      <c r="Z681" s="114"/>
      <c r="AA681" s="114"/>
      <c r="AB681" s="114"/>
      <c r="AC681" s="114"/>
      <c r="AD681" s="114"/>
      <c r="AE681" s="114"/>
    </row>
    <row r="682" ht="15.75" customHeight="1" spans="1:31" x14ac:dyDescent="0.25">
      <c r="A682" s="295"/>
      <c r="B682" s="197"/>
      <c r="C682" s="10"/>
      <c r="D682" s="197"/>
      <c r="E682" s="10"/>
      <c r="F682" s="197"/>
      <c r="G682" s="9"/>
      <c r="H682" s="9"/>
      <c r="I682" s="9"/>
      <c r="J682" s="9"/>
      <c r="K682" s="330"/>
      <c r="L682" s="330"/>
      <c r="M682" s="330"/>
      <c r="N682" s="330"/>
      <c r="O682" s="330"/>
      <c r="P682" s="330"/>
      <c r="Q682" s="330"/>
      <c r="R682" s="330"/>
      <c r="S682" s="339"/>
      <c r="T682" s="344"/>
      <c r="U682" s="170"/>
      <c r="V682" s="170"/>
      <c r="W682" s="170"/>
      <c r="X682" s="114"/>
      <c r="Y682" s="114"/>
      <c r="Z682" s="114"/>
      <c r="AA682" s="114"/>
      <c r="AB682" s="114"/>
      <c r="AC682" s="114"/>
      <c r="AD682" s="114"/>
      <c r="AE682" s="114"/>
    </row>
    <row r="683" ht="15.75" customHeight="1" spans="1:31" x14ac:dyDescent="0.25">
      <c r="A683" s="295"/>
      <c r="B683" s="328" t="s">
        <v>761</v>
      </c>
      <c r="C683" s="29"/>
      <c r="D683" s="328" t="s">
        <v>762</v>
      </c>
      <c r="E683" s="29"/>
      <c r="F683" s="329" t="s">
        <v>763</v>
      </c>
      <c r="G683" s="28"/>
      <c r="H683" s="28"/>
      <c r="I683" s="28"/>
      <c r="J683" s="28"/>
      <c r="K683" s="330" t="s">
        <v>764</v>
      </c>
      <c r="L683" s="330"/>
      <c r="M683" s="330"/>
      <c r="N683" s="330"/>
      <c r="O683" s="330"/>
      <c r="P683" s="330"/>
      <c r="Q683" s="330"/>
      <c r="R683" s="330"/>
      <c r="S683" s="339"/>
      <c r="T683" s="344"/>
      <c r="U683" s="170"/>
      <c r="V683" s="170"/>
      <c r="W683" s="170"/>
      <c r="X683" s="114"/>
      <c r="Y683" s="114"/>
      <c r="Z683" s="114"/>
      <c r="AA683" s="114"/>
      <c r="AB683" s="114"/>
      <c r="AC683" s="114"/>
      <c r="AD683" s="114"/>
      <c r="AE683" s="114"/>
    </row>
    <row r="684" ht="15" customHeight="1" spans="1:31" x14ac:dyDescent="0.25">
      <c r="A684" s="295"/>
      <c r="B684" s="16"/>
      <c r="C684" s="332"/>
      <c r="D684" s="16"/>
      <c r="E684" s="332"/>
      <c r="F684" s="16"/>
      <c r="G684" s="137"/>
      <c r="H684" s="137"/>
      <c r="I684" s="137"/>
      <c r="J684" s="137"/>
      <c r="K684" s="330"/>
      <c r="L684" s="330"/>
      <c r="M684" s="330"/>
      <c r="N684" s="330"/>
      <c r="O684" s="330"/>
      <c r="P684" s="330"/>
      <c r="Q684" s="330"/>
      <c r="R684" s="330"/>
      <c r="S684" s="339"/>
      <c r="T684" s="344"/>
      <c r="U684" s="170"/>
      <c r="V684" s="170"/>
      <c r="W684" s="170"/>
      <c r="X684" s="114"/>
      <c r="Y684" s="114"/>
      <c r="Z684" s="114"/>
      <c r="AA684" s="114"/>
      <c r="AB684" s="114"/>
      <c r="AC684" s="114"/>
      <c r="AD684" s="114"/>
      <c r="AE684" s="114"/>
    </row>
    <row r="685" ht="15" customHeight="1" spans="1:31" x14ac:dyDescent="0.25">
      <c r="A685" s="295"/>
      <c r="B685" s="16"/>
      <c r="C685" s="332"/>
      <c r="D685" s="16"/>
      <c r="E685" s="332"/>
      <c r="F685" s="16"/>
      <c r="G685" s="137"/>
      <c r="H685" s="137"/>
      <c r="I685" s="137"/>
      <c r="J685" s="137"/>
      <c r="K685" s="330"/>
      <c r="L685" s="330"/>
      <c r="M685" s="330"/>
      <c r="N685" s="330"/>
      <c r="O685" s="330"/>
      <c r="P685" s="330"/>
      <c r="Q685" s="330"/>
      <c r="R685" s="330"/>
      <c r="S685" s="339"/>
      <c r="T685" s="344"/>
      <c r="U685" s="170"/>
      <c r="V685" s="170"/>
      <c r="W685" s="170"/>
      <c r="X685" s="114"/>
      <c r="Y685" s="114"/>
      <c r="Z685" s="114"/>
      <c r="AA685" s="114"/>
      <c r="AB685" s="114"/>
      <c r="AC685" s="114"/>
      <c r="AD685" s="114"/>
      <c r="AE685" s="114"/>
    </row>
    <row r="686" ht="15" customHeight="1" spans="1:31" x14ac:dyDescent="0.25">
      <c r="A686" s="295"/>
      <c r="B686" s="197"/>
      <c r="C686" s="10"/>
      <c r="D686" s="197"/>
      <c r="E686" s="10"/>
      <c r="F686" s="197"/>
      <c r="G686" s="9"/>
      <c r="H686" s="9"/>
      <c r="I686" s="9"/>
      <c r="J686" s="9"/>
      <c r="K686" s="330"/>
      <c r="L686" s="330"/>
      <c r="M686" s="330"/>
      <c r="N686" s="330"/>
      <c r="O686" s="330"/>
      <c r="P686" s="330"/>
      <c r="Q686" s="330"/>
      <c r="R686" s="330"/>
      <c r="S686" s="339"/>
      <c r="T686" s="344"/>
      <c r="U686" s="170"/>
      <c r="V686" s="170"/>
      <c r="W686" s="170"/>
      <c r="X686" s="114"/>
      <c r="Y686" s="114"/>
      <c r="Z686" s="114"/>
      <c r="AA686" s="114"/>
      <c r="AB686" s="114"/>
      <c r="AC686" s="114"/>
      <c r="AD686" s="114"/>
      <c r="AE686" s="114"/>
    </row>
    <row r="687" ht="15" customHeight="1" spans="1:31" x14ac:dyDescent="0.25">
      <c r="A687" s="295"/>
      <c r="B687" s="328" t="s">
        <v>765</v>
      </c>
      <c r="C687" s="29"/>
      <c r="D687" s="333" t="s">
        <v>766</v>
      </c>
      <c r="E687" s="29"/>
      <c r="F687" s="345" t="s">
        <v>767</v>
      </c>
      <c r="G687" s="28"/>
      <c r="H687" s="28"/>
      <c r="I687" s="28"/>
      <c r="J687" s="28"/>
      <c r="K687" s="330" t="s">
        <v>768</v>
      </c>
      <c r="L687" s="330"/>
      <c r="M687" s="330"/>
      <c r="N687" s="330"/>
      <c r="O687" s="330"/>
      <c r="P687" s="330"/>
      <c r="Q687" s="330"/>
      <c r="R687" s="330"/>
      <c r="S687" s="339"/>
      <c r="T687" s="344"/>
      <c r="U687" s="170"/>
      <c r="V687" s="170"/>
      <c r="W687" s="170"/>
      <c r="X687" s="114"/>
      <c r="Y687" s="114"/>
      <c r="Z687" s="114"/>
      <c r="AA687" s="114"/>
      <c r="AB687" s="114"/>
      <c r="AC687" s="114"/>
      <c r="AD687" s="114"/>
      <c r="AE687" s="114"/>
    </row>
    <row r="688" ht="15" customHeight="1" spans="1:31" x14ac:dyDescent="0.25">
      <c r="A688" s="295"/>
      <c r="B688" s="16"/>
      <c r="C688" s="332"/>
      <c r="D688" s="16"/>
      <c r="E688" s="332"/>
      <c r="F688" s="16"/>
      <c r="G688" s="137"/>
      <c r="H688" s="137"/>
      <c r="I688" s="137"/>
      <c r="J688" s="137"/>
      <c r="K688" s="330"/>
      <c r="L688" s="330"/>
      <c r="M688" s="330"/>
      <c r="N688" s="330"/>
      <c r="O688" s="330"/>
      <c r="P688" s="330"/>
      <c r="Q688" s="330"/>
      <c r="R688" s="330"/>
      <c r="S688" s="339"/>
      <c r="T688" s="344"/>
      <c r="U688" s="170"/>
      <c r="V688" s="170"/>
      <c r="W688" s="170"/>
      <c r="X688" s="114"/>
      <c r="Y688" s="114"/>
      <c r="Z688" s="114"/>
      <c r="AA688" s="114"/>
      <c r="AB688" s="114"/>
      <c r="AC688" s="114"/>
      <c r="AD688" s="114"/>
      <c r="AE688" s="114"/>
    </row>
    <row r="689" ht="15" customHeight="1" spans="1:31" x14ac:dyDescent="0.25">
      <c r="A689" s="295"/>
      <c r="B689" s="16"/>
      <c r="C689" s="332"/>
      <c r="D689" s="16"/>
      <c r="E689" s="332"/>
      <c r="F689" s="16"/>
      <c r="G689" s="137"/>
      <c r="H689" s="137"/>
      <c r="I689" s="137"/>
      <c r="J689" s="137"/>
      <c r="K689" s="330"/>
      <c r="L689" s="330"/>
      <c r="M689" s="330"/>
      <c r="N689" s="330"/>
      <c r="O689" s="330"/>
      <c r="P689" s="330"/>
      <c r="Q689" s="330"/>
      <c r="R689" s="330"/>
      <c r="S689" s="339"/>
      <c r="T689" s="344"/>
      <c r="U689" s="170"/>
      <c r="V689" s="170"/>
      <c r="W689" s="170"/>
      <c r="X689" s="114"/>
      <c r="Y689" s="114"/>
      <c r="Z689" s="114"/>
      <c r="AA689" s="114"/>
      <c r="AB689" s="114"/>
      <c r="AC689" s="114"/>
      <c r="AD689" s="114"/>
      <c r="AE689" s="114"/>
    </row>
    <row r="690" ht="15.75" customHeight="1" spans="1:31" x14ac:dyDescent="0.25">
      <c r="A690" s="295"/>
      <c r="B690" s="16"/>
      <c r="C690" s="332"/>
      <c r="D690" s="16"/>
      <c r="E690" s="332"/>
      <c r="F690" s="16"/>
      <c r="G690" s="137"/>
      <c r="H690" s="137"/>
      <c r="I690" s="137"/>
      <c r="J690" s="137"/>
      <c r="K690" s="330"/>
      <c r="L690" s="330"/>
      <c r="M690" s="330"/>
      <c r="N690" s="330"/>
      <c r="O690" s="330"/>
      <c r="P690" s="330"/>
      <c r="Q690" s="330"/>
      <c r="R690" s="330"/>
      <c r="S690" s="339"/>
      <c r="T690" s="344"/>
      <c r="U690" s="170"/>
      <c r="V690" s="170"/>
      <c r="W690" s="170"/>
      <c r="X690" s="114"/>
      <c r="Y690" s="114"/>
      <c r="Z690" s="114"/>
      <c r="AA690" s="114"/>
      <c r="AB690" s="114"/>
      <c r="AC690" s="114"/>
      <c r="AD690" s="114"/>
      <c r="AE690" s="114"/>
    </row>
    <row r="691" ht="15.75" customHeight="1" spans="1:31" x14ac:dyDescent="0.25">
      <c r="A691" s="295"/>
      <c r="B691" s="16"/>
      <c r="C691" s="332"/>
      <c r="D691" s="16"/>
      <c r="E691" s="332"/>
      <c r="F691" s="16"/>
      <c r="G691" s="137"/>
      <c r="H691" s="137"/>
      <c r="I691" s="137"/>
      <c r="J691" s="137"/>
      <c r="K691" s="330"/>
      <c r="L691" s="330"/>
      <c r="M691" s="330"/>
      <c r="N691" s="330"/>
      <c r="O691" s="330"/>
      <c r="P691" s="330"/>
      <c r="Q691" s="330"/>
      <c r="R691" s="330"/>
      <c r="S691" s="339"/>
      <c r="T691" s="344"/>
      <c r="U691" s="170"/>
      <c r="V691" s="170"/>
      <c r="W691" s="170"/>
      <c r="X691" s="114"/>
      <c r="Y691" s="114"/>
      <c r="Z691" s="114"/>
      <c r="AA691" s="114"/>
      <c r="AB691" s="114"/>
      <c r="AC691" s="114"/>
      <c r="AD691" s="114"/>
      <c r="AE691" s="114"/>
    </row>
    <row r="692" ht="15.75" customHeight="1" spans="1:31" x14ac:dyDescent="0.25">
      <c r="A692" s="295"/>
      <c r="B692" s="16"/>
      <c r="C692" s="332"/>
      <c r="D692" s="16"/>
      <c r="E692" s="332"/>
      <c r="F692" s="16"/>
      <c r="G692" s="137"/>
      <c r="H692" s="137"/>
      <c r="I692" s="137"/>
      <c r="J692" s="137"/>
      <c r="K692" s="330"/>
      <c r="L692" s="330"/>
      <c r="M692" s="330"/>
      <c r="N692" s="330"/>
      <c r="O692" s="330"/>
      <c r="P692" s="330"/>
      <c r="Q692" s="330"/>
      <c r="R692" s="330"/>
      <c r="S692" s="339"/>
      <c r="T692" s="344"/>
      <c r="U692" s="170"/>
      <c r="V692" s="170"/>
      <c r="W692" s="170"/>
      <c r="X692" s="114"/>
      <c r="Y692" s="114"/>
      <c r="Z692" s="114"/>
      <c r="AA692" s="114"/>
      <c r="AB692" s="114"/>
      <c r="AC692" s="114"/>
      <c r="AD692" s="114"/>
      <c r="AE692" s="114"/>
    </row>
    <row r="693" ht="15.75" customHeight="1" spans="1:31" x14ac:dyDescent="0.25">
      <c r="A693" s="295"/>
      <c r="B693" s="197"/>
      <c r="C693" s="10"/>
      <c r="D693" s="197"/>
      <c r="E693" s="10"/>
      <c r="F693" s="197"/>
      <c r="G693" s="9"/>
      <c r="H693" s="9"/>
      <c r="I693" s="9"/>
      <c r="J693" s="9"/>
      <c r="K693" s="330"/>
      <c r="L693" s="330"/>
      <c r="M693" s="330"/>
      <c r="N693" s="330"/>
      <c r="O693" s="330"/>
      <c r="P693" s="330"/>
      <c r="Q693" s="330"/>
      <c r="R693" s="330"/>
      <c r="S693" s="339"/>
      <c r="T693" s="344"/>
      <c r="U693" s="170"/>
      <c r="V693" s="170"/>
      <c r="W693" s="170"/>
      <c r="X693" s="114"/>
      <c r="Y693" s="114"/>
      <c r="Z693" s="114"/>
      <c r="AA693" s="114"/>
      <c r="AB693" s="114"/>
      <c r="AC693" s="114"/>
      <c r="AD693" s="114"/>
      <c r="AE693" s="114"/>
    </row>
    <row r="694" ht="15.75" customHeight="1" spans="1:31" x14ac:dyDescent="0.25">
      <c r="A694" s="295"/>
      <c r="B694" s="328" t="s">
        <v>769</v>
      </c>
      <c r="C694" s="29"/>
      <c r="D694" s="333" t="s">
        <v>766</v>
      </c>
      <c r="E694" s="29"/>
      <c r="F694" s="329" t="s">
        <v>770</v>
      </c>
      <c r="G694" s="28"/>
      <c r="H694" s="28"/>
      <c r="I694" s="28"/>
      <c r="J694" s="28"/>
      <c r="K694" s="330" t="s">
        <v>771</v>
      </c>
      <c r="L694" s="330"/>
      <c r="M694" s="330"/>
      <c r="N694" s="330"/>
      <c r="O694" s="330"/>
      <c r="P694" s="330"/>
      <c r="Q694" s="330"/>
      <c r="R694" s="330"/>
      <c r="S694" s="339"/>
      <c r="T694" s="344"/>
      <c r="U694" s="170"/>
      <c r="V694" s="170"/>
      <c r="W694" s="170"/>
      <c r="X694" s="114"/>
      <c r="Y694" s="114"/>
      <c r="Z694" s="114"/>
      <c r="AA694" s="114"/>
      <c r="AB694" s="114"/>
      <c r="AC694" s="114"/>
      <c r="AD694" s="114"/>
      <c r="AE694" s="114"/>
    </row>
    <row r="695" ht="12.75" customHeight="1" spans="1:31" x14ac:dyDescent="0.25">
      <c r="A695" s="295"/>
      <c r="B695" s="16"/>
      <c r="C695" s="332"/>
      <c r="D695" s="16"/>
      <c r="E695" s="332"/>
      <c r="F695" s="16"/>
      <c r="G695" s="137"/>
      <c r="H695" s="137"/>
      <c r="I695" s="137"/>
      <c r="J695" s="137"/>
      <c r="K695" s="330"/>
      <c r="L695" s="330"/>
      <c r="M695" s="330"/>
      <c r="N695" s="330"/>
      <c r="O695" s="330"/>
      <c r="P695" s="330"/>
      <c r="Q695" s="330"/>
      <c r="R695" s="330"/>
      <c r="S695" s="339"/>
      <c r="T695" s="344"/>
      <c r="U695" s="170"/>
      <c r="V695" s="170"/>
      <c r="W695" s="170"/>
      <c r="X695" s="114"/>
      <c r="Y695" s="114"/>
      <c r="Z695" s="114"/>
      <c r="AA695" s="114"/>
      <c r="AB695" s="114"/>
      <c r="AC695" s="114"/>
      <c r="AD695" s="114"/>
      <c r="AE695" s="114"/>
    </row>
    <row r="696" ht="12.75" customHeight="1" spans="1:31" x14ac:dyDescent="0.25">
      <c r="A696" s="295"/>
      <c r="B696" s="16"/>
      <c r="C696" s="332"/>
      <c r="D696" s="16"/>
      <c r="E696" s="332"/>
      <c r="F696" s="16"/>
      <c r="G696" s="137"/>
      <c r="H696" s="137"/>
      <c r="I696" s="137"/>
      <c r="J696" s="137"/>
      <c r="K696" s="330"/>
      <c r="L696" s="330"/>
      <c r="M696" s="330"/>
      <c r="N696" s="330"/>
      <c r="O696" s="330"/>
      <c r="P696" s="330"/>
      <c r="Q696" s="330"/>
      <c r="R696" s="330"/>
      <c r="S696" s="339"/>
      <c r="T696" s="344"/>
      <c r="U696" s="170"/>
      <c r="V696" s="170"/>
      <c r="W696" s="170"/>
      <c r="X696" s="114"/>
      <c r="Y696" s="114"/>
      <c r="Z696" s="114"/>
      <c r="AA696" s="114"/>
      <c r="AB696" s="114"/>
      <c r="AC696" s="114"/>
      <c r="AD696" s="114"/>
      <c r="AE696" s="114"/>
    </row>
    <row r="697" ht="12.75" customHeight="1" spans="1:31" x14ac:dyDescent="0.25">
      <c r="A697" s="295"/>
      <c r="B697" s="16"/>
      <c r="C697" s="332"/>
      <c r="D697" s="16"/>
      <c r="E697" s="332"/>
      <c r="F697" s="16"/>
      <c r="G697" s="137"/>
      <c r="H697" s="137"/>
      <c r="I697" s="137"/>
      <c r="J697" s="137"/>
      <c r="K697" s="330"/>
      <c r="L697" s="330"/>
      <c r="M697" s="330"/>
      <c r="N697" s="330"/>
      <c r="O697" s="330"/>
      <c r="P697" s="330"/>
      <c r="Q697" s="330"/>
      <c r="R697" s="330"/>
      <c r="S697" s="339"/>
      <c r="T697" s="344"/>
      <c r="U697" s="170"/>
      <c r="V697" s="170"/>
      <c r="W697" s="170"/>
      <c r="X697" s="114"/>
      <c r="Y697" s="114"/>
      <c r="Z697" s="114"/>
      <c r="AA697" s="114"/>
      <c r="AB697" s="114"/>
      <c r="AC697" s="114"/>
      <c r="AD697" s="114"/>
      <c r="AE697" s="114"/>
    </row>
    <row r="698" ht="12.75" customHeight="1" spans="1:31" x14ac:dyDescent="0.25">
      <c r="A698" s="295"/>
      <c r="B698" s="197"/>
      <c r="C698" s="10"/>
      <c r="D698" s="197"/>
      <c r="E698" s="10"/>
      <c r="F698" s="197"/>
      <c r="G698" s="9"/>
      <c r="H698" s="9"/>
      <c r="I698" s="9"/>
      <c r="J698" s="9"/>
      <c r="K698" s="330"/>
      <c r="L698" s="330"/>
      <c r="M698" s="330"/>
      <c r="N698" s="330"/>
      <c r="O698" s="330"/>
      <c r="P698" s="330"/>
      <c r="Q698" s="330"/>
      <c r="R698" s="330"/>
      <c r="S698" s="339"/>
      <c r="T698" s="344"/>
      <c r="U698" s="170"/>
      <c r="V698" s="170"/>
      <c r="W698" s="170"/>
      <c r="X698" s="114"/>
      <c r="Y698" s="114"/>
      <c r="Z698" s="114"/>
      <c r="AA698" s="114"/>
      <c r="AB698" s="114"/>
      <c r="AC698" s="114"/>
      <c r="AD698" s="114"/>
      <c r="AE698" s="114"/>
    </row>
    <row r="699" ht="12.75" customHeight="1" spans="1:31" x14ac:dyDescent="0.25">
      <c r="A699" s="295"/>
      <c r="B699" s="328" t="s">
        <v>772</v>
      </c>
      <c r="C699" s="29"/>
      <c r="D699" s="346" t="s">
        <v>773</v>
      </c>
      <c r="E699" s="347"/>
      <c r="F699" s="329" t="s">
        <v>774</v>
      </c>
      <c r="G699" s="28"/>
      <c r="H699" s="28"/>
      <c r="I699" s="28"/>
      <c r="J699" s="28"/>
      <c r="K699" s="330" t="s">
        <v>775</v>
      </c>
      <c r="L699" s="330"/>
      <c r="M699" s="330"/>
      <c r="N699" s="330"/>
      <c r="O699" s="330"/>
      <c r="P699" s="330"/>
      <c r="Q699" s="330"/>
      <c r="R699" s="330"/>
      <c r="S699" s="339"/>
      <c r="T699" s="344"/>
      <c r="U699" s="170"/>
      <c r="V699" s="170"/>
      <c r="W699" s="170"/>
      <c r="X699" s="114"/>
      <c r="Y699" s="114"/>
      <c r="Z699" s="114"/>
      <c r="AA699" s="114"/>
      <c r="AB699" s="114"/>
      <c r="AC699" s="114"/>
      <c r="AD699" s="114"/>
      <c r="AE699" s="114"/>
    </row>
    <row r="700" ht="12.75" customHeight="1" spans="1:31" x14ac:dyDescent="0.25">
      <c r="A700" s="295"/>
      <c r="B700" s="16"/>
      <c r="C700" s="332"/>
      <c r="D700" s="348" t="s">
        <v>776</v>
      </c>
      <c r="E700" s="349"/>
      <c r="F700" s="16"/>
      <c r="G700" s="137"/>
      <c r="H700" s="137"/>
      <c r="I700" s="137"/>
      <c r="J700" s="137"/>
      <c r="K700" s="330"/>
      <c r="L700" s="330"/>
      <c r="M700" s="330"/>
      <c r="N700" s="330"/>
      <c r="O700" s="330"/>
      <c r="P700" s="330"/>
      <c r="Q700" s="330"/>
      <c r="R700" s="330"/>
      <c r="S700" s="339"/>
      <c r="T700" s="344"/>
      <c r="U700" s="170"/>
      <c r="V700" s="170"/>
      <c r="W700" s="170"/>
      <c r="X700" s="114"/>
      <c r="Y700" s="114"/>
      <c r="Z700" s="114"/>
      <c r="AA700" s="114"/>
      <c r="AB700" s="114"/>
      <c r="AC700" s="114"/>
      <c r="AD700" s="114"/>
      <c r="AE700" s="114"/>
    </row>
    <row r="701" ht="12.75" customHeight="1" spans="1:31" x14ac:dyDescent="0.25">
      <c r="A701" s="295"/>
      <c r="B701" s="16"/>
      <c r="C701" s="332"/>
      <c r="D701" s="348" t="s">
        <v>777</v>
      </c>
      <c r="E701" s="349"/>
      <c r="F701" s="16"/>
      <c r="G701" s="137"/>
      <c r="H701" s="137"/>
      <c r="I701" s="137"/>
      <c r="J701" s="137"/>
      <c r="K701" s="330"/>
      <c r="L701" s="330"/>
      <c r="M701" s="330"/>
      <c r="N701" s="330"/>
      <c r="O701" s="330"/>
      <c r="P701" s="330"/>
      <c r="Q701" s="330"/>
      <c r="R701" s="330"/>
      <c r="S701" s="339"/>
      <c r="T701" s="344"/>
      <c r="U701" s="170"/>
      <c r="V701" s="170"/>
      <c r="W701" s="170"/>
      <c r="X701" s="114"/>
      <c r="Y701" s="114"/>
      <c r="Z701" s="114"/>
      <c r="AA701" s="114"/>
      <c r="AB701" s="114"/>
      <c r="AC701" s="114"/>
      <c r="AD701" s="114"/>
      <c r="AE701" s="114"/>
    </row>
    <row r="702" ht="14.25" customHeight="1" spans="1:31" x14ac:dyDescent="0.25">
      <c r="A702" s="295"/>
      <c r="B702" s="16"/>
      <c r="C702" s="332"/>
      <c r="D702" s="348"/>
      <c r="E702" s="349"/>
      <c r="F702" s="16"/>
      <c r="G702" s="137"/>
      <c r="H702" s="137"/>
      <c r="I702" s="137"/>
      <c r="J702" s="137"/>
      <c r="K702" s="330"/>
      <c r="L702" s="330"/>
      <c r="M702" s="330"/>
      <c r="N702" s="330"/>
      <c r="O702" s="330"/>
      <c r="P702" s="330"/>
      <c r="Q702" s="330"/>
      <c r="R702" s="330"/>
      <c r="S702" s="339"/>
      <c r="T702" s="344"/>
      <c r="U702" s="170"/>
      <c r="V702" s="170"/>
      <c r="W702" s="170"/>
      <c r="X702" s="114"/>
      <c r="Y702" s="114"/>
      <c r="Z702" s="114"/>
      <c r="AA702" s="114"/>
      <c r="AB702" s="114"/>
      <c r="AC702" s="114"/>
      <c r="AD702" s="114"/>
      <c r="AE702" s="114"/>
    </row>
    <row r="703" ht="14.25" customHeight="1" spans="1:31" x14ac:dyDescent="0.25">
      <c r="A703" s="295"/>
      <c r="B703" s="16"/>
      <c r="C703" s="332"/>
      <c r="D703" s="348"/>
      <c r="E703" s="349"/>
      <c r="F703" s="16"/>
      <c r="G703" s="137"/>
      <c r="H703" s="137"/>
      <c r="I703" s="137"/>
      <c r="J703" s="137"/>
      <c r="K703" s="330"/>
      <c r="L703" s="330"/>
      <c r="M703" s="330"/>
      <c r="N703" s="330"/>
      <c r="O703" s="330"/>
      <c r="P703" s="330"/>
      <c r="Q703" s="330"/>
      <c r="R703" s="330"/>
      <c r="S703" s="339"/>
      <c r="T703" s="344"/>
      <c r="U703" s="170"/>
      <c r="V703" s="170"/>
      <c r="W703" s="170"/>
      <c r="X703" s="114"/>
      <c r="Y703" s="114"/>
      <c r="Z703" s="114"/>
      <c r="AA703" s="114"/>
      <c r="AB703" s="114"/>
      <c r="AC703" s="114"/>
      <c r="AD703" s="114"/>
      <c r="AE703" s="114"/>
    </row>
    <row r="704" ht="18" customHeight="1" spans="1:31" x14ac:dyDescent="0.25">
      <c r="A704" s="295"/>
      <c r="B704" s="197"/>
      <c r="C704" s="10"/>
      <c r="D704" s="348"/>
      <c r="E704" s="349"/>
      <c r="F704" s="197"/>
      <c r="G704" s="9"/>
      <c r="H704" s="9"/>
      <c r="I704" s="9"/>
      <c r="J704" s="9"/>
      <c r="K704" s="330"/>
      <c r="L704" s="330"/>
      <c r="M704" s="330"/>
      <c r="N704" s="330"/>
      <c r="O704" s="330"/>
      <c r="P704" s="330"/>
      <c r="Q704" s="330"/>
      <c r="R704" s="330"/>
      <c r="S704" s="339"/>
      <c r="T704" s="344"/>
      <c r="U704" s="170"/>
      <c r="V704" s="170"/>
      <c r="W704" s="170"/>
      <c r="X704" s="114"/>
      <c r="Y704" s="114"/>
      <c r="Z704" s="114"/>
      <c r="AA704" s="114"/>
      <c r="AB704" s="114"/>
      <c r="AC704" s="114"/>
      <c r="AD704" s="114"/>
      <c r="AE704" s="114"/>
    </row>
    <row r="705" ht="18" customHeight="1" spans="1:31" x14ac:dyDescent="0.25">
      <c r="A705" s="295"/>
      <c r="B705" s="328" t="s">
        <v>778</v>
      </c>
      <c r="C705" s="29"/>
      <c r="D705" s="328" t="s">
        <v>779</v>
      </c>
      <c r="E705" s="29"/>
      <c r="F705" s="329" t="s">
        <v>780</v>
      </c>
      <c r="G705" s="28"/>
      <c r="H705" s="28"/>
      <c r="I705" s="28"/>
      <c r="J705" s="28"/>
      <c r="K705" s="330" t="s">
        <v>781</v>
      </c>
      <c r="L705" s="330"/>
      <c r="M705" s="330"/>
      <c r="N705" s="330"/>
      <c r="O705" s="330"/>
      <c r="P705" s="330"/>
      <c r="Q705" s="330"/>
      <c r="R705" s="330"/>
      <c r="S705" s="339"/>
      <c r="T705" s="344"/>
      <c r="U705" s="170"/>
      <c r="V705" s="170"/>
      <c r="W705" s="170"/>
      <c r="X705" s="114"/>
      <c r="Y705" s="114"/>
      <c r="Z705" s="114"/>
      <c r="AA705" s="114"/>
      <c r="AB705" s="114"/>
      <c r="AC705" s="114"/>
      <c r="AD705" s="114"/>
      <c r="AE705" s="114"/>
    </row>
    <row r="706" ht="17.25" customHeight="1" spans="1:31" x14ac:dyDescent="0.25">
      <c r="A706" s="295"/>
      <c r="B706" s="197"/>
      <c r="C706" s="10"/>
      <c r="D706" s="197"/>
      <c r="E706" s="10"/>
      <c r="F706" s="197"/>
      <c r="G706" s="9"/>
      <c r="H706" s="9"/>
      <c r="I706" s="9"/>
      <c r="J706" s="9"/>
      <c r="K706" s="330"/>
      <c r="L706" s="330"/>
      <c r="M706" s="330"/>
      <c r="N706" s="330"/>
      <c r="O706" s="330"/>
      <c r="P706" s="330"/>
      <c r="Q706" s="330"/>
      <c r="R706" s="330"/>
      <c r="S706" s="339"/>
      <c r="T706" s="344"/>
      <c r="U706" s="170"/>
      <c r="V706" s="170"/>
      <c r="W706" s="170"/>
      <c r="X706" s="114"/>
      <c r="Y706" s="114"/>
      <c r="Z706" s="114"/>
      <c r="AA706" s="114"/>
      <c r="AB706" s="114"/>
      <c r="AC706" s="114"/>
      <c r="AD706" s="114"/>
      <c r="AE706" s="114"/>
    </row>
    <row r="707" ht="17.25" customHeight="1" spans="1:31" x14ac:dyDescent="0.25">
      <c r="A707" s="295"/>
      <c r="B707" s="333" t="s">
        <v>782</v>
      </c>
      <c r="C707" s="29"/>
      <c r="D707" s="333" t="s">
        <v>783</v>
      </c>
      <c r="E707" s="29"/>
      <c r="F707" s="329" t="s">
        <v>784</v>
      </c>
      <c r="G707" s="28"/>
      <c r="H707" s="28"/>
      <c r="I707" s="28"/>
      <c r="J707" s="28"/>
      <c r="K707" s="330" t="s">
        <v>785</v>
      </c>
      <c r="L707" s="330"/>
      <c r="M707" s="330"/>
      <c r="N707" s="330"/>
      <c r="O707" s="330"/>
      <c r="P707" s="330"/>
      <c r="Q707" s="330"/>
      <c r="R707" s="330"/>
      <c r="S707" s="339"/>
      <c r="T707" s="344"/>
      <c r="U707" s="170"/>
      <c r="V707" s="170"/>
      <c r="W707" s="170"/>
      <c r="X707" s="114"/>
      <c r="Y707" s="114"/>
      <c r="Z707" s="114"/>
      <c r="AA707" s="114"/>
      <c r="AB707" s="114"/>
      <c r="AC707" s="114"/>
      <c r="AD707" s="114"/>
      <c r="AE707" s="114"/>
    </row>
    <row r="708" ht="17.25" customHeight="1" spans="1:31" x14ac:dyDescent="0.25">
      <c r="A708" s="295"/>
      <c r="B708" s="16"/>
      <c r="C708" s="332"/>
      <c r="D708" s="16"/>
      <c r="E708" s="332"/>
      <c r="F708" s="16"/>
      <c r="G708" s="137"/>
      <c r="H708" s="137"/>
      <c r="I708" s="137"/>
      <c r="J708" s="137"/>
      <c r="K708" s="330"/>
      <c r="L708" s="330"/>
      <c r="M708" s="330"/>
      <c r="N708" s="330"/>
      <c r="O708" s="330"/>
      <c r="P708" s="330"/>
      <c r="Q708" s="330"/>
      <c r="R708" s="330"/>
      <c r="S708" s="339"/>
      <c r="T708" s="344"/>
      <c r="U708" s="170"/>
      <c r="V708" s="170"/>
      <c r="W708" s="170"/>
      <c r="X708" s="114"/>
      <c r="Y708" s="114"/>
      <c r="Z708" s="114"/>
      <c r="AA708" s="114"/>
      <c r="AB708" s="114"/>
      <c r="AC708" s="114"/>
      <c r="AD708" s="114"/>
      <c r="AE708" s="114"/>
    </row>
    <row r="709" ht="17.25" customHeight="1" spans="1:31" x14ac:dyDescent="0.25">
      <c r="A709" s="295"/>
      <c r="B709" s="16"/>
      <c r="C709" s="332"/>
      <c r="D709" s="16"/>
      <c r="E709" s="332"/>
      <c r="F709" s="16"/>
      <c r="G709" s="137"/>
      <c r="H709" s="137"/>
      <c r="I709" s="137"/>
      <c r="J709" s="137"/>
      <c r="K709" s="330"/>
      <c r="L709" s="330"/>
      <c r="M709" s="330"/>
      <c r="N709" s="330"/>
      <c r="O709" s="330"/>
      <c r="P709" s="330"/>
      <c r="Q709" s="330"/>
      <c r="R709" s="330"/>
      <c r="S709" s="339"/>
      <c r="T709" s="344"/>
      <c r="U709" s="170"/>
      <c r="V709" s="170"/>
      <c r="W709" s="170"/>
      <c r="X709" s="114"/>
      <c r="Y709" s="114"/>
      <c r="Z709" s="114"/>
      <c r="AA709" s="114"/>
      <c r="AB709" s="114"/>
      <c r="AC709" s="114"/>
      <c r="AD709" s="114"/>
      <c r="AE709" s="114"/>
    </row>
    <row r="710" ht="17.25" customHeight="1" spans="1:31" x14ac:dyDescent="0.25">
      <c r="A710" s="295"/>
      <c r="B710" s="197"/>
      <c r="C710" s="10"/>
      <c r="D710" s="16"/>
      <c r="E710" s="332"/>
      <c r="F710" s="197"/>
      <c r="G710" s="9"/>
      <c r="H710" s="9"/>
      <c r="I710" s="9"/>
      <c r="J710" s="9"/>
      <c r="K710" s="330"/>
      <c r="L710" s="330"/>
      <c r="M710" s="330"/>
      <c r="N710" s="330"/>
      <c r="O710" s="330"/>
      <c r="P710" s="330"/>
      <c r="Q710" s="330"/>
      <c r="R710" s="330"/>
      <c r="S710" s="339"/>
      <c r="T710" s="344"/>
      <c r="U710" s="170"/>
      <c r="V710" s="170"/>
      <c r="W710" s="170"/>
      <c r="X710" s="114"/>
      <c r="Y710" s="114"/>
      <c r="Z710" s="114"/>
      <c r="AA710" s="114"/>
      <c r="AB710" s="114"/>
      <c r="AC710" s="114"/>
      <c r="AD710" s="114"/>
      <c r="AE710" s="114"/>
    </row>
    <row r="711" ht="17.25" customHeight="1" spans="1:31" x14ac:dyDescent="0.25">
      <c r="A711" s="295"/>
      <c r="B711" s="328" t="s">
        <v>786</v>
      </c>
      <c r="C711" s="29"/>
      <c r="D711" s="333" t="s">
        <v>766</v>
      </c>
      <c r="E711" s="29"/>
      <c r="F711" s="329" t="s">
        <v>787</v>
      </c>
      <c r="G711" s="28"/>
      <c r="H711" s="28"/>
      <c r="I711" s="28"/>
      <c r="J711" s="28"/>
      <c r="K711" s="330" t="s">
        <v>788</v>
      </c>
      <c r="L711" s="330"/>
      <c r="M711" s="330"/>
      <c r="N711" s="330"/>
      <c r="O711" s="330"/>
      <c r="P711" s="330"/>
      <c r="Q711" s="330"/>
      <c r="R711" s="330"/>
      <c r="S711" s="339"/>
      <c r="T711" s="344"/>
      <c r="U711" s="170"/>
      <c r="V711" s="170"/>
      <c r="W711" s="170"/>
      <c r="X711" s="114"/>
      <c r="Y711" s="114"/>
      <c r="Z711" s="114"/>
      <c r="AA711" s="114"/>
      <c r="AB711" s="114"/>
      <c r="AC711" s="114"/>
      <c r="AD711" s="114"/>
      <c r="AE711" s="114"/>
    </row>
    <row r="712" ht="12.75" customHeight="1" spans="1:31" x14ac:dyDescent="0.25">
      <c r="A712" s="295"/>
      <c r="B712" s="16"/>
      <c r="C712" s="332"/>
      <c r="D712" s="16"/>
      <c r="E712" s="332"/>
      <c r="F712" s="16"/>
      <c r="G712" s="137"/>
      <c r="H712" s="137"/>
      <c r="I712" s="137"/>
      <c r="J712" s="137"/>
      <c r="K712" s="330"/>
      <c r="L712" s="330"/>
      <c r="M712" s="330"/>
      <c r="N712" s="330"/>
      <c r="O712" s="330"/>
      <c r="P712" s="330"/>
      <c r="Q712" s="330"/>
      <c r="R712" s="330"/>
      <c r="S712" s="339"/>
      <c r="T712" s="344"/>
      <c r="U712" s="170"/>
      <c r="V712" s="170"/>
      <c r="W712" s="170"/>
      <c r="X712" s="114"/>
      <c r="Y712" s="114"/>
      <c r="Z712" s="114"/>
      <c r="AA712" s="114"/>
      <c r="AB712" s="114"/>
      <c r="AC712" s="114"/>
      <c r="AD712" s="114"/>
      <c r="AE712" s="114"/>
    </row>
    <row r="713" ht="12.75" customHeight="1" spans="1:31" x14ac:dyDescent="0.25">
      <c r="A713" s="295"/>
      <c r="B713" s="16"/>
      <c r="C713" s="332"/>
      <c r="D713" s="16"/>
      <c r="E713" s="332"/>
      <c r="F713" s="16"/>
      <c r="G713" s="137"/>
      <c r="H713" s="137"/>
      <c r="I713" s="137"/>
      <c r="J713" s="137"/>
      <c r="K713" s="330"/>
      <c r="L713" s="330"/>
      <c r="M713" s="330"/>
      <c r="N713" s="330"/>
      <c r="O713" s="330"/>
      <c r="P713" s="330"/>
      <c r="Q713" s="330"/>
      <c r="R713" s="330"/>
      <c r="S713" s="339"/>
      <c r="T713" s="344"/>
      <c r="U713" s="170"/>
      <c r="V713" s="170"/>
      <c r="W713" s="170"/>
      <c r="X713" s="114"/>
      <c r="Y713" s="114"/>
      <c r="Z713" s="114"/>
      <c r="AA713" s="114"/>
      <c r="AB713" s="114"/>
      <c r="AC713" s="114"/>
      <c r="AD713" s="114"/>
      <c r="AE713" s="114"/>
    </row>
    <row r="714" ht="12.75" customHeight="1" spans="1:31" x14ac:dyDescent="0.25">
      <c r="A714" s="295"/>
      <c r="B714" s="16"/>
      <c r="C714" s="332"/>
      <c r="D714" s="16"/>
      <c r="E714" s="332"/>
      <c r="F714" s="16"/>
      <c r="G714" s="137"/>
      <c r="H714" s="137"/>
      <c r="I714" s="137"/>
      <c r="J714" s="137"/>
      <c r="K714" s="330"/>
      <c r="L714" s="330"/>
      <c r="M714" s="330"/>
      <c r="N714" s="330"/>
      <c r="O714" s="330"/>
      <c r="P714" s="330"/>
      <c r="Q714" s="330"/>
      <c r="R714" s="330"/>
      <c r="S714" s="339"/>
      <c r="T714" s="344"/>
      <c r="U714" s="170"/>
      <c r="V714" s="170"/>
      <c r="W714" s="170"/>
      <c r="X714" s="114"/>
      <c r="Y714" s="114"/>
      <c r="Z714" s="114"/>
      <c r="AA714" s="114"/>
      <c r="AB714" s="114"/>
      <c r="AC714" s="114"/>
      <c r="AD714" s="114"/>
      <c r="AE714" s="114"/>
    </row>
    <row r="715" ht="12.75" customHeight="1" spans="1:31" x14ac:dyDescent="0.25">
      <c r="A715" s="305"/>
      <c r="B715" s="197"/>
      <c r="C715" s="10"/>
      <c r="D715" s="16"/>
      <c r="E715" s="332"/>
      <c r="F715" s="197"/>
      <c r="G715" s="9"/>
      <c r="H715" s="9"/>
      <c r="I715" s="9"/>
      <c r="J715" s="9"/>
      <c r="K715" s="330"/>
      <c r="L715" s="330"/>
      <c r="M715" s="330"/>
      <c r="N715" s="330"/>
      <c r="O715" s="330"/>
      <c r="P715" s="330"/>
      <c r="Q715" s="330"/>
      <c r="R715" s="330"/>
      <c r="S715" s="339"/>
      <c r="T715" s="344"/>
      <c r="U715" s="170"/>
      <c r="V715" s="170"/>
      <c r="W715" s="170"/>
      <c r="X715" s="114"/>
      <c r="Y715" s="114"/>
      <c r="Z715" s="114"/>
      <c r="AA715" s="114"/>
      <c r="AB715" s="114"/>
      <c r="AC715" s="114"/>
      <c r="AD715" s="114"/>
      <c r="AE715" s="114"/>
    </row>
    <row r="716" ht="15.75" customHeight="1" spans="1:31" x14ac:dyDescent="0.25">
      <c r="A716" s="327" t="s">
        <v>789</v>
      </c>
      <c r="B716" s="333" t="s">
        <v>790</v>
      </c>
      <c r="C716" s="28"/>
      <c r="D716" s="28"/>
      <c r="E716" s="29"/>
      <c r="F716" s="329" t="s">
        <v>791</v>
      </c>
      <c r="G716" s="28"/>
      <c r="H716" s="28"/>
      <c r="I716" s="28"/>
      <c r="J716" s="28"/>
      <c r="K716" s="330" t="s">
        <v>792</v>
      </c>
      <c r="L716" s="330"/>
      <c r="M716" s="330"/>
      <c r="N716" s="330"/>
      <c r="O716" s="330"/>
      <c r="P716" s="330"/>
      <c r="Q716" s="330"/>
      <c r="R716" s="330"/>
      <c r="S716" s="339"/>
      <c r="T716" s="344"/>
      <c r="U716" s="170"/>
      <c r="V716" s="170"/>
      <c r="W716" s="170"/>
      <c r="X716" s="114"/>
      <c r="Y716" s="114"/>
      <c r="Z716" s="114"/>
      <c r="AA716" s="114"/>
      <c r="AB716" s="114"/>
      <c r="AC716" s="114"/>
      <c r="AD716" s="114"/>
      <c r="AE716" s="114"/>
    </row>
    <row r="717" ht="14.25" customHeight="1" spans="1:31" x14ac:dyDescent="0.25">
      <c r="A717" s="295"/>
      <c r="B717" s="16"/>
      <c r="C717" s="137"/>
      <c r="D717" s="137"/>
      <c r="E717" s="332"/>
      <c r="F717" s="16"/>
      <c r="G717" s="137"/>
      <c r="H717" s="137"/>
      <c r="I717" s="137"/>
      <c r="J717" s="137"/>
      <c r="K717" s="330"/>
      <c r="L717" s="330"/>
      <c r="M717" s="330"/>
      <c r="N717" s="330"/>
      <c r="O717" s="330"/>
      <c r="P717" s="330"/>
      <c r="Q717" s="330"/>
      <c r="R717" s="330"/>
      <c r="S717" s="339"/>
      <c r="T717" s="344"/>
      <c r="U717" s="170"/>
      <c r="V717" s="170"/>
      <c r="W717" s="170"/>
      <c r="X717" s="114"/>
      <c r="Y717" s="114"/>
      <c r="Z717" s="114"/>
      <c r="AA717" s="114"/>
      <c r="AB717" s="114"/>
      <c r="AC717" s="114"/>
      <c r="AD717" s="114"/>
      <c r="AE717" s="114"/>
    </row>
    <row r="718" ht="14.25" customHeight="1" spans="1:31" x14ac:dyDescent="0.25">
      <c r="A718" s="295"/>
      <c r="B718" s="16"/>
      <c r="C718" s="137"/>
      <c r="D718" s="137"/>
      <c r="E718" s="332"/>
      <c r="F718" s="16"/>
      <c r="G718" s="137"/>
      <c r="H718" s="137"/>
      <c r="I718" s="137"/>
      <c r="J718" s="137"/>
      <c r="K718" s="330"/>
      <c r="L718" s="330"/>
      <c r="M718" s="330"/>
      <c r="N718" s="330"/>
      <c r="O718" s="330"/>
      <c r="P718" s="330"/>
      <c r="Q718" s="330"/>
      <c r="R718" s="330"/>
      <c r="S718" s="339"/>
      <c r="T718" s="344"/>
      <c r="U718" s="170"/>
      <c r="V718" s="170"/>
      <c r="W718" s="170"/>
      <c r="X718" s="114"/>
      <c r="Y718" s="114"/>
      <c r="Z718" s="114"/>
      <c r="AA718" s="114"/>
      <c r="AB718" s="114"/>
      <c r="AC718" s="114"/>
      <c r="AD718" s="114"/>
      <c r="AE718" s="114"/>
    </row>
    <row r="719" ht="14.25" customHeight="1" spans="1:31" x14ac:dyDescent="0.25">
      <c r="A719" s="305"/>
      <c r="B719" s="197"/>
      <c r="C719" s="9"/>
      <c r="D719" s="9"/>
      <c r="E719" s="10"/>
      <c r="F719" s="197"/>
      <c r="G719" s="9"/>
      <c r="H719" s="9"/>
      <c r="I719" s="9"/>
      <c r="J719" s="9"/>
      <c r="K719" s="330"/>
      <c r="L719" s="330"/>
      <c r="M719" s="330"/>
      <c r="N719" s="330"/>
      <c r="O719" s="330"/>
      <c r="P719" s="330"/>
      <c r="Q719" s="330"/>
      <c r="R719" s="330"/>
      <c r="S719" s="339"/>
      <c r="T719" s="344"/>
      <c r="U719" s="170"/>
      <c r="V719" s="170"/>
      <c r="W719" s="170"/>
      <c r="X719" s="114"/>
      <c r="Y719" s="114"/>
      <c r="Z719" s="114"/>
      <c r="AA719" s="114"/>
      <c r="AB719" s="114"/>
      <c r="AC719" s="114"/>
      <c r="AD719" s="114"/>
      <c r="AE719" s="114"/>
    </row>
    <row r="720" ht="14.25" customHeight="1" spans="1:31" x14ac:dyDescent="0.25">
      <c r="A720" s="327" t="s">
        <v>793</v>
      </c>
      <c r="B720" s="333" t="s">
        <v>794</v>
      </c>
      <c r="C720" s="28"/>
      <c r="D720" s="28"/>
      <c r="E720" s="29"/>
      <c r="F720" s="329" t="s">
        <v>791</v>
      </c>
      <c r="G720" s="28"/>
      <c r="H720" s="28"/>
      <c r="I720" s="28"/>
      <c r="J720" s="28"/>
      <c r="K720" s="330" t="s">
        <v>795</v>
      </c>
      <c r="L720" s="330"/>
      <c r="M720" s="330"/>
      <c r="N720" s="330"/>
      <c r="O720" s="330"/>
      <c r="P720" s="330"/>
      <c r="Q720" s="330"/>
      <c r="R720" s="330"/>
      <c r="S720" s="339"/>
      <c r="T720" s="344"/>
      <c r="U720" s="170"/>
      <c r="V720" s="170"/>
      <c r="W720" s="170"/>
      <c r="X720" s="114"/>
      <c r="Y720" s="114"/>
      <c r="Z720" s="114"/>
      <c r="AA720" s="114"/>
      <c r="AB720" s="114"/>
      <c r="AC720" s="114"/>
      <c r="AD720" s="114"/>
      <c r="AE720" s="114"/>
    </row>
    <row r="721" ht="14.25" customHeight="1" spans="1:31" x14ac:dyDescent="0.25">
      <c r="A721" s="295"/>
      <c r="B721" s="16"/>
      <c r="C721" s="137"/>
      <c r="D721" s="137"/>
      <c r="E721" s="332"/>
      <c r="F721" s="16"/>
      <c r="G721" s="137"/>
      <c r="H721" s="137"/>
      <c r="I721" s="137"/>
      <c r="J721" s="137"/>
      <c r="K721" s="330"/>
      <c r="L721" s="330"/>
      <c r="M721" s="330"/>
      <c r="N721" s="330"/>
      <c r="O721" s="330"/>
      <c r="P721" s="330"/>
      <c r="Q721" s="330"/>
      <c r="R721" s="330"/>
      <c r="S721" s="339"/>
      <c r="T721" s="344"/>
      <c r="U721" s="170"/>
      <c r="V721" s="170"/>
      <c r="W721" s="170"/>
      <c r="X721" s="114"/>
      <c r="Y721" s="114"/>
      <c r="Z721" s="114"/>
      <c r="AA721" s="114"/>
      <c r="AB721" s="114"/>
      <c r="AC721" s="114"/>
      <c r="AD721" s="114"/>
      <c r="AE721" s="114"/>
    </row>
    <row r="722" ht="14.25" customHeight="1" spans="1:31" x14ac:dyDescent="0.25">
      <c r="A722" s="295"/>
      <c r="B722" s="16"/>
      <c r="C722" s="137"/>
      <c r="D722" s="137"/>
      <c r="E722" s="332"/>
      <c r="F722" s="16"/>
      <c r="G722" s="137"/>
      <c r="H722" s="137"/>
      <c r="I722" s="137"/>
      <c r="J722" s="137"/>
      <c r="K722" s="330"/>
      <c r="L722" s="330"/>
      <c r="M722" s="330"/>
      <c r="N722" s="330"/>
      <c r="O722" s="330"/>
      <c r="P722" s="330"/>
      <c r="Q722" s="330"/>
      <c r="R722" s="330"/>
      <c r="S722" s="339"/>
      <c r="T722" s="344"/>
      <c r="U722" s="170"/>
      <c r="V722" s="170"/>
      <c r="W722" s="170"/>
      <c r="X722" s="114"/>
      <c r="Y722" s="114"/>
      <c r="Z722" s="114"/>
      <c r="AA722" s="114"/>
      <c r="AB722" s="114"/>
      <c r="AC722" s="114"/>
      <c r="AD722" s="114"/>
      <c r="AE722" s="114"/>
    </row>
    <row r="723" ht="14.25" customHeight="1" spans="1:31" x14ac:dyDescent="0.25">
      <c r="A723" s="295"/>
      <c r="B723" s="16"/>
      <c r="C723" s="137"/>
      <c r="D723" s="137"/>
      <c r="E723" s="332"/>
      <c r="F723" s="16"/>
      <c r="G723" s="137"/>
      <c r="H723" s="137"/>
      <c r="I723" s="137"/>
      <c r="J723" s="137"/>
      <c r="K723" s="330"/>
      <c r="L723" s="330"/>
      <c r="M723" s="330"/>
      <c r="N723" s="330"/>
      <c r="O723" s="330"/>
      <c r="P723" s="330"/>
      <c r="Q723" s="330"/>
      <c r="R723" s="330"/>
      <c r="S723" s="339"/>
      <c r="T723" s="344"/>
      <c r="U723" s="170"/>
      <c r="V723" s="170"/>
      <c r="W723" s="170"/>
      <c r="X723" s="114"/>
      <c r="Y723" s="114"/>
      <c r="Z723" s="114"/>
      <c r="AA723" s="114"/>
      <c r="AB723" s="114"/>
      <c r="AC723" s="114"/>
      <c r="AD723" s="114"/>
      <c r="AE723" s="114"/>
    </row>
    <row r="724" ht="14.25" customHeight="1" spans="1:31" x14ac:dyDescent="0.25">
      <c r="A724" s="305"/>
      <c r="B724" s="197"/>
      <c r="C724" s="9"/>
      <c r="D724" s="9"/>
      <c r="E724" s="10"/>
      <c r="F724" s="197"/>
      <c r="G724" s="9"/>
      <c r="H724" s="9"/>
      <c r="I724" s="9"/>
      <c r="J724" s="9"/>
      <c r="K724" s="330"/>
      <c r="L724" s="330"/>
      <c r="M724" s="330"/>
      <c r="N724" s="330"/>
      <c r="O724" s="330"/>
      <c r="P724" s="330"/>
      <c r="Q724" s="330"/>
      <c r="R724" s="330"/>
      <c r="S724" s="340"/>
      <c r="T724" s="350"/>
      <c r="U724" s="170"/>
      <c r="V724" s="170"/>
      <c r="W724" s="170"/>
      <c r="X724" s="114"/>
      <c r="Y724" s="114"/>
      <c r="Z724" s="114"/>
      <c r="AA724" s="114"/>
      <c r="AB724" s="114"/>
      <c r="AC724" s="114"/>
      <c r="AD724" s="114"/>
      <c r="AE724" s="114"/>
    </row>
    <row r="725" ht="14.25" customHeight="1" spans="1:31" x14ac:dyDescent="0.25">
      <c r="A725" s="351"/>
      <c r="B725" s="352"/>
      <c r="C725" s="352"/>
      <c r="D725" s="352"/>
      <c r="E725" s="352"/>
      <c r="F725" s="353"/>
      <c r="G725" s="353"/>
      <c r="H725" s="353"/>
      <c r="I725" s="353"/>
      <c r="J725" s="353"/>
      <c r="K725" s="354"/>
      <c r="L725" s="354"/>
      <c r="M725" s="354"/>
      <c r="N725" s="354"/>
      <c r="O725" s="354"/>
      <c r="P725" s="354"/>
      <c r="Q725" s="354"/>
      <c r="R725" s="170"/>
      <c r="S725" s="206"/>
      <c r="T725" s="114"/>
      <c r="U725" s="114"/>
      <c r="V725" s="114"/>
      <c r="W725" s="114"/>
      <c r="X725" s="114"/>
      <c r="Y725" s="114"/>
      <c r="Z725" s="114"/>
      <c r="AA725" s="114"/>
      <c r="AB725" s="114"/>
      <c r="AC725" s="114"/>
      <c r="AD725" s="114"/>
      <c r="AE725" s="114"/>
    </row>
    <row r="726" ht="14.25" customHeight="1" spans="1:31" x14ac:dyDescent="0.25">
      <c r="A726" s="323" t="s">
        <v>721</v>
      </c>
      <c r="B726" s="14"/>
      <c r="C726" s="14"/>
      <c r="D726" s="14"/>
      <c r="E726" s="15"/>
      <c r="F726" s="323" t="s">
        <v>722</v>
      </c>
      <c r="G726" s="14"/>
      <c r="H726" s="14"/>
      <c r="I726" s="14"/>
      <c r="J726" s="14"/>
      <c r="K726" s="324" t="s">
        <v>723</v>
      </c>
      <c r="L726" s="324"/>
      <c r="M726" s="324"/>
      <c r="N726" s="324"/>
      <c r="O726" s="324"/>
      <c r="P726" s="324"/>
      <c r="Q726" s="324"/>
      <c r="R726" s="324"/>
      <c r="S726" s="355" t="s">
        <v>724</v>
      </c>
      <c r="T726" s="336"/>
      <c r="U726" s="219"/>
      <c r="V726" s="219"/>
      <c r="W726" s="219"/>
      <c r="X726" s="114"/>
      <c r="Y726" s="114"/>
      <c r="Z726" s="114"/>
      <c r="AA726" s="114"/>
      <c r="AB726" s="114"/>
      <c r="AC726" s="114"/>
      <c r="AD726" s="114"/>
      <c r="AE726" s="114"/>
    </row>
    <row r="727" ht="14.25" customHeight="1" spans="1:31" x14ac:dyDescent="0.25">
      <c r="A727" s="327" t="s">
        <v>796</v>
      </c>
      <c r="B727" s="333" t="s">
        <v>797</v>
      </c>
      <c r="C727" s="29"/>
      <c r="D727" s="356" t="s">
        <v>798</v>
      </c>
      <c r="E727" s="29"/>
      <c r="F727" s="357" t="s">
        <v>799</v>
      </c>
      <c r="G727" s="28"/>
      <c r="H727" s="28"/>
      <c r="I727" s="28"/>
      <c r="J727" s="28"/>
      <c r="K727" s="330" t="s">
        <v>800</v>
      </c>
      <c r="L727" s="330"/>
      <c r="M727" s="330"/>
      <c r="N727" s="330"/>
      <c r="O727" s="330"/>
      <c r="P727" s="330"/>
      <c r="Q727" s="330"/>
      <c r="R727" s="330"/>
      <c r="S727" s="358" t="s">
        <v>801</v>
      </c>
      <c r="T727" s="359"/>
      <c r="U727" s="360"/>
      <c r="V727" s="360"/>
      <c r="W727" s="360"/>
      <c r="X727" s="114"/>
      <c r="Y727" s="114"/>
      <c r="Z727" s="114"/>
      <c r="AA727" s="114"/>
      <c r="AB727" s="114"/>
      <c r="AC727" s="114"/>
      <c r="AD727" s="114"/>
      <c r="AE727" s="114"/>
    </row>
    <row r="728" ht="14.25" customHeight="1" spans="1:31" x14ac:dyDescent="0.25">
      <c r="A728" s="295"/>
      <c r="B728" s="16"/>
      <c r="C728" s="332"/>
      <c r="D728" s="137"/>
      <c r="E728" s="332"/>
      <c r="F728" s="16"/>
      <c r="G728" s="137"/>
      <c r="H728" s="137"/>
      <c r="I728" s="137"/>
      <c r="J728" s="137"/>
      <c r="K728" s="330"/>
      <c r="L728" s="330"/>
      <c r="M728" s="330"/>
      <c r="N728" s="330"/>
      <c r="O728" s="330"/>
      <c r="P728" s="330"/>
      <c r="Q728" s="330"/>
      <c r="R728" s="330"/>
      <c r="S728" s="360"/>
      <c r="T728" s="361"/>
      <c r="U728" s="360"/>
      <c r="V728" s="360"/>
      <c r="W728" s="360"/>
      <c r="X728" s="114"/>
      <c r="Y728" s="114"/>
      <c r="Z728" s="114"/>
      <c r="AA728" s="114"/>
      <c r="AB728" s="114"/>
      <c r="AC728" s="114"/>
      <c r="AD728" s="114"/>
      <c r="AE728" s="114"/>
    </row>
    <row r="729" ht="30" customHeight="1" spans="1:26" x14ac:dyDescent="0.25">
      <c r="A729" s="295"/>
      <c r="B729" s="16"/>
      <c r="C729" s="332"/>
      <c r="D729" s="137"/>
      <c r="E729" s="332"/>
      <c r="F729" s="16"/>
      <c r="G729" s="137"/>
      <c r="H729" s="137"/>
      <c r="I729" s="137"/>
      <c r="J729" s="137"/>
      <c r="K729" s="330"/>
      <c r="L729" s="330"/>
      <c r="M729" s="330"/>
      <c r="N729" s="330"/>
      <c r="O729" s="330"/>
      <c r="P729" s="330"/>
      <c r="Q729" s="330"/>
      <c r="R729" s="330"/>
      <c r="S729" s="360"/>
      <c r="T729" s="361"/>
      <c r="U729" s="360"/>
      <c r="V729" s="360"/>
      <c r="W729" s="360"/>
      <c r="X729" s="137"/>
      <c r="Y729" s="137"/>
      <c r="Z729" s="137"/>
    </row>
    <row r="730" ht="20.25" customHeight="1" spans="1:26" x14ac:dyDescent="0.25">
      <c r="A730" s="295"/>
      <c r="B730" s="197"/>
      <c r="C730" s="10"/>
      <c r="D730" s="362" t="s">
        <v>802</v>
      </c>
      <c r="E730" s="363"/>
      <c r="F730" s="364" t="s">
        <v>803</v>
      </c>
      <c r="G730" s="365"/>
      <c r="H730" s="365"/>
      <c r="I730" s="365"/>
      <c r="J730" s="365"/>
      <c r="K730" s="330"/>
      <c r="L730" s="330"/>
      <c r="M730" s="330"/>
      <c r="N730" s="330"/>
      <c r="O730" s="330"/>
      <c r="P730" s="330"/>
      <c r="Q730" s="330"/>
      <c r="R730" s="330"/>
      <c r="S730" s="360"/>
      <c r="T730" s="361"/>
      <c r="U730" s="360"/>
      <c r="V730" s="360"/>
      <c r="W730" s="360"/>
      <c r="X730" s="137"/>
      <c r="Y730" s="137"/>
      <c r="Z730" s="137"/>
    </row>
    <row r="731" ht="20.25" customHeight="1" spans="1:26" x14ac:dyDescent="0.25">
      <c r="A731" s="295"/>
      <c r="B731" s="366" t="s">
        <v>804</v>
      </c>
      <c r="C731" s="29"/>
      <c r="D731" s="114" t="s">
        <v>805</v>
      </c>
      <c r="E731" s="114"/>
      <c r="F731" s="367" t="s">
        <v>806</v>
      </c>
      <c r="G731" s="334"/>
      <c r="H731" s="334"/>
      <c r="I731" s="334"/>
      <c r="J731" s="334"/>
      <c r="K731" s="330"/>
      <c r="L731" s="330"/>
      <c r="M731" s="330"/>
      <c r="N731" s="330"/>
      <c r="O731" s="330"/>
      <c r="P731" s="330"/>
      <c r="Q731" s="330"/>
      <c r="R731" s="330"/>
      <c r="S731" s="360"/>
      <c r="T731" s="361"/>
      <c r="U731" s="360"/>
      <c r="V731" s="360"/>
      <c r="W731" s="360"/>
      <c r="X731" s="137"/>
      <c r="Y731" s="137"/>
      <c r="Z731" s="137"/>
    </row>
    <row r="732" ht="20.25" customHeight="1" spans="1:31" x14ac:dyDescent="0.25">
      <c r="A732" s="295"/>
      <c r="B732" s="368" t="s">
        <v>807</v>
      </c>
      <c r="C732" s="369"/>
      <c r="D732" s="114" t="s">
        <v>808</v>
      </c>
      <c r="E732" s="114"/>
      <c r="F732" s="367" t="s">
        <v>809</v>
      </c>
      <c r="G732" s="334"/>
      <c r="H732" s="334"/>
      <c r="I732" s="334"/>
      <c r="J732" s="334"/>
      <c r="K732" s="330"/>
      <c r="L732" s="330"/>
      <c r="M732" s="330"/>
      <c r="N732" s="330"/>
      <c r="O732" s="330"/>
      <c r="P732" s="330"/>
      <c r="Q732" s="330"/>
      <c r="R732" s="330"/>
      <c r="S732" s="360"/>
      <c r="T732" s="361"/>
      <c r="U732" s="360"/>
      <c r="V732" s="360"/>
      <c r="W732" s="360"/>
      <c r="X732" s="196"/>
      <c r="Y732" s="196"/>
      <c r="Z732" s="196"/>
      <c r="AA732" s="196"/>
      <c r="AB732" s="196"/>
      <c r="AC732" s="196"/>
      <c r="AD732" s="196"/>
      <c r="AE732" s="196"/>
    </row>
    <row r="733" ht="20.25" customHeight="1" spans="1:31" x14ac:dyDescent="0.25">
      <c r="A733" s="295"/>
      <c r="B733" s="348"/>
      <c r="C733" s="349"/>
      <c r="D733" s="114"/>
      <c r="E733" s="114"/>
      <c r="F733" s="367"/>
      <c r="G733" s="334"/>
      <c r="H733" s="334"/>
      <c r="I733" s="334"/>
      <c r="J733" s="334"/>
      <c r="K733" s="330"/>
      <c r="L733" s="330"/>
      <c r="M733" s="330"/>
      <c r="N733" s="330"/>
      <c r="O733" s="330"/>
      <c r="P733" s="330"/>
      <c r="Q733" s="330"/>
      <c r="R733" s="330"/>
      <c r="S733" s="360"/>
      <c r="T733" s="361"/>
      <c r="U733" s="360"/>
      <c r="V733" s="360"/>
      <c r="W733" s="360"/>
      <c r="X733" s="196"/>
      <c r="Y733" s="196"/>
      <c r="Z733" s="196"/>
      <c r="AA733" s="196"/>
      <c r="AB733" s="196"/>
      <c r="AC733" s="196"/>
      <c r="AD733" s="196"/>
      <c r="AE733" s="196"/>
    </row>
    <row r="734" ht="20.25" customHeight="1" spans="1:31" x14ac:dyDescent="0.25">
      <c r="A734" s="295"/>
      <c r="B734" s="368" t="s">
        <v>810</v>
      </c>
      <c r="C734" s="332"/>
      <c r="D734" s="114" t="s">
        <v>811</v>
      </c>
      <c r="E734" s="114"/>
      <c r="F734" s="367"/>
      <c r="G734" s="334"/>
      <c r="H734" s="334"/>
      <c r="I734" s="334"/>
      <c r="J734" s="334"/>
      <c r="K734" s="330"/>
      <c r="L734" s="330"/>
      <c r="M734" s="330"/>
      <c r="N734" s="330"/>
      <c r="O734" s="330"/>
      <c r="P734" s="330"/>
      <c r="Q734" s="330"/>
      <c r="R734" s="330"/>
      <c r="S734" s="360"/>
      <c r="T734" s="361"/>
      <c r="U734" s="360"/>
      <c r="V734" s="360"/>
      <c r="W734" s="360"/>
      <c r="X734" s="196"/>
      <c r="Y734" s="196"/>
      <c r="Z734" s="196"/>
      <c r="AA734" s="196"/>
      <c r="AB734" s="196"/>
      <c r="AC734" s="196"/>
      <c r="AD734" s="196"/>
      <c r="AE734" s="196"/>
    </row>
    <row r="735" ht="20.25" customHeight="1" spans="1:31" x14ac:dyDescent="0.25">
      <c r="A735" s="295"/>
      <c r="B735" s="370" t="s">
        <v>807</v>
      </c>
      <c r="C735" s="371"/>
      <c r="D735" s="114" t="s">
        <v>812</v>
      </c>
      <c r="E735" s="114"/>
      <c r="F735" s="367"/>
      <c r="G735" s="334"/>
      <c r="H735" s="334"/>
      <c r="I735" s="334"/>
      <c r="J735" s="334"/>
      <c r="K735" s="330"/>
      <c r="L735" s="330"/>
      <c r="M735" s="330"/>
      <c r="N735" s="330"/>
      <c r="O735" s="330"/>
      <c r="P735" s="330"/>
      <c r="Q735" s="330"/>
      <c r="R735" s="330"/>
      <c r="S735" s="360"/>
      <c r="T735" s="361"/>
      <c r="U735" s="360"/>
      <c r="V735" s="360"/>
      <c r="W735" s="360"/>
      <c r="X735" s="196"/>
      <c r="Y735" s="196"/>
      <c r="Z735" s="196"/>
      <c r="AA735" s="196"/>
      <c r="AB735" s="196"/>
      <c r="AC735" s="196"/>
      <c r="AD735" s="196"/>
      <c r="AE735" s="196"/>
    </row>
    <row r="736" ht="20.25" customHeight="1" spans="1:31" x14ac:dyDescent="0.25">
      <c r="A736" s="295"/>
      <c r="B736" s="333" t="s">
        <v>813</v>
      </c>
      <c r="C736" s="29"/>
      <c r="D736" s="372" t="s">
        <v>814</v>
      </c>
      <c r="E736" s="372"/>
      <c r="F736" s="373" t="s">
        <v>815</v>
      </c>
      <c r="G736" s="374"/>
      <c r="H736" s="374"/>
      <c r="I736" s="374"/>
      <c r="J736" s="374"/>
      <c r="K736" s="330" t="s">
        <v>816</v>
      </c>
      <c r="L736" s="330"/>
      <c r="M736" s="330"/>
      <c r="N736" s="330"/>
      <c r="O736" s="330"/>
      <c r="P736" s="330"/>
      <c r="Q736" s="330"/>
      <c r="R736" s="330"/>
      <c r="S736" s="360"/>
      <c r="T736" s="361"/>
      <c r="U736" s="360"/>
      <c r="V736" s="360"/>
      <c r="W736" s="360"/>
      <c r="X736" s="196"/>
      <c r="Y736" s="196"/>
      <c r="Z736" s="196"/>
      <c r="AA736" s="196"/>
      <c r="AB736" s="196"/>
      <c r="AC736" s="196"/>
      <c r="AD736" s="196"/>
      <c r="AE736" s="196"/>
    </row>
    <row r="737" ht="20.25" customHeight="1" spans="1:31" x14ac:dyDescent="0.25">
      <c r="A737" s="295"/>
      <c r="B737" s="16"/>
      <c r="C737" s="332"/>
      <c r="D737" s="114" t="s">
        <v>817</v>
      </c>
      <c r="E737" s="114"/>
      <c r="F737" s="367"/>
      <c r="G737" s="334"/>
      <c r="H737" s="334"/>
      <c r="I737" s="334"/>
      <c r="J737" s="334"/>
      <c r="K737" s="330"/>
      <c r="L737" s="330"/>
      <c r="M737" s="330"/>
      <c r="N737" s="330"/>
      <c r="O737" s="330"/>
      <c r="P737" s="330"/>
      <c r="Q737" s="330"/>
      <c r="R737" s="330"/>
      <c r="S737" s="360"/>
      <c r="T737" s="361"/>
      <c r="U737" s="360"/>
      <c r="V737" s="360"/>
      <c r="W737" s="360"/>
      <c r="X737" s="196"/>
      <c r="Y737" s="196"/>
      <c r="Z737" s="196"/>
      <c r="AA737" s="196"/>
      <c r="AB737" s="196"/>
      <c r="AC737" s="196"/>
      <c r="AD737" s="196"/>
      <c r="AE737" s="196"/>
    </row>
    <row r="738" ht="20.25" customHeight="1" spans="1:31" x14ac:dyDescent="0.25">
      <c r="A738" s="295"/>
      <c r="B738" s="16"/>
      <c r="C738" s="332"/>
      <c r="D738" s="375" t="s">
        <v>818</v>
      </c>
      <c r="E738" s="375"/>
      <c r="F738" s="376"/>
      <c r="G738" s="377"/>
      <c r="H738" s="377"/>
      <c r="I738" s="377"/>
      <c r="J738" s="377"/>
      <c r="K738" s="330"/>
      <c r="L738" s="330"/>
      <c r="M738" s="330"/>
      <c r="N738" s="330"/>
      <c r="O738" s="330"/>
      <c r="P738" s="330"/>
      <c r="Q738" s="330"/>
      <c r="R738" s="330"/>
      <c r="S738" s="360"/>
      <c r="T738" s="361"/>
      <c r="U738" s="360"/>
      <c r="V738" s="360"/>
      <c r="W738" s="360"/>
      <c r="X738" s="196"/>
      <c r="Y738" s="196"/>
      <c r="Z738" s="196"/>
      <c r="AA738" s="196"/>
      <c r="AB738" s="196"/>
      <c r="AC738" s="196"/>
      <c r="AD738" s="196"/>
      <c r="AE738" s="196"/>
    </row>
    <row r="739" ht="20.25" customHeight="1" spans="1:31" x14ac:dyDescent="0.25">
      <c r="A739" s="295"/>
      <c r="B739" s="16"/>
      <c r="C739" s="332"/>
      <c r="D739" s="114" t="s">
        <v>819</v>
      </c>
      <c r="E739" s="114"/>
      <c r="F739" s="367"/>
      <c r="G739" s="334"/>
      <c r="H739" s="334"/>
      <c r="I739" s="334"/>
      <c r="J739" s="334"/>
      <c r="K739" s="330"/>
      <c r="L739" s="330"/>
      <c r="M739" s="330"/>
      <c r="N739" s="330"/>
      <c r="O739" s="330"/>
      <c r="P739" s="330"/>
      <c r="Q739" s="330"/>
      <c r="R739" s="330"/>
      <c r="S739" s="360"/>
      <c r="T739" s="361"/>
      <c r="U739" s="360"/>
      <c r="V739" s="360"/>
      <c r="W739" s="360"/>
      <c r="X739" s="196"/>
      <c r="Y739" s="196"/>
      <c r="Z739" s="196"/>
      <c r="AA739" s="196"/>
      <c r="AB739" s="196"/>
      <c r="AC739" s="196"/>
      <c r="AD739" s="196"/>
      <c r="AE739" s="196"/>
    </row>
    <row r="740" ht="20.25" customHeight="1" spans="1:31" x14ac:dyDescent="0.25">
      <c r="A740" s="295"/>
      <c r="B740" s="16"/>
      <c r="C740" s="332"/>
      <c r="D740" s="114" t="s">
        <v>820</v>
      </c>
      <c r="E740" s="114"/>
      <c r="F740" s="367" t="s">
        <v>821</v>
      </c>
      <c r="G740" s="334"/>
      <c r="H740" s="334"/>
      <c r="I740" s="334"/>
      <c r="J740" s="334"/>
      <c r="K740" s="330"/>
      <c r="L740" s="330"/>
      <c r="M740" s="330"/>
      <c r="N740" s="330"/>
      <c r="O740" s="330"/>
      <c r="P740" s="330"/>
      <c r="Q740" s="330"/>
      <c r="R740" s="330"/>
      <c r="S740" s="360"/>
      <c r="T740" s="361"/>
      <c r="U740" s="360"/>
      <c r="V740" s="360"/>
      <c r="W740" s="360"/>
      <c r="X740" s="196"/>
      <c r="Y740" s="196"/>
      <c r="Z740" s="196"/>
      <c r="AA740" s="196"/>
      <c r="AB740" s="196"/>
      <c r="AC740" s="196"/>
      <c r="AD740" s="196"/>
      <c r="AE740" s="196"/>
    </row>
    <row r="741" ht="20.25" customHeight="1" spans="1:31" x14ac:dyDescent="0.25">
      <c r="A741" s="295"/>
      <c r="B741" s="16"/>
      <c r="C741" s="332"/>
      <c r="D741" s="114" t="s">
        <v>822</v>
      </c>
      <c r="E741" s="114"/>
      <c r="F741" s="367"/>
      <c r="G741" s="334"/>
      <c r="H741" s="334"/>
      <c r="I741" s="334"/>
      <c r="J741" s="334"/>
      <c r="K741" s="330"/>
      <c r="L741" s="330"/>
      <c r="M741" s="330"/>
      <c r="N741" s="330"/>
      <c r="O741" s="330"/>
      <c r="P741" s="330"/>
      <c r="Q741" s="330"/>
      <c r="R741" s="330"/>
      <c r="S741" s="360"/>
      <c r="T741" s="361"/>
      <c r="U741" s="360"/>
      <c r="V741" s="360"/>
      <c r="W741" s="360"/>
      <c r="X741" s="196"/>
      <c r="Y741" s="196"/>
      <c r="Z741" s="196"/>
      <c r="AA741" s="196"/>
      <c r="AB741" s="196"/>
      <c r="AC741" s="196"/>
      <c r="AD741" s="196"/>
      <c r="AE741" s="196"/>
    </row>
    <row r="742" ht="20.25" customHeight="1" spans="1:31" x14ac:dyDescent="0.25">
      <c r="A742" s="295"/>
      <c r="B742" s="16"/>
      <c r="C742" s="332"/>
      <c r="D742" s="114" t="s">
        <v>823</v>
      </c>
      <c r="E742" s="114"/>
      <c r="F742" s="367"/>
      <c r="G742" s="334"/>
      <c r="H742" s="334"/>
      <c r="I742" s="334"/>
      <c r="J742" s="334"/>
      <c r="K742" s="330"/>
      <c r="L742" s="330"/>
      <c r="M742" s="330"/>
      <c r="N742" s="330"/>
      <c r="O742" s="330"/>
      <c r="P742" s="330"/>
      <c r="Q742" s="330"/>
      <c r="R742" s="330"/>
      <c r="S742" s="360"/>
      <c r="T742" s="361"/>
      <c r="U742" s="360"/>
      <c r="V742" s="360"/>
      <c r="W742" s="360"/>
      <c r="X742" s="196"/>
      <c r="Y742" s="196"/>
      <c r="Z742" s="196"/>
      <c r="AA742" s="196"/>
      <c r="AB742" s="196"/>
      <c r="AC742" s="196"/>
      <c r="AD742" s="196"/>
      <c r="AE742" s="196"/>
    </row>
    <row r="743" ht="20.25" customHeight="1" spans="1:31" x14ac:dyDescent="0.25">
      <c r="A743" s="295"/>
      <c r="B743" s="16"/>
      <c r="C743" s="332"/>
      <c r="D743" s="114" t="s">
        <v>824</v>
      </c>
      <c r="E743" s="114"/>
      <c r="F743" s="367"/>
      <c r="G743" s="334"/>
      <c r="H743" s="334"/>
      <c r="I743" s="334"/>
      <c r="J743" s="334"/>
      <c r="K743" s="330"/>
      <c r="L743" s="330"/>
      <c r="M743" s="330"/>
      <c r="N743" s="330"/>
      <c r="O743" s="330"/>
      <c r="P743" s="330"/>
      <c r="Q743" s="330"/>
      <c r="R743" s="330"/>
      <c r="S743" s="360"/>
      <c r="T743" s="361"/>
      <c r="U743" s="360"/>
      <c r="V743" s="360"/>
      <c r="W743" s="360"/>
      <c r="X743" s="196"/>
      <c r="Y743" s="196"/>
      <c r="Z743" s="196"/>
      <c r="AA743" s="196"/>
      <c r="AB743" s="196"/>
      <c r="AC743" s="196"/>
      <c r="AD743" s="196"/>
      <c r="AE743" s="196"/>
    </row>
    <row r="744" ht="20.25" customHeight="1" spans="1:31" x14ac:dyDescent="0.25">
      <c r="A744" s="295"/>
      <c r="B744" s="16"/>
      <c r="C744" s="332"/>
      <c r="D744" s="346" t="s">
        <v>825</v>
      </c>
      <c r="E744" s="372"/>
      <c r="F744" s="373" t="s">
        <v>821</v>
      </c>
      <c r="G744" s="374"/>
      <c r="H744" s="374"/>
      <c r="I744" s="374"/>
      <c r="J744" s="374"/>
      <c r="K744" s="330" t="s">
        <v>826</v>
      </c>
      <c r="L744" s="330"/>
      <c r="M744" s="330"/>
      <c r="N744" s="330"/>
      <c r="O744" s="330"/>
      <c r="P744" s="330"/>
      <c r="Q744" s="330"/>
      <c r="R744" s="330"/>
      <c r="S744" s="360"/>
      <c r="T744" s="361"/>
      <c r="U744" s="360"/>
      <c r="V744" s="360"/>
      <c r="W744" s="360"/>
      <c r="X744" s="196"/>
      <c r="Y744" s="196"/>
      <c r="Z744" s="196"/>
      <c r="AA744" s="196"/>
      <c r="AB744" s="196"/>
      <c r="AC744" s="196"/>
      <c r="AD744" s="196"/>
      <c r="AE744" s="196"/>
    </row>
    <row r="745" ht="20.25" customHeight="1" spans="1:31" x14ac:dyDescent="0.25">
      <c r="A745" s="295"/>
      <c r="B745" s="197"/>
      <c r="C745" s="10"/>
      <c r="D745" s="375" t="s">
        <v>827</v>
      </c>
      <c r="E745" s="375"/>
      <c r="F745" s="376"/>
      <c r="G745" s="377"/>
      <c r="H745" s="377"/>
      <c r="I745" s="377"/>
      <c r="J745" s="377"/>
      <c r="K745" s="330"/>
      <c r="L745" s="330"/>
      <c r="M745" s="330"/>
      <c r="N745" s="330"/>
      <c r="O745" s="330"/>
      <c r="P745" s="330"/>
      <c r="Q745" s="330"/>
      <c r="R745" s="330"/>
      <c r="S745" s="360"/>
      <c r="T745" s="361"/>
      <c r="U745" s="360"/>
      <c r="V745" s="360"/>
      <c r="W745" s="360"/>
      <c r="X745" s="196"/>
      <c r="Y745" s="196"/>
      <c r="Z745" s="196"/>
      <c r="AA745" s="196"/>
      <c r="AB745" s="196"/>
      <c r="AC745" s="196"/>
      <c r="AD745" s="196"/>
      <c r="AE745" s="196"/>
    </row>
    <row r="746" ht="20.25" customHeight="1" spans="1:31" x14ac:dyDescent="0.25">
      <c r="A746" s="295"/>
      <c r="B746" s="328" t="s">
        <v>828</v>
      </c>
      <c r="C746" s="29"/>
      <c r="D746" s="346" t="s">
        <v>829</v>
      </c>
      <c r="E746" s="347"/>
      <c r="F746" s="329" t="s">
        <v>830</v>
      </c>
      <c r="G746" s="28"/>
      <c r="H746" s="28"/>
      <c r="I746" s="28"/>
      <c r="J746" s="28"/>
      <c r="K746" s="330" t="s">
        <v>830</v>
      </c>
      <c r="L746" s="330"/>
      <c r="M746" s="330"/>
      <c r="N746" s="330"/>
      <c r="O746" s="330"/>
      <c r="P746" s="330"/>
      <c r="Q746" s="330"/>
      <c r="R746" s="330"/>
      <c r="S746" s="360"/>
      <c r="T746" s="361"/>
      <c r="U746" s="360"/>
      <c r="V746" s="360"/>
      <c r="W746" s="360"/>
      <c r="X746" s="196"/>
      <c r="Y746" s="196"/>
      <c r="Z746" s="196"/>
      <c r="AA746" s="196"/>
      <c r="AB746" s="196"/>
      <c r="AC746" s="196"/>
      <c r="AD746" s="196"/>
      <c r="AE746" s="196"/>
    </row>
    <row r="747" ht="20.25" customHeight="1" spans="1:31" x14ac:dyDescent="0.25">
      <c r="A747" s="295"/>
      <c r="B747" s="16"/>
      <c r="C747" s="332"/>
      <c r="D747" s="348" t="s">
        <v>831</v>
      </c>
      <c r="E747" s="349"/>
      <c r="F747" s="197"/>
      <c r="G747" s="9"/>
      <c r="H747" s="9"/>
      <c r="I747" s="9"/>
      <c r="J747" s="9"/>
      <c r="K747" s="330"/>
      <c r="L747" s="330"/>
      <c r="M747" s="330"/>
      <c r="N747" s="330"/>
      <c r="O747" s="330"/>
      <c r="P747" s="330"/>
      <c r="Q747" s="330"/>
      <c r="R747" s="330"/>
      <c r="S747" s="360"/>
      <c r="T747" s="361"/>
      <c r="U747" s="360"/>
      <c r="V747" s="360"/>
      <c r="W747" s="360"/>
      <c r="X747" s="196"/>
      <c r="Y747" s="196"/>
      <c r="Z747" s="196"/>
      <c r="AA747" s="196"/>
      <c r="AB747" s="196"/>
      <c r="AC747" s="196"/>
      <c r="AD747" s="196"/>
      <c r="AE747" s="196"/>
    </row>
    <row r="748" ht="20.25" customHeight="1" spans="1:31" x14ac:dyDescent="0.25">
      <c r="A748" s="295"/>
      <c r="B748" s="197"/>
      <c r="C748" s="10"/>
      <c r="D748" s="348" t="s">
        <v>832</v>
      </c>
      <c r="E748" s="349"/>
      <c r="F748" s="378" t="s">
        <v>826</v>
      </c>
      <c r="G748" s="14"/>
      <c r="H748" s="14"/>
      <c r="I748" s="14"/>
      <c r="J748" s="14"/>
      <c r="K748" s="330" t="s">
        <v>826</v>
      </c>
      <c r="L748" s="330"/>
      <c r="M748" s="330"/>
      <c r="N748" s="330"/>
      <c r="O748" s="330"/>
      <c r="P748" s="330"/>
      <c r="Q748" s="330"/>
      <c r="R748" s="330"/>
      <c r="S748" s="360"/>
      <c r="T748" s="361"/>
      <c r="U748" s="360"/>
      <c r="V748" s="360"/>
      <c r="W748" s="360"/>
      <c r="X748" s="196"/>
      <c r="Y748" s="196"/>
      <c r="Z748" s="196"/>
      <c r="AA748" s="196"/>
      <c r="AB748" s="196"/>
      <c r="AC748" s="196"/>
      <c r="AD748" s="196"/>
      <c r="AE748" s="196"/>
    </row>
    <row r="749" ht="20.25" customHeight="1" spans="1:31" x14ac:dyDescent="0.25">
      <c r="A749" s="295"/>
      <c r="B749" s="328" t="s">
        <v>833</v>
      </c>
      <c r="C749" s="29"/>
      <c r="D749" s="346" t="s">
        <v>834</v>
      </c>
      <c r="E749" s="347"/>
      <c r="F749" s="378" t="s">
        <v>835</v>
      </c>
      <c r="G749" s="14"/>
      <c r="H749" s="14"/>
      <c r="I749" s="14"/>
      <c r="J749" s="14"/>
      <c r="K749" s="330" t="s">
        <v>836</v>
      </c>
      <c r="L749" s="330"/>
      <c r="M749" s="330"/>
      <c r="N749" s="330"/>
      <c r="O749" s="330"/>
      <c r="P749" s="330"/>
      <c r="Q749" s="330"/>
      <c r="R749" s="330"/>
      <c r="S749" s="360"/>
      <c r="T749" s="361"/>
      <c r="U749" s="360"/>
      <c r="V749" s="360"/>
      <c r="W749" s="360"/>
      <c r="X749" s="196"/>
      <c r="Y749" s="196"/>
      <c r="Z749" s="196"/>
      <c r="AA749" s="196"/>
      <c r="AB749" s="196"/>
      <c r="AC749" s="196"/>
      <c r="AD749" s="196"/>
      <c r="AE749" s="196"/>
    </row>
    <row r="750" ht="20.25" customHeight="1" spans="1:31" x14ac:dyDescent="0.25">
      <c r="A750" s="295"/>
      <c r="B750" s="16"/>
      <c r="C750" s="332"/>
      <c r="D750" s="348" t="s">
        <v>837</v>
      </c>
      <c r="E750" s="349"/>
      <c r="F750" s="329" t="s">
        <v>826</v>
      </c>
      <c r="G750" s="28"/>
      <c r="H750" s="28"/>
      <c r="I750" s="28"/>
      <c r="J750" s="28"/>
      <c r="K750" s="330" t="s">
        <v>826</v>
      </c>
      <c r="L750" s="330"/>
      <c r="M750" s="330"/>
      <c r="N750" s="330"/>
      <c r="O750" s="330"/>
      <c r="P750" s="330"/>
      <c r="Q750" s="330"/>
      <c r="R750" s="330"/>
      <c r="S750" s="360"/>
      <c r="T750" s="361"/>
      <c r="U750" s="360"/>
      <c r="V750" s="360"/>
      <c r="W750" s="360"/>
      <c r="X750" s="196"/>
      <c r="Y750" s="196"/>
      <c r="Z750" s="196"/>
      <c r="AA750" s="196"/>
      <c r="AB750" s="196"/>
      <c r="AC750" s="196"/>
      <c r="AD750" s="196"/>
      <c r="AE750" s="196"/>
    </row>
    <row r="751" ht="20.25" customHeight="1" spans="1:31" x14ac:dyDescent="0.25">
      <c r="A751" s="295"/>
      <c r="B751" s="16"/>
      <c r="C751" s="332"/>
      <c r="D751" s="348" t="s">
        <v>838</v>
      </c>
      <c r="E751" s="349"/>
      <c r="F751" s="197"/>
      <c r="G751" s="9"/>
      <c r="H751" s="9"/>
      <c r="I751" s="9"/>
      <c r="J751" s="9"/>
      <c r="K751" s="330"/>
      <c r="L751" s="330"/>
      <c r="M751" s="330"/>
      <c r="N751" s="330"/>
      <c r="O751" s="330"/>
      <c r="P751" s="330"/>
      <c r="Q751" s="330"/>
      <c r="R751" s="330"/>
      <c r="S751" s="360"/>
      <c r="T751" s="361"/>
      <c r="U751" s="360"/>
      <c r="V751" s="360"/>
      <c r="W751" s="360"/>
      <c r="X751" s="196"/>
      <c r="Y751" s="196"/>
      <c r="Z751" s="196"/>
      <c r="AA751" s="196"/>
      <c r="AB751" s="196"/>
      <c r="AC751" s="196"/>
      <c r="AD751" s="196"/>
      <c r="AE751" s="196"/>
    </row>
    <row r="752" ht="20.25" customHeight="1" spans="1:31" x14ac:dyDescent="0.25">
      <c r="A752" s="16"/>
      <c r="B752" s="379" t="s">
        <v>839</v>
      </c>
      <c r="C752" s="192"/>
      <c r="D752" s="380" t="s">
        <v>840</v>
      </c>
      <c r="E752" s="381"/>
      <c r="F752" s="382" t="s">
        <v>841</v>
      </c>
      <c r="G752" s="14"/>
      <c r="H752" s="14"/>
      <c r="I752" s="14"/>
      <c r="J752" s="14"/>
      <c r="K752" s="330"/>
      <c r="L752" s="330"/>
      <c r="M752" s="330"/>
      <c r="N752" s="330"/>
      <c r="O752" s="330"/>
      <c r="P752" s="330"/>
      <c r="Q752" s="330"/>
      <c r="R752" s="330"/>
      <c r="S752" s="360"/>
      <c r="T752" s="361"/>
      <c r="U752" s="360"/>
      <c r="V752" s="360"/>
      <c r="W752" s="360"/>
      <c r="X752" s="196"/>
      <c r="Y752" s="196"/>
      <c r="Z752" s="196"/>
      <c r="AA752" s="196"/>
      <c r="AB752" s="196"/>
      <c r="AC752" s="196"/>
      <c r="AD752" s="196"/>
      <c r="AE752" s="196"/>
    </row>
    <row r="753" ht="20.25" customHeight="1" spans="1:31" x14ac:dyDescent="0.25">
      <c r="A753" s="16"/>
      <c r="B753" s="383"/>
      <c r="C753" s="384"/>
      <c r="D753" s="385" t="s">
        <v>842</v>
      </c>
      <c r="E753" s="386"/>
      <c r="F753" s="387" t="s">
        <v>826</v>
      </c>
      <c r="G753" s="28"/>
      <c r="H753" s="28"/>
      <c r="I753" s="28"/>
      <c r="J753" s="28"/>
      <c r="K753" s="330" t="s">
        <v>826</v>
      </c>
      <c r="L753" s="330"/>
      <c r="M753" s="330"/>
      <c r="N753" s="330"/>
      <c r="O753" s="330"/>
      <c r="P753" s="330"/>
      <c r="Q753" s="330"/>
      <c r="R753" s="330"/>
      <c r="S753" s="360"/>
      <c r="T753" s="361"/>
      <c r="U753" s="360"/>
      <c r="V753" s="360"/>
      <c r="W753" s="360"/>
      <c r="X753" s="196"/>
      <c r="Y753" s="196"/>
      <c r="Z753" s="196"/>
      <c r="AA753" s="196"/>
      <c r="AB753" s="196"/>
      <c r="AC753" s="196"/>
      <c r="AD753" s="196"/>
      <c r="AE753" s="196"/>
    </row>
    <row r="754" ht="20.25" customHeight="1" spans="1:31" x14ac:dyDescent="0.25">
      <c r="A754" s="16"/>
      <c r="B754" s="383"/>
      <c r="C754" s="384"/>
      <c r="D754" s="385" t="s">
        <v>843</v>
      </c>
      <c r="E754" s="386"/>
      <c r="F754" s="137"/>
      <c r="G754" s="137"/>
      <c r="H754" s="137"/>
      <c r="I754" s="137"/>
      <c r="J754" s="137"/>
      <c r="K754" s="330"/>
      <c r="L754" s="330"/>
      <c r="M754" s="330"/>
      <c r="N754" s="330"/>
      <c r="O754" s="330"/>
      <c r="P754" s="330"/>
      <c r="Q754" s="330"/>
      <c r="R754" s="330"/>
      <c r="S754" s="360"/>
      <c r="T754" s="361"/>
      <c r="U754" s="360"/>
      <c r="V754" s="360"/>
      <c r="W754" s="360"/>
      <c r="X754" s="196"/>
      <c r="Y754" s="196"/>
      <c r="Z754" s="196"/>
      <c r="AA754" s="196"/>
      <c r="AB754" s="196"/>
      <c r="AC754" s="196"/>
      <c r="AD754" s="196"/>
      <c r="AE754" s="196"/>
    </row>
    <row r="755" ht="20.25" customHeight="1" spans="1:31" x14ac:dyDescent="0.25">
      <c r="A755" s="197"/>
      <c r="B755" s="388"/>
      <c r="C755" s="200"/>
      <c r="D755" s="389" t="s">
        <v>844</v>
      </c>
      <c r="E755" s="390"/>
      <c r="F755" s="9"/>
      <c r="G755" s="9"/>
      <c r="H755" s="9"/>
      <c r="I755" s="9"/>
      <c r="J755" s="9"/>
      <c r="K755" s="330"/>
      <c r="L755" s="330"/>
      <c r="M755" s="330"/>
      <c r="N755" s="330"/>
      <c r="O755" s="330"/>
      <c r="P755" s="330"/>
      <c r="Q755" s="330"/>
      <c r="R755" s="330"/>
      <c r="S755" s="391"/>
      <c r="T755" s="392"/>
      <c r="U755" s="360"/>
      <c r="V755" s="360"/>
      <c r="W755" s="360"/>
      <c r="X755" s="196"/>
      <c r="Y755" s="196"/>
      <c r="Z755" s="196"/>
      <c r="AA755" s="196"/>
      <c r="AB755" s="196"/>
      <c r="AC755" s="196"/>
      <c r="AD755" s="196"/>
      <c r="AE755" s="196"/>
    </row>
    <row r="756" ht="20.25" customHeight="1" spans="1:26" x14ac:dyDescent="0.25">
      <c r="A756" s="346" t="s">
        <v>845</v>
      </c>
      <c r="B756" s="372"/>
      <c r="C756" s="372"/>
      <c r="D756" s="393"/>
      <c r="E756" s="393"/>
      <c r="F756" s="387"/>
      <c r="G756" s="387"/>
      <c r="H756" s="387"/>
      <c r="I756" s="387"/>
      <c r="J756" s="387"/>
      <c r="K756" s="354"/>
      <c r="L756" s="354"/>
      <c r="M756" s="354"/>
      <c r="N756" s="354"/>
      <c r="O756" s="354"/>
      <c r="P756" s="354"/>
      <c r="Q756" s="354"/>
      <c r="R756" s="114"/>
      <c r="S756" s="372"/>
      <c r="T756" s="29"/>
      <c r="U756" s="137"/>
      <c r="V756" s="137"/>
      <c r="W756" s="137"/>
      <c r="X756" s="137"/>
      <c r="Y756" s="137"/>
      <c r="Z756" s="137"/>
    </row>
    <row r="757" ht="20.25" customHeight="1" spans="1:26" x14ac:dyDescent="0.25">
      <c r="A757" s="348" t="s">
        <v>846</v>
      </c>
      <c r="B757" s="114"/>
      <c r="C757" s="114"/>
      <c r="D757" s="394"/>
      <c r="E757" s="394"/>
      <c r="F757" s="354"/>
      <c r="G757" s="354"/>
      <c r="H757" s="354"/>
      <c r="I757" s="354"/>
      <c r="J757" s="354"/>
      <c r="K757" s="354"/>
      <c r="L757" s="354"/>
      <c r="M757" s="354"/>
      <c r="N757" s="354"/>
      <c r="O757" s="354"/>
      <c r="P757" s="354"/>
      <c r="Q757" s="354"/>
      <c r="R757" s="114"/>
      <c r="S757" s="114"/>
      <c r="T757" s="332"/>
      <c r="U757" s="137"/>
      <c r="V757" s="137"/>
      <c r="W757" s="137"/>
      <c r="X757" s="137"/>
      <c r="Y757" s="137"/>
      <c r="Z757" s="137"/>
    </row>
    <row r="758" ht="20.25" customHeight="1" spans="1:26" x14ac:dyDescent="0.25">
      <c r="A758" s="348" t="s">
        <v>847</v>
      </c>
      <c r="B758" s="114"/>
      <c r="C758" s="114"/>
      <c r="D758" s="394"/>
      <c r="E758" s="394"/>
      <c r="F758" s="354"/>
      <c r="G758" s="354"/>
      <c r="H758" s="354"/>
      <c r="I758" s="354"/>
      <c r="J758" s="354"/>
      <c r="K758" s="354"/>
      <c r="L758" s="354"/>
      <c r="M758" s="354"/>
      <c r="N758" s="354"/>
      <c r="O758" s="354"/>
      <c r="P758" s="354"/>
      <c r="Q758" s="354"/>
      <c r="R758" s="114"/>
      <c r="S758" s="114"/>
      <c r="T758" s="332"/>
      <c r="U758" s="137"/>
      <c r="V758" s="137"/>
      <c r="W758" s="137"/>
      <c r="X758" s="137"/>
      <c r="Y758" s="137"/>
      <c r="Z758" s="137"/>
    </row>
    <row r="759" ht="20.25" customHeight="1" spans="1:26" x14ac:dyDescent="0.25">
      <c r="A759" s="348" t="s">
        <v>848</v>
      </c>
      <c r="B759" s="114"/>
      <c r="C759" s="114"/>
      <c r="D759" s="394"/>
      <c r="E759" s="394"/>
      <c r="F759" s="354"/>
      <c r="G759" s="354"/>
      <c r="H759" s="354"/>
      <c r="I759" s="354"/>
      <c r="J759" s="354"/>
      <c r="K759" s="354"/>
      <c r="L759" s="354"/>
      <c r="M759" s="354"/>
      <c r="N759" s="354"/>
      <c r="O759" s="354"/>
      <c r="P759" s="354"/>
      <c r="Q759" s="354"/>
      <c r="R759" s="114"/>
      <c r="S759" s="114"/>
      <c r="T759" s="332"/>
      <c r="U759" s="137"/>
      <c r="V759" s="137"/>
      <c r="W759" s="137"/>
      <c r="X759" s="137"/>
      <c r="Y759" s="137"/>
      <c r="Z759" s="137"/>
    </row>
    <row r="760" ht="20.25" customHeight="1" spans="1:26" x14ac:dyDescent="0.25">
      <c r="A760" s="395" t="s">
        <v>849</v>
      </c>
      <c r="B760" s="396"/>
      <c r="C760" s="396"/>
      <c r="D760" s="397"/>
      <c r="E760" s="397"/>
      <c r="F760" s="398"/>
      <c r="G760" s="398"/>
      <c r="H760" s="398"/>
      <c r="I760" s="398"/>
      <c r="J760" s="398"/>
      <c r="K760" s="398"/>
      <c r="L760" s="398"/>
      <c r="M760" s="398"/>
      <c r="N760" s="398"/>
      <c r="O760" s="398"/>
      <c r="P760" s="398"/>
      <c r="Q760" s="398"/>
      <c r="R760" s="396"/>
      <c r="S760" s="396"/>
      <c r="T760" s="399"/>
      <c r="U760" s="137"/>
      <c r="V760" s="137"/>
      <c r="W760" s="137"/>
      <c r="X760" s="137"/>
      <c r="Y760" s="137"/>
      <c r="Z760" s="137"/>
    </row>
    <row r="761" ht="20.25" customHeight="1" x14ac:dyDescent="0.25"/>
    <row r="762" ht="20.25" customHeight="1" x14ac:dyDescent="0.25"/>
    <row r="763" ht="20.25" customHeight="1" x14ac:dyDescent="0.25"/>
    <row r="764" ht="20.25" customHeight="1" x14ac:dyDescent="0.25"/>
    <row r="765" ht="20.25" customHeight="1" x14ac:dyDescent="0.25"/>
    <row r="766" ht="20.25" customHeight="1" x14ac:dyDescent="0.25"/>
    <row r="767" ht="20.25" customHeight="1" x14ac:dyDescent="0.25"/>
    <row r="768" ht="20.25" customHeight="1" x14ac:dyDescent="0.25"/>
    <row r="769" ht="20.25" customHeight="1" x14ac:dyDescent="0.25"/>
    <row r="770" ht="20.25" customHeight="1" x14ac:dyDescent="0.25"/>
    <row r="771" ht="20.25" customHeight="1" x14ac:dyDescent="0.25"/>
    <row r="772" ht="20.25" customHeight="1" spans="6:20" x14ac:dyDescent="0.25">
      <c r="F772" s="137"/>
      <c r="G772" s="137"/>
      <c r="H772" s="137"/>
      <c r="I772" s="137"/>
      <c r="J772" s="137"/>
      <c r="K772" s="137"/>
      <c r="L772" s="137"/>
      <c r="M772" s="137"/>
      <c r="N772" s="137"/>
      <c r="O772" s="137"/>
      <c r="P772" s="137"/>
      <c r="Q772" s="137"/>
      <c r="R772" s="137"/>
      <c r="S772" s="137"/>
      <c r="T772" s="137"/>
    </row>
    <row r="773" ht="20.25" customHeight="1" spans="1:26" x14ac:dyDescent="0.25">
      <c r="A773" s="137"/>
      <c r="B773" s="137"/>
      <c r="C773" s="137"/>
      <c r="D773" s="114"/>
      <c r="E773" s="114"/>
      <c r="F773" s="137"/>
      <c r="G773" s="137"/>
      <c r="H773" s="137"/>
      <c r="I773" s="137"/>
      <c r="J773" s="137"/>
      <c r="K773" s="354"/>
      <c r="L773" s="354"/>
      <c r="M773" s="354"/>
      <c r="N773" s="354"/>
      <c r="O773" s="354"/>
      <c r="P773" s="354"/>
      <c r="Q773" s="354"/>
      <c r="R773" s="354"/>
      <c r="S773" s="360"/>
      <c r="T773" s="360"/>
      <c r="U773" s="360"/>
      <c r="V773" s="360"/>
      <c r="W773" s="360"/>
      <c r="X773" s="196"/>
      <c r="Y773" s="196"/>
      <c r="Z773" s="196"/>
    </row>
    <row r="774" ht="20.25" customHeight="1" spans="1:26" x14ac:dyDescent="0.25">
      <c r="A774" s="400" t="s">
        <v>721</v>
      </c>
      <c r="B774" s="401"/>
      <c r="C774" s="401"/>
      <c r="D774" s="402"/>
      <c r="E774" s="403"/>
      <c r="F774" s="325" t="s">
        <v>722</v>
      </c>
      <c r="G774" s="325"/>
      <c r="H774" s="325"/>
      <c r="I774" s="325"/>
      <c r="J774" s="404"/>
      <c r="K774" s="379" t="s">
        <v>723</v>
      </c>
      <c r="L774" s="402"/>
      <c r="M774" s="402"/>
      <c r="N774" s="402"/>
      <c r="O774" s="402"/>
      <c r="P774" s="402"/>
      <c r="Q774" s="402"/>
      <c r="R774" s="403"/>
      <c r="S774" s="335" t="s">
        <v>724</v>
      </c>
      <c r="T774" s="336"/>
      <c r="U774" s="219"/>
      <c r="V774" s="219"/>
      <c r="W774" s="219"/>
      <c r="X774" s="114"/>
      <c r="Y774" s="114"/>
      <c r="Z774" s="114"/>
    </row>
    <row r="775" ht="20.25" customHeight="1" spans="1:26" x14ac:dyDescent="0.25">
      <c r="A775" s="405" t="s">
        <v>796</v>
      </c>
      <c r="B775" s="406" t="s">
        <v>850</v>
      </c>
      <c r="C775" s="332"/>
      <c r="D775" s="407" t="s">
        <v>851</v>
      </c>
      <c r="E775" s="408"/>
      <c r="F775" s="409" t="s">
        <v>852</v>
      </c>
      <c r="G775" s="408"/>
      <c r="H775" s="408"/>
      <c r="I775" s="408"/>
      <c r="J775" s="408"/>
      <c r="K775" s="409" t="s">
        <v>853</v>
      </c>
      <c r="L775" s="409"/>
      <c r="M775" s="409"/>
      <c r="N775" s="409"/>
      <c r="O775" s="409"/>
      <c r="P775" s="409"/>
      <c r="Q775" s="409"/>
      <c r="R775" s="410"/>
      <c r="S775" s="411" t="s">
        <v>854</v>
      </c>
      <c r="T775" s="359"/>
      <c r="U775" s="360"/>
      <c r="V775" s="360"/>
      <c r="W775" s="360"/>
      <c r="X775" s="114"/>
      <c r="Y775" s="114"/>
      <c r="Z775" s="114"/>
    </row>
    <row r="776" ht="20.25" customHeight="1" spans="1:26" x14ac:dyDescent="0.25">
      <c r="A776" s="412"/>
      <c r="B776" s="16"/>
      <c r="C776" s="332"/>
      <c r="D776" s="408"/>
      <c r="E776" s="408"/>
      <c r="F776" s="408"/>
      <c r="G776" s="408"/>
      <c r="H776" s="408"/>
      <c r="I776" s="408"/>
      <c r="J776" s="408"/>
      <c r="K776" s="409"/>
      <c r="L776" s="409"/>
      <c r="M776" s="409"/>
      <c r="N776" s="409"/>
      <c r="O776" s="409"/>
      <c r="P776" s="409"/>
      <c r="Q776" s="409"/>
      <c r="R776" s="410"/>
      <c r="S776" s="413"/>
      <c r="T776" s="361"/>
      <c r="U776" s="360"/>
      <c r="V776" s="360"/>
      <c r="W776" s="360"/>
      <c r="X776" s="114"/>
      <c r="Y776" s="114"/>
      <c r="Z776" s="114"/>
    </row>
    <row r="777" ht="20.25" customHeight="1" spans="1:26" x14ac:dyDescent="0.25">
      <c r="A777" s="412"/>
      <c r="B777" s="16"/>
      <c r="C777" s="332"/>
      <c r="D777" s="408"/>
      <c r="E777" s="408"/>
      <c r="F777" s="408"/>
      <c r="G777" s="408"/>
      <c r="H777" s="408"/>
      <c r="I777" s="408"/>
      <c r="J777" s="408"/>
      <c r="K777" s="409"/>
      <c r="L777" s="409"/>
      <c r="M777" s="409"/>
      <c r="N777" s="409"/>
      <c r="O777" s="409"/>
      <c r="P777" s="409"/>
      <c r="Q777" s="409"/>
      <c r="R777" s="410"/>
      <c r="S777" s="413"/>
      <c r="T777" s="361"/>
      <c r="U777" s="360"/>
      <c r="V777" s="360"/>
      <c r="W777" s="360"/>
      <c r="X777" s="137"/>
      <c r="Y777" s="137"/>
      <c r="Z777" s="137"/>
    </row>
    <row r="778" ht="72.75" customHeight="1" spans="1:26" x14ac:dyDescent="0.25">
      <c r="A778" s="412"/>
      <c r="B778" s="16"/>
      <c r="C778" s="332"/>
      <c r="D778" s="414" t="s">
        <v>855</v>
      </c>
      <c r="E778" s="415"/>
      <c r="F778" s="409" t="s">
        <v>856</v>
      </c>
      <c r="G778" s="416"/>
      <c r="H778" s="416"/>
      <c r="I778" s="416"/>
      <c r="J778" s="416"/>
      <c r="K778" s="409" t="s">
        <v>857</v>
      </c>
      <c r="L778" s="409"/>
      <c r="M778" s="409"/>
      <c r="N778" s="409"/>
      <c r="O778" s="409"/>
      <c r="P778" s="409"/>
      <c r="Q778" s="409"/>
      <c r="R778" s="410"/>
      <c r="S778" s="413"/>
      <c r="T778" s="361"/>
      <c r="U778" s="360"/>
      <c r="V778" s="360"/>
      <c r="W778" s="360"/>
      <c r="X778" s="137"/>
      <c r="Y778" s="137"/>
      <c r="Z778" s="137"/>
    </row>
    <row r="779" ht="72.75" customHeight="1" spans="1:26" x14ac:dyDescent="0.25">
      <c r="A779" s="412"/>
      <c r="B779" s="16"/>
      <c r="C779" s="332"/>
      <c r="D779" s="414" t="s">
        <v>858</v>
      </c>
      <c r="E779" s="414"/>
      <c r="F779" s="409" t="s">
        <v>859</v>
      </c>
      <c r="G779" s="416"/>
      <c r="H779" s="416"/>
      <c r="I779" s="416"/>
      <c r="J779" s="416"/>
      <c r="K779" s="409" t="s">
        <v>860</v>
      </c>
      <c r="L779" s="409"/>
      <c r="M779" s="409"/>
      <c r="N779" s="409"/>
      <c r="O779" s="409"/>
      <c r="P779" s="409"/>
      <c r="Q779" s="409"/>
      <c r="R779" s="410"/>
      <c r="S779" s="413"/>
      <c r="T779" s="361"/>
      <c r="U779" s="360"/>
      <c r="V779" s="360"/>
      <c r="W779" s="360"/>
      <c r="X779" s="137"/>
      <c r="Y779" s="137"/>
      <c r="Z779" s="137"/>
    </row>
    <row r="780" ht="72.75" customHeight="1" spans="1:26" x14ac:dyDescent="0.25">
      <c r="A780" s="412"/>
      <c r="B780" s="16"/>
      <c r="C780" s="332"/>
      <c r="D780" s="414" t="s">
        <v>861</v>
      </c>
      <c r="E780" s="414"/>
      <c r="F780" s="409" t="s">
        <v>862</v>
      </c>
      <c r="G780" s="416"/>
      <c r="H780" s="416"/>
      <c r="I780" s="416"/>
      <c r="J780" s="416"/>
      <c r="K780" s="409" t="s">
        <v>863</v>
      </c>
      <c r="L780" s="409"/>
      <c r="M780" s="409"/>
      <c r="N780" s="409"/>
      <c r="O780" s="409"/>
      <c r="P780" s="409"/>
      <c r="Q780" s="409"/>
      <c r="R780" s="410"/>
      <c r="S780" s="413"/>
      <c r="T780" s="361"/>
      <c r="U780" s="360"/>
      <c r="V780" s="360"/>
      <c r="W780" s="360"/>
      <c r="X780" s="137"/>
      <c r="Y780" s="137"/>
      <c r="Z780" s="137"/>
    </row>
    <row r="781" ht="72.75" customHeight="1" spans="1:26" x14ac:dyDescent="0.25">
      <c r="A781" s="412"/>
      <c r="B781" s="16"/>
      <c r="C781" s="332"/>
      <c r="D781" s="417" t="s">
        <v>864</v>
      </c>
      <c r="E781" s="417"/>
      <c r="F781" s="418" t="s">
        <v>865</v>
      </c>
      <c r="G781" s="419"/>
      <c r="H781" s="419"/>
      <c r="I781" s="419"/>
      <c r="J781" s="419"/>
      <c r="K781" s="418" t="s">
        <v>866</v>
      </c>
      <c r="L781" s="418"/>
      <c r="M781" s="418"/>
      <c r="N781" s="418"/>
      <c r="O781" s="418"/>
      <c r="P781" s="418"/>
      <c r="Q781" s="418"/>
      <c r="R781" s="420"/>
      <c r="S781" s="413"/>
      <c r="T781" s="361"/>
      <c r="U781" s="360"/>
      <c r="V781" s="360"/>
      <c r="W781" s="360"/>
      <c r="X781" s="137"/>
      <c r="Y781" s="137"/>
      <c r="Z781" s="137"/>
    </row>
    <row r="782" ht="20.25" customHeight="1" spans="1:26" x14ac:dyDescent="0.25">
      <c r="A782" s="412"/>
      <c r="B782" s="333" t="s">
        <v>867</v>
      </c>
      <c r="C782" s="29"/>
      <c r="D782" s="333" t="s">
        <v>868</v>
      </c>
      <c r="E782" s="421"/>
      <c r="F782" s="357" t="s">
        <v>869</v>
      </c>
      <c r="G782" s="422"/>
      <c r="H782" s="422"/>
      <c r="I782" s="422"/>
      <c r="J782" s="423"/>
      <c r="K782" s="424" t="s">
        <v>870</v>
      </c>
      <c r="L782" s="422"/>
      <c r="M782" s="422"/>
      <c r="N782" s="422"/>
      <c r="O782" s="422"/>
      <c r="P782" s="422"/>
      <c r="Q782" s="422"/>
      <c r="R782" s="423"/>
      <c r="S782" s="413"/>
      <c r="T782" s="361"/>
      <c r="U782" s="360"/>
      <c r="V782" s="360"/>
      <c r="W782" s="360"/>
      <c r="X782" s="196"/>
      <c r="Y782" s="196"/>
      <c r="Z782" s="196"/>
    </row>
    <row r="783" ht="20.25" customHeight="1" spans="1:26" x14ac:dyDescent="0.25">
      <c r="A783" s="412"/>
      <c r="B783" s="16"/>
      <c r="C783" s="332"/>
      <c r="D783" s="406"/>
      <c r="E783" s="425"/>
      <c r="F783" s="426"/>
      <c r="G783" s="427"/>
      <c r="H783" s="427"/>
      <c r="I783" s="427"/>
      <c r="J783" s="428"/>
      <c r="K783" s="429"/>
      <c r="L783" s="427"/>
      <c r="M783" s="427"/>
      <c r="N783" s="427"/>
      <c r="O783" s="427"/>
      <c r="P783" s="427"/>
      <c r="Q783" s="427"/>
      <c r="R783" s="428"/>
      <c r="S783" s="413"/>
      <c r="T783" s="361"/>
      <c r="U783" s="360"/>
      <c r="V783" s="360"/>
      <c r="W783" s="360"/>
      <c r="X783" s="196"/>
      <c r="Y783" s="196"/>
      <c r="Z783" s="196"/>
    </row>
    <row r="784" ht="20.25" customHeight="1" spans="1:26" x14ac:dyDescent="0.25">
      <c r="A784" s="412"/>
      <c r="B784" s="16"/>
      <c r="C784" s="332"/>
      <c r="D784" s="430"/>
      <c r="E784" s="431"/>
      <c r="F784" s="432"/>
      <c r="G784" s="433"/>
      <c r="H784" s="433"/>
      <c r="I784" s="433"/>
      <c r="J784" s="434"/>
      <c r="K784" s="429"/>
      <c r="L784" s="427"/>
      <c r="M784" s="427"/>
      <c r="N784" s="427"/>
      <c r="O784" s="427"/>
      <c r="P784" s="427"/>
      <c r="Q784" s="427"/>
      <c r="R784" s="428"/>
      <c r="S784" s="413"/>
      <c r="T784" s="361"/>
      <c r="U784" s="360"/>
      <c r="V784" s="360"/>
      <c r="W784" s="360"/>
      <c r="X784" s="196"/>
      <c r="Y784" s="196"/>
      <c r="Z784" s="196"/>
    </row>
    <row r="785" ht="20.25" customHeight="1" spans="1:26" x14ac:dyDescent="0.25">
      <c r="A785" s="412"/>
      <c r="B785" s="16"/>
      <c r="C785" s="332"/>
      <c r="D785" s="333" t="s">
        <v>871</v>
      </c>
      <c r="E785" s="421"/>
      <c r="F785" s="435" t="s">
        <v>872</v>
      </c>
      <c r="G785" s="422"/>
      <c r="H785" s="422"/>
      <c r="I785" s="422"/>
      <c r="J785" s="423"/>
      <c r="K785" s="424" t="s">
        <v>873</v>
      </c>
      <c r="L785" s="422"/>
      <c r="M785" s="422"/>
      <c r="N785" s="422"/>
      <c r="O785" s="422"/>
      <c r="P785" s="422"/>
      <c r="Q785" s="422"/>
      <c r="R785" s="423"/>
      <c r="S785" s="413"/>
      <c r="T785" s="361"/>
      <c r="U785" s="360"/>
      <c r="V785" s="360"/>
      <c r="W785" s="360"/>
      <c r="X785" s="196"/>
      <c r="Y785" s="196"/>
      <c r="Z785" s="196"/>
    </row>
    <row r="786" ht="20.25" customHeight="1" spans="1:26" x14ac:dyDescent="0.25">
      <c r="A786" s="412"/>
      <c r="B786" s="16"/>
      <c r="C786" s="332"/>
      <c r="D786" s="406"/>
      <c r="E786" s="425"/>
      <c r="F786" s="426"/>
      <c r="G786" s="427"/>
      <c r="H786" s="427"/>
      <c r="I786" s="427"/>
      <c r="J786" s="428"/>
      <c r="K786" s="429"/>
      <c r="L786" s="427"/>
      <c r="M786" s="427"/>
      <c r="N786" s="427"/>
      <c r="O786" s="427"/>
      <c r="P786" s="427"/>
      <c r="Q786" s="427"/>
      <c r="R786" s="428"/>
      <c r="S786" s="413"/>
      <c r="T786" s="361"/>
      <c r="U786" s="360"/>
      <c r="V786" s="360"/>
      <c r="W786" s="360"/>
      <c r="X786" s="196"/>
      <c r="Y786" s="196"/>
      <c r="Z786" s="196"/>
    </row>
    <row r="787" ht="20.25" customHeight="1" spans="1:26" x14ac:dyDescent="0.25">
      <c r="A787" s="412"/>
      <c r="B787" s="16"/>
      <c r="C787" s="332"/>
      <c r="D787" s="430"/>
      <c r="E787" s="431"/>
      <c r="F787" s="432"/>
      <c r="G787" s="433"/>
      <c r="H787" s="433"/>
      <c r="I787" s="433"/>
      <c r="J787" s="434"/>
      <c r="K787" s="429"/>
      <c r="L787" s="427"/>
      <c r="M787" s="427"/>
      <c r="N787" s="427"/>
      <c r="O787" s="427"/>
      <c r="P787" s="427"/>
      <c r="Q787" s="427"/>
      <c r="R787" s="428"/>
      <c r="S787" s="413"/>
      <c r="T787" s="361"/>
      <c r="U787" s="360"/>
      <c r="V787" s="360"/>
      <c r="W787" s="360"/>
      <c r="X787" s="196"/>
      <c r="Y787" s="196"/>
      <c r="Z787" s="196"/>
    </row>
    <row r="788" ht="20.25" customHeight="1" spans="1:26" x14ac:dyDescent="0.25">
      <c r="A788" s="412"/>
      <c r="B788" s="16"/>
      <c r="C788" s="332"/>
      <c r="D788" s="333" t="s">
        <v>802</v>
      </c>
      <c r="E788" s="421"/>
      <c r="F788" s="435" t="s">
        <v>874</v>
      </c>
      <c r="G788" s="422"/>
      <c r="H788" s="422"/>
      <c r="I788" s="422"/>
      <c r="J788" s="423"/>
      <c r="K788" s="424" t="s">
        <v>875</v>
      </c>
      <c r="L788" s="422"/>
      <c r="M788" s="422"/>
      <c r="N788" s="422"/>
      <c r="O788" s="422"/>
      <c r="P788" s="422"/>
      <c r="Q788" s="422"/>
      <c r="R788" s="423"/>
      <c r="S788" s="413"/>
      <c r="T788" s="361"/>
      <c r="U788" s="360"/>
      <c r="V788" s="360"/>
      <c r="W788" s="360"/>
      <c r="X788" s="196"/>
      <c r="Y788" s="196"/>
      <c r="Z788" s="196"/>
    </row>
    <row r="789" ht="20.25" customHeight="1" spans="1:26" x14ac:dyDescent="0.25">
      <c r="A789" s="412"/>
      <c r="B789" s="16"/>
      <c r="C789" s="332"/>
      <c r="D789" s="406"/>
      <c r="E789" s="425"/>
      <c r="F789" s="426"/>
      <c r="G789" s="427"/>
      <c r="H789" s="427"/>
      <c r="I789" s="427"/>
      <c r="J789" s="428"/>
      <c r="K789" s="429"/>
      <c r="L789" s="427"/>
      <c r="M789" s="427"/>
      <c r="N789" s="427"/>
      <c r="O789" s="427"/>
      <c r="P789" s="427"/>
      <c r="Q789" s="427"/>
      <c r="R789" s="428"/>
      <c r="S789" s="413"/>
      <c r="T789" s="361"/>
      <c r="U789" s="360"/>
      <c r="V789" s="360"/>
      <c r="W789" s="360"/>
      <c r="X789" s="196"/>
      <c r="Y789" s="196"/>
      <c r="Z789" s="196"/>
    </row>
    <row r="790" ht="20.25" customHeight="1" spans="1:26" x14ac:dyDescent="0.25">
      <c r="A790" s="412"/>
      <c r="B790" s="197"/>
      <c r="C790" s="10"/>
      <c r="D790" s="430"/>
      <c r="E790" s="431"/>
      <c r="F790" s="432"/>
      <c r="G790" s="433"/>
      <c r="H790" s="433"/>
      <c r="I790" s="433"/>
      <c r="J790" s="434"/>
      <c r="K790" s="429"/>
      <c r="L790" s="427"/>
      <c r="M790" s="427"/>
      <c r="N790" s="427"/>
      <c r="O790" s="427"/>
      <c r="P790" s="427"/>
      <c r="Q790" s="427"/>
      <c r="R790" s="428"/>
      <c r="S790" s="413"/>
      <c r="T790" s="361"/>
      <c r="U790" s="360"/>
      <c r="V790" s="360"/>
      <c r="W790" s="360"/>
      <c r="X790" s="196"/>
      <c r="Y790" s="196"/>
      <c r="Z790" s="196"/>
    </row>
    <row r="791" ht="91.5" customHeight="1" spans="1:26" x14ac:dyDescent="0.25">
      <c r="A791" s="412"/>
      <c r="B791" s="436" t="s">
        <v>876</v>
      </c>
      <c r="C791" s="361"/>
      <c r="D791" s="414" t="s">
        <v>877</v>
      </c>
      <c r="E791" s="414"/>
      <c r="F791" s="409" t="s">
        <v>878</v>
      </c>
      <c r="G791" s="416"/>
      <c r="H791" s="416"/>
      <c r="I791" s="416"/>
      <c r="J791" s="416"/>
      <c r="K791" s="409" t="s">
        <v>879</v>
      </c>
      <c r="L791" s="409"/>
      <c r="M791" s="409"/>
      <c r="N791" s="409"/>
      <c r="O791" s="409"/>
      <c r="P791" s="409"/>
      <c r="Q791" s="409"/>
      <c r="R791" s="410"/>
      <c r="S791" s="413"/>
      <c r="T791" s="361"/>
      <c r="U791" s="360"/>
      <c r="V791" s="360"/>
      <c r="W791" s="360"/>
      <c r="X791" s="137"/>
      <c r="Y791" s="137"/>
      <c r="Z791" s="137"/>
    </row>
    <row r="792" ht="55.5" customHeight="1" spans="1:26" x14ac:dyDescent="0.25">
      <c r="A792" s="412"/>
      <c r="B792" s="436"/>
      <c r="C792" s="361"/>
      <c r="D792" s="414" t="s">
        <v>802</v>
      </c>
      <c r="E792" s="414"/>
      <c r="F792" s="409" t="s">
        <v>880</v>
      </c>
      <c r="G792" s="416"/>
      <c r="H792" s="416"/>
      <c r="I792" s="416"/>
      <c r="J792" s="416"/>
      <c r="K792" s="409" t="s">
        <v>881</v>
      </c>
      <c r="L792" s="409"/>
      <c r="M792" s="409"/>
      <c r="N792" s="409"/>
      <c r="O792" s="409"/>
      <c r="P792" s="409"/>
      <c r="Q792" s="409"/>
      <c r="R792" s="410"/>
      <c r="S792" s="413"/>
      <c r="T792" s="361"/>
      <c r="U792" s="360"/>
      <c r="V792" s="360"/>
      <c r="W792" s="360"/>
      <c r="X792" s="137"/>
      <c r="Y792" s="137"/>
      <c r="Z792" s="137"/>
    </row>
    <row r="793" ht="38.25" customHeight="1" spans="1:26" x14ac:dyDescent="0.25">
      <c r="A793" s="412"/>
      <c r="B793" s="437"/>
      <c r="C793" s="392"/>
      <c r="D793" s="414" t="s">
        <v>882</v>
      </c>
      <c r="E793" s="414"/>
      <c r="F793" s="409" t="s">
        <v>865</v>
      </c>
      <c r="G793" s="416"/>
      <c r="H793" s="416"/>
      <c r="I793" s="416"/>
      <c r="J793" s="416"/>
      <c r="K793" s="409" t="s">
        <v>873</v>
      </c>
      <c r="L793" s="409"/>
      <c r="M793" s="409"/>
      <c r="N793" s="409"/>
      <c r="O793" s="409"/>
      <c r="P793" s="409"/>
      <c r="Q793" s="409"/>
      <c r="R793" s="410"/>
      <c r="S793" s="413"/>
      <c r="T793" s="361"/>
      <c r="U793" s="360"/>
      <c r="V793" s="360"/>
      <c r="W793" s="360"/>
      <c r="X793" s="137"/>
      <c r="Y793" s="137"/>
      <c r="Z793" s="137"/>
    </row>
    <row r="794" ht="111.75" customHeight="1" spans="1:26" x14ac:dyDescent="0.25">
      <c r="A794" s="412"/>
      <c r="B794" s="436" t="s">
        <v>883</v>
      </c>
      <c r="C794" s="361"/>
      <c r="D794" s="414" t="s">
        <v>884</v>
      </c>
      <c r="E794" s="414"/>
      <c r="F794" s="409" t="s">
        <v>885</v>
      </c>
      <c r="G794" s="416"/>
      <c r="H794" s="416"/>
      <c r="I794" s="416"/>
      <c r="J794" s="416"/>
      <c r="K794" s="409" t="s">
        <v>886</v>
      </c>
      <c r="L794" s="409"/>
      <c r="M794" s="409"/>
      <c r="N794" s="409"/>
      <c r="O794" s="409"/>
      <c r="P794" s="409"/>
      <c r="Q794" s="409"/>
      <c r="R794" s="410"/>
      <c r="S794" s="413"/>
      <c r="T794" s="361"/>
      <c r="U794" s="360"/>
      <c r="V794" s="360"/>
      <c r="W794" s="360"/>
      <c r="X794" s="137"/>
      <c r="Y794" s="137"/>
      <c r="Z794" s="137"/>
    </row>
    <row r="795" ht="55.5" customHeight="1" spans="1:26" x14ac:dyDescent="0.25">
      <c r="A795" s="438"/>
      <c r="B795" s="437"/>
      <c r="C795" s="392"/>
      <c r="D795" s="414" t="s">
        <v>882</v>
      </c>
      <c r="E795" s="414"/>
      <c r="F795" s="409" t="s">
        <v>887</v>
      </c>
      <c r="G795" s="416"/>
      <c r="H795" s="416"/>
      <c r="I795" s="416"/>
      <c r="J795" s="416"/>
      <c r="K795" s="409" t="s">
        <v>881</v>
      </c>
      <c r="L795" s="409"/>
      <c r="M795" s="409"/>
      <c r="N795" s="409"/>
      <c r="O795" s="409"/>
      <c r="P795" s="409"/>
      <c r="Q795" s="409"/>
      <c r="R795" s="410"/>
      <c r="S795" s="439"/>
      <c r="T795" s="392"/>
      <c r="U795" s="360"/>
      <c r="V795" s="360"/>
      <c r="W795" s="360"/>
      <c r="X795" s="137"/>
      <c r="Y795" s="137"/>
      <c r="Z795" s="137"/>
    </row>
    <row r="796" ht="20.25" customHeight="1" spans="1:20" x14ac:dyDescent="0.25">
      <c r="A796" s="28"/>
      <c r="B796" s="28"/>
      <c r="C796" s="28"/>
      <c r="D796" s="28"/>
      <c r="E796" s="28"/>
      <c r="F796" s="28"/>
      <c r="G796" s="28"/>
      <c r="H796" s="28"/>
      <c r="I796" s="28"/>
      <c r="J796" s="28"/>
      <c r="K796" s="28"/>
      <c r="L796" s="28"/>
      <c r="M796" s="28"/>
      <c r="N796" s="28"/>
      <c r="O796" s="28"/>
      <c r="P796" s="28"/>
      <c r="Q796" s="28"/>
      <c r="R796" s="28"/>
      <c r="S796" s="28"/>
      <c r="T796" s="28"/>
    </row>
    <row r="797" ht="20.25" customHeight="1" spans="1:26" x14ac:dyDescent="0.25">
      <c r="A797" s="440"/>
      <c r="B797" s="360"/>
      <c r="C797" s="360"/>
      <c r="D797" s="360"/>
      <c r="E797" s="360"/>
      <c r="F797" s="441"/>
      <c r="G797" s="427"/>
      <c r="H797" s="427"/>
      <c r="I797" s="427"/>
      <c r="J797" s="427"/>
      <c r="K797" s="441"/>
      <c r="L797" s="441"/>
      <c r="M797" s="441"/>
      <c r="N797" s="441"/>
      <c r="O797" s="441"/>
      <c r="P797" s="441"/>
      <c r="Q797" s="441"/>
      <c r="R797" s="441"/>
      <c r="S797" s="360"/>
      <c r="T797" s="360"/>
      <c r="U797" s="360"/>
      <c r="V797" s="360"/>
      <c r="W797" s="360"/>
      <c r="X797" s="137"/>
      <c r="Y797" s="137"/>
      <c r="Z797" s="137"/>
    </row>
    <row r="798" ht="20.25" customHeight="1" spans="1:26" x14ac:dyDescent="0.25">
      <c r="A798" s="442" t="s">
        <v>721</v>
      </c>
      <c r="B798" s="443"/>
      <c r="C798" s="443"/>
      <c r="D798" s="325"/>
      <c r="E798" s="404"/>
      <c r="F798" s="325" t="s">
        <v>722</v>
      </c>
      <c r="G798" s="325"/>
      <c r="H798" s="325"/>
      <c r="I798" s="325"/>
      <c r="J798" s="404"/>
      <c r="K798" s="444" t="s">
        <v>723</v>
      </c>
      <c r="L798" s="325"/>
      <c r="M798" s="325"/>
      <c r="N798" s="325"/>
      <c r="O798" s="325"/>
      <c r="P798" s="325"/>
      <c r="Q798" s="325"/>
      <c r="R798" s="404"/>
      <c r="S798" s="411" t="s">
        <v>854</v>
      </c>
      <c r="T798" s="359"/>
      <c r="U798" s="219"/>
      <c r="V798" s="219"/>
      <c r="W798" s="219"/>
      <c r="X798" s="114"/>
      <c r="Y798" s="114"/>
      <c r="Z798" s="114"/>
    </row>
    <row r="799" ht="64.15" customHeight="1" spans="1:26" x14ac:dyDescent="0.25">
      <c r="A799" s="412" t="s">
        <v>796</v>
      </c>
      <c r="B799" s="333" t="s">
        <v>888</v>
      </c>
      <c r="C799" s="445"/>
      <c r="D799" s="333" t="s">
        <v>889</v>
      </c>
      <c r="E799" s="421"/>
      <c r="F799" s="435" t="s">
        <v>890</v>
      </c>
      <c r="G799" s="28"/>
      <c r="H799" s="28"/>
      <c r="I799" s="28"/>
      <c r="J799" s="28"/>
      <c r="K799" s="446" t="s">
        <v>891</v>
      </c>
      <c r="L799" s="446"/>
      <c r="M799" s="446"/>
      <c r="N799" s="446"/>
      <c r="O799" s="446"/>
      <c r="P799" s="446"/>
      <c r="Q799" s="446"/>
      <c r="R799" s="446"/>
      <c r="S799" s="413"/>
      <c r="T799" s="361"/>
      <c r="U799" s="360"/>
      <c r="V799" s="360"/>
      <c r="W799" s="360"/>
      <c r="X799" s="196"/>
      <c r="Y799" s="196"/>
      <c r="Z799" s="196"/>
    </row>
    <row r="800" ht="64.15" customHeight="1" spans="1:26" x14ac:dyDescent="0.25">
      <c r="A800" s="412"/>
      <c r="B800" s="447"/>
      <c r="C800" s="448"/>
      <c r="D800" s="406"/>
      <c r="E800" s="425"/>
      <c r="F800" s="197"/>
      <c r="G800" s="9"/>
      <c r="H800" s="9"/>
      <c r="I800" s="9"/>
      <c r="J800" s="9"/>
      <c r="K800" s="446"/>
      <c r="L800" s="446"/>
      <c r="M800" s="446"/>
      <c r="N800" s="446"/>
      <c r="O800" s="446"/>
      <c r="P800" s="446"/>
      <c r="Q800" s="446"/>
      <c r="R800" s="446"/>
      <c r="S800" s="413"/>
      <c r="T800" s="361"/>
      <c r="U800" s="360"/>
      <c r="V800" s="360"/>
      <c r="W800" s="360"/>
      <c r="X800" s="196"/>
      <c r="Y800" s="196"/>
      <c r="Z800" s="196"/>
    </row>
    <row r="801" ht="20.25" customHeight="1" spans="1:26" x14ac:dyDescent="0.25">
      <c r="A801" s="412"/>
      <c r="B801" s="333" t="s">
        <v>892</v>
      </c>
      <c r="C801" s="445"/>
      <c r="D801" s="333" t="s">
        <v>889</v>
      </c>
      <c r="E801" s="421"/>
      <c r="F801" s="435" t="s">
        <v>893</v>
      </c>
      <c r="G801" s="449"/>
      <c r="H801" s="449"/>
      <c r="I801" s="449"/>
      <c r="J801" s="450"/>
      <c r="K801" s="451" t="s">
        <v>894</v>
      </c>
      <c r="L801" s="452"/>
      <c r="M801" s="452"/>
      <c r="N801" s="452"/>
      <c r="O801" s="452"/>
      <c r="P801" s="452"/>
      <c r="Q801" s="452"/>
      <c r="R801" s="453"/>
      <c r="S801" s="413"/>
      <c r="T801" s="361"/>
      <c r="U801" s="360"/>
      <c r="V801" s="360"/>
      <c r="W801" s="360"/>
      <c r="X801" s="196"/>
      <c r="Y801" s="196"/>
      <c r="Z801" s="196"/>
    </row>
    <row r="802" ht="20.25" customHeight="1" spans="1:26" x14ac:dyDescent="0.25">
      <c r="A802" s="412"/>
      <c r="B802" s="447"/>
      <c r="C802" s="448"/>
      <c r="D802" s="406"/>
      <c r="E802" s="425"/>
      <c r="F802" s="454"/>
      <c r="G802" s="441"/>
      <c r="H802" s="441"/>
      <c r="I802" s="441"/>
      <c r="J802" s="455"/>
      <c r="K802" s="456"/>
      <c r="L802" s="441"/>
      <c r="M802" s="441"/>
      <c r="N802" s="441"/>
      <c r="O802" s="441"/>
      <c r="P802" s="441"/>
      <c r="Q802" s="441"/>
      <c r="R802" s="455"/>
      <c r="S802" s="413"/>
      <c r="T802" s="361"/>
      <c r="U802" s="360"/>
      <c r="V802" s="360"/>
      <c r="W802" s="360"/>
      <c r="X802" s="196"/>
      <c r="Y802" s="196"/>
      <c r="Z802" s="196"/>
    </row>
    <row r="803" ht="20.25" customHeight="1" spans="1:26" x14ac:dyDescent="0.25">
      <c r="A803" s="438"/>
      <c r="B803" s="457"/>
      <c r="C803" s="458"/>
      <c r="D803" s="430"/>
      <c r="E803" s="431"/>
      <c r="F803" s="459"/>
      <c r="G803" s="460"/>
      <c r="H803" s="460"/>
      <c r="I803" s="460"/>
      <c r="J803" s="461"/>
      <c r="K803" s="462"/>
      <c r="L803" s="463"/>
      <c r="M803" s="463"/>
      <c r="N803" s="463"/>
      <c r="O803" s="463"/>
      <c r="P803" s="463"/>
      <c r="Q803" s="463"/>
      <c r="R803" s="464"/>
      <c r="S803" s="439"/>
      <c r="T803" s="392"/>
      <c r="U803" s="360"/>
      <c r="V803" s="360"/>
      <c r="W803" s="360"/>
      <c r="X803" s="196"/>
      <c r="Y803" s="196"/>
      <c r="Z803" s="196"/>
    </row>
    <row r="804" ht="20.25" customHeight="1" spans="1:26" x14ac:dyDescent="0.25">
      <c r="A804" s="346" t="s">
        <v>895</v>
      </c>
      <c r="B804" s="372"/>
      <c r="C804" s="372"/>
      <c r="D804" s="393"/>
      <c r="E804" s="393"/>
      <c r="F804" s="387"/>
      <c r="G804" s="387"/>
      <c r="H804" s="387"/>
      <c r="I804" s="387"/>
      <c r="J804" s="387"/>
      <c r="K804" s="354"/>
      <c r="L804" s="354"/>
      <c r="M804" s="354"/>
      <c r="N804" s="354"/>
      <c r="O804" s="354"/>
      <c r="P804" s="354"/>
      <c r="Q804" s="354"/>
      <c r="R804" s="114"/>
      <c r="S804" s="372"/>
      <c r="T804" s="29"/>
      <c r="U804" s="137"/>
      <c r="V804" s="137"/>
      <c r="W804" s="137"/>
      <c r="X804" s="137"/>
      <c r="Y804" s="137"/>
      <c r="Z804" s="137"/>
    </row>
    <row r="805" ht="20.25" customHeight="1" spans="1:26" x14ac:dyDescent="0.25">
      <c r="A805" s="348" t="s">
        <v>896</v>
      </c>
      <c r="B805" s="114"/>
      <c r="C805" s="114"/>
      <c r="D805" s="394"/>
      <c r="E805" s="394"/>
      <c r="F805" s="354"/>
      <c r="G805" s="354"/>
      <c r="H805" s="354"/>
      <c r="I805" s="354"/>
      <c r="J805" s="354"/>
      <c r="K805" s="354"/>
      <c r="L805" s="354"/>
      <c r="M805" s="354"/>
      <c r="N805" s="354"/>
      <c r="O805" s="354"/>
      <c r="P805" s="354"/>
      <c r="Q805" s="354"/>
      <c r="R805" s="114"/>
      <c r="S805" s="114"/>
      <c r="T805" s="332"/>
      <c r="U805" s="137"/>
      <c r="V805" s="137"/>
      <c r="W805" s="137"/>
      <c r="X805" s="137"/>
      <c r="Y805" s="137"/>
      <c r="Z805" s="137"/>
    </row>
    <row r="806" ht="20.25" customHeight="1" spans="1:26" x14ac:dyDescent="0.25">
      <c r="A806" s="348" t="s">
        <v>897</v>
      </c>
      <c r="B806" s="114"/>
      <c r="C806" s="114"/>
      <c r="D806" s="394"/>
      <c r="E806" s="394"/>
      <c r="F806" s="354"/>
      <c r="G806" s="354"/>
      <c r="H806" s="354"/>
      <c r="I806" s="354"/>
      <c r="J806" s="354"/>
      <c r="K806" s="354"/>
      <c r="L806" s="354"/>
      <c r="M806" s="354"/>
      <c r="N806" s="354"/>
      <c r="O806" s="354"/>
      <c r="P806" s="354"/>
      <c r="Q806" s="354"/>
      <c r="R806" s="114"/>
      <c r="S806" s="114"/>
      <c r="T806" s="332"/>
      <c r="U806" s="137"/>
      <c r="V806" s="137"/>
      <c r="W806" s="137"/>
      <c r="X806" s="137"/>
      <c r="Y806" s="137"/>
      <c r="Z806" s="137"/>
    </row>
    <row r="807" ht="20.25" customHeight="1" spans="1:26" x14ac:dyDescent="0.25">
      <c r="A807" s="348" t="s">
        <v>898</v>
      </c>
      <c r="B807" s="114"/>
      <c r="C807" s="114"/>
      <c r="D807" s="394"/>
      <c r="E807" s="394"/>
      <c r="F807" s="354"/>
      <c r="G807" s="354"/>
      <c r="H807" s="354"/>
      <c r="I807" s="354"/>
      <c r="J807" s="354"/>
      <c r="K807" s="354"/>
      <c r="L807" s="354"/>
      <c r="M807" s="354"/>
      <c r="N807" s="354"/>
      <c r="O807" s="354"/>
      <c r="P807" s="354"/>
      <c r="Q807" s="354"/>
      <c r="R807" s="114"/>
      <c r="S807" s="114"/>
      <c r="T807" s="332"/>
      <c r="U807" s="137"/>
      <c r="V807" s="137"/>
      <c r="W807" s="137"/>
      <c r="X807" s="137"/>
      <c r="Y807" s="137"/>
      <c r="Z807" s="137"/>
    </row>
    <row r="808" ht="20.25" customHeight="1" spans="1:26" x14ac:dyDescent="0.25">
      <c r="A808" s="348" t="s">
        <v>899</v>
      </c>
      <c r="B808" s="114"/>
      <c r="C808" s="114"/>
      <c r="D808" s="394"/>
      <c r="E808" s="394"/>
      <c r="F808" s="354"/>
      <c r="G808" s="354"/>
      <c r="H808" s="354"/>
      <c r="I808" s="354"/>
      <c r="J808" s="354"/>
      <c r="K808" s="354"/>
      <c r="L808" s="354"/>
      <c r="M808" s="354"/>
      <c r="N808" s="354"/>
      <c r="O808" s="354"/>
      <c r="P808" s="354"/>
      <c r="Q808" s="354"/>
      <c r="R808" s="114"/>
      <c r="S808" s="114"/>
      <c r="T808" s="332"/>
      <c r="U808" s="137"/>
      <c r="V808" s="137"/>
      <c r="W808" s="137"/>
      <c r="X808" s="137"/>
      <c r="Y808" s="137"/>
      <c r="Z808" s="137"/>
    </row>
    <row r="809" ht="20.25" customHeight="1" spans="1:26" x14ac:dyDescent="0.25">
      <c r="A809" s="348" t="s">
        <v>900</v>
      </c>
      <c r="B809" s="114"/>
      <c r="C809" s="114"/>
      <c r="D809" s="394"/>
      <c r="E809" s="394"/>
      <c r="F809" s="354"/>
      <c r="G809" s="354"/>
      <c r="H809" s="354"/>
      <c r="I809" s="354"/>
      <c r="J809" s="354"/>
      <c r="K809" s="354"/>
      <c r="L809" s="354"/>
      <c r="M809" s="354"/>
      <c r="N809" s="354"/>
      <c r="O809" s="354"/>
      <c r="P809" s="354"/>
      <c r="Q809" s="354"/>
      <c r="R809" s="114"/>
      <c r="S809" s="114"/>
      <c r="T809" s="332"/>
      <c r="U809" s="137"/>
      <c r="V809" s="137"/>
      <c r="W809" s="137"/>
      <c r="X809" s="137"/>
      <c r="Y809" s="137"/>
      <c r="Z809" s="137"/>
    </row>
    <row r="810" ht="20.25" customHeight="1" spans="1:26" x14ac:dyDescent="0.25">
      <c r="A810" s="348" t="s">
        <v>901</v>
      </c>
      <c r="B810" s="114"/>
      <c r="C810" s="114"/>
      <c r="D810" s="394"/>
      <c r="E810" s="394"/>
      <c r="F810" s="354"/>
      <c r="G810" s="354"/>
      <c r="H810" s="354"/>
      <c r="I810" s="354"/>
      <c r="J810" s="354"/>
      <c r="K810" s="354"/>
      <c r="L810" s="354"/>
      <c r="M810" s="354"/>
      <c r="N810" s="354"/>
      <c r="O810" s="354"/>
      <c r="P810" s="354"/>
      <c r="Q810" s="354"/>
      <c r="R810" s="114"/>
      <c r="S810" s="114"/>
      <c r="T810" s="332"/>
      <c r="U810" s="137"/>
      <c r="V810" s="137"/>
      <c r="W810" s="137"/>
      <c r="X810" s="137"/>
      <c r="Y810" s="137"/>
      <c r="Z810" s="137"/>
    </row>
    <row r="811" ht="20.25" customHeight="1" spans="1:26" x14ac:dyDescent="0.25">
      <c r="A811" s="348" t="s">
        <v>902</v>
      </c>
      <c r="B811" s="114"/>
      <c r="C811" s="114"/>
      <c r="D811" s="394"/>
      <c r="E811" s="394"/>
      <c r="F811" s="354"/>
      <c r="G811" s="354"/>
      <c r="H811" s="354"/>
      <c r="I811" s="354"/>
      <c r="J811" s="354"/>
      <c r="K811" s="354"/>
      <c r="L811" s="354"/>
      <c r="M811" s="354"/>
      <c r="N811" s="354"/>
      <c r="O811" s="354"/>
      <c r="P811" s="354"/>
      <c r="Q811" s="354"/>
      <c r="R811" s="114"/>
      <c r="S811" s="114"/>
      <c r="T811" s="332"/>
      <c r="U811" s="137"/>
      <c r="V811" s="137"/>
      <c r="W811" s="137"/>
      <c r="X811" s="137"/>
      <c r="Y811" s="137"/>
      <c r="Z811" s="137"/>
    </row>
    <row r="812" ht="20.25" customHeight="1" spans="1:26" x14ac:dyDescent="0.25">
      <c r="A812" s="395" t="s">
        <v>903</v>
      </c>
      <c r="B812" s="396"/>
      <c r="C812" s="396"/>
      <c r="D812" s="397"/>
      <c r="E812" s="397"/>
      <c r="F812" s="398"/>
      <c r="G812" s="398"/>
      <c r="H812" s="398"/>
      <c r="I812" s="398"/>
      <c r="J812" s="398"/>
      <c r="K812" s="398"/>
      <c r="L812" s="398"/>
      <c r="M812" s="398"/>
      <c r="N812" s="398"/>
      <c r="O812" s="398"/>
      <c r="P812" s="398"/>
      <c r="Q812" s="398"/>
      <c r="R812" s="396"/>
      <c r="S812" s="396"/>
      <c r="T812" s="399"/>
      <c r="U812" s="137"/>
      <c r="V812" s="137"/>
      <c r="W812" s="137"/>
      <c r="X812" s="137"/>
      <c r="Y812" s="137"/>
      <c r="Z812" s="137"/>
    </row>
    <row r="813" ht="20.25" customHeight="1" x14ac:dyDescent="0.25"/>
    <row r="814" ht="20.25" customHeight="1" x14ac:dyDescent="0.25"/>
    <row r="815" ht="20.25" customHeight="1" x14ac:dyDescent="0.25"/>
    <row r="816" ht="20.25" customHeight="1" x14ac:dyDescent="0.25"/>
    <row r="817" ht="20.25" customHeight="1" x14ac:dyDescent="0.25"/>
    <row r="818" ht="20.25" customHeight="1" x14ac:dyDescent="0.25"/>
    <row r="819" ht="20.25" customHeight="1" x14ac:dyDescent="0.25"/>
    <row r="820" ht="20.25" customHeight="1" x14ac:dyDescent="0.25"/>
    <row r="821" ht="20.25" customHeight="1" x14ac:dyDescent="0.25"/>
    <row r="822" ht="20.25" customHeight="1" x14ac:dyDescent="0.25"/>
    <row r="823" ht="20.25" customHeight="1" x14ac:dyDescent="0.25"/>
    <row r="824" ht="20.25" customHeight="1" x14ac:dyDescent="0.25"/>
    <row r="825" ht="20.25" customHeight="1" spans="1:26" x14ac:dyDescent="0.25">
      <c r="A825" s="137" t="s">
        <v>904</v>
      </c>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ht="20.25" customHeight="1" spans="1:26" x14ac:dyDescent="0.25">
      <c r="A826" s="137" t="s">
        <v>905</v>
      </c>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ht="20.25" customHeight="1" spans="1:26" x14ac:dyDescent="0.25">
      <c r="A827" s="137" t="s">
        <v>906</v>
      </c>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ht="20.25" customHeight="1" spans="1:26" x14ac:dyDescent="0.25">
      <c r="A828" s="196" t="s">
        <v>907</v>
      </c>
      <c r="B828" s="196"/>
      <c r="C828" s="196"/>
      <c r="D828" s="196"/>
      <c r="E828" s="196"/>
      <c r="F828" s="196"/>
      <c r="G828" s="196"/>
      <c r="H828" s="196"/>
      <c r="I828" s="196"/>
      <c r="J828" s="196"/>
      <c r="K828" s="196"/>
      <c r="L828" s="196"/>
      <c r="M828" s="196"/>
      <c r="N828" s="196"/>
      <c r="O828" s="196"/>
      <c r="P828" s="196"/>
      <c r="Q828" s="196"/>
      <c r="R828" s="196"/>
      <c r="S828" s="196"/>
      <c r="T828" s="137"/>
      <c r="U828" s="137"/>
      <c r="V828" s="137"/>
      <c r="W828" s="137"/>
      <c r="X828" s="137"/>
      <c r="Y828" s="137"/>
      <c r="Z828" s="137"/>
    </row>
    <row r="829" ht="20.25" customHeight="1" spans="1:26" x14ac:dyDescent="0.25">
      <c r="A829" s="196" t="s">
        <v>908</v>
      </c>
      <c r="B829" s="196"/>
      <c r="C829" s="196"/>
      <c r="D829" s="196"/>
      <c r="E829" s="196"/>
      <c r="F829" s="196"/>
      <c r="G829" s="196"/>
      <c r="H829" s="196"/>
      <c r="I829" s="196"/>
      <c r="J829" s="196"/>
      <c r="K829" s="196"/>
      <c r="L829" s="196"/>
      <c r="M829" s="196"/>
      <c r="N829" s="196"/>
      <c r="O829" s="196"/>
      <c r="P829" s="196"/>
      <c r="Q829" s="196"/>
      <c r="R829" s="196"/>
      <c r="S829" s="196"/>
      <c r="T829" s="137"/>
      <c r="U829" s="137"/>
      <c r="V829" s="137"/>
      <c r="W829" s="137"/>
      <c r="X829" s="137"/>
      <c r="Y829" s="137"/>
      <c r="Z829" s="137"/>
    </row>
    <row r="830" ht="20.25" customHeight="1" spans="1:26" x14ac:dyDescent="0.25">
      <c r="A830" s="196" t="s">
        <v>909</v>
      </c>
      <c r="B830" s="196"/>
      <c r="C830" s="196"/>
      <c r="D830" s="196"/>
      <c r="E830" s="196"/>
      <c r="F830" s="196"/>
      <c r="G830" s="196"/>
      <c r="H830" s="196"/>
      <c r="I830" s="196"/>
      <c r="J830" s="196"/>
      <c r="K830" s="196"/>
      <c r="L830" s="196"/>
      <c r="M830" s="196"/>
      <c r="N830" s="196"/>
      <c r="O830" s="196"/>
      <c r="P830" s="196"/>
      <c r="Q830" s="196"/>
      <c r="R830" s="196"/>
      <c r="S830" s="196"/>
      <c r="T830" s="137"/>
      <c r="U830" s="137"/>
      <c r="V830" s="137"/>
      <c r="W830" s="137"/>
      <c r="X830" s="137"/>
      <c r="Y830" s="137"/>
      <c r="Z830" s="137"/>
    </row>
    <row r="831" ht="20.25" customHeight="1" spans="1:26" x14ac:dyDescent="0.25">
      <c r="A831" s="196" t="s">
        <v>910</v>
      </c>
      <c r="B831" s="196"/>
      <c r="C831" s="196"/>
      <c r="D831" s="196"/>
      <c r="E831" s="196"/>
      <c r="F831" s="196"/>
      <c r="G831" s="196"/>
      <c r="H831" s="196"/>
      <c r="I831" s="196"/>
      <c r="J831" s="196"/>
      <c r="K831" s="196"/>
      <c r="L831" s="196"/>
      <c r="M831" s="196"/>
      <c r="N831" s="196"/>
      <c r="O831" s="196"/>
      <c r="P831" s="196"/>
      <c r="Q831" s="196"/>
      <c r="R831" s="196"/>
      <c r="S831" s="196"/>
      <c r="T831" s="137"/>
      <c r="U831" s="137"/>
      <c r="V831" s="137"/>
      <c r="W831" s="137"/>
      <c r="X831" s="137"/>
      <c r="Y831" s="137"/>
      <c r="Z831" s="137"/>
    </row>
    <row r="832" ht="20.25" customHeight="1" spans="1:26" x14ac:dyDescent="0.25">
      <c r="A832" s="196" t="s">
        <v>911</v>
      </c>
      <c r="B832" s="196"/>
      <c r="C832" s="196"/>
      <c r="D832" s="196"/>
      <c r="E832" s="196"/>
      <c r="F832" s="196"/>
      <c r="G832" s="196"/>
      <c r="H832" s="196"/>
      <c r="I832" s="196"/>
      <c r="J832" s="196"/>
      <c r="K832" s="196"/>
      <c r="L832" s="196"/>
      <c r="M832" s="196"/>
      <c r="N832" s="196"/>
      <c r="O832" s="196"/>
      <c r="P832" s="196"/>
      <c r="Q832" s="196"/>
      <c r="R832" s="196"/>
      <c r="S832" s="196"/>
      <c r="T832" s="137"/>
      <c r="U832" s="137"/>
      <c r="V832" s="137"/>
      <c r="W832" s="137"/>
      <c r="X832" s="137"/>
      <c r="Y832" s="137"/>
      <c r="Z832" s="137"/>
    </row>
    <row r="833" ht="20.25" customHeight="1" spans="1:26" x14ac:dyDescent="0.25">
      <c r="A833" s="196" t="s">
        <v>912</v>
      </c>
      <c r="B833" s="196"/>
      <c r="C833" s="196"/>
      <c r="D833" s="196"/>
      <c r="E833" s="196"/>
      <c r="F833" s="196"/>
      <c r="G833" s="196"/>
      <c r="H833" s="196"/>
      <c r="I833" s="196"/>
      <c r="J833" s="196"/>
      <c r="K833" s="196"/>
      <c r="L833" s="196"/>
      <c r="M833" s="196"/>
      <c r="N833" s="196"/>
      <c r="O833" s="196"/>
      <c r="P833" s="196"/>
      <c r="Q833" s="196"/>
      <c r="R833" s="196"/>
      <c r="S833" s="196"/>
      <c r="T833" s="137"/>
      <c r="U833" s="137"/>
      <c r="V833" s="137"/>
      <c r="W833" s="137"/>
      <c r="X833" s="137"/>
      <c r="Y833" s="137"/>
      <c r="Z833" s="137"/>
    </row>
    <row r="834" ht="20.25" customHeight="1" spans="1:26" x14ac:dyDescent="0.25">
      <c r="A834" s="196" t="s">
        <v>913</v>
      </c>
      <c r="B834" s="196"/>
      <c r="C834" s="196"/>
      <c r="D834" s="196"/>
      <c r="E834" s="196"/>
      <c r="F834" s="196"/>
      <c r="G834" s="196"/>
      <c r="H834" s="196"/>
      <c r="I834" s="196"/>
      <c r="J834" s="196"/>
      <c r="K834" s="196"/>
      <c r="L834" s="196"/>
      <c r="M834" s="196"/>
      <c r="N834" s="196"/>
      <c r="O834" s="196"/>
      <c r="P834" s="196"/>
      <c r="Q834" s="196"/>
      <c r="R834" s="196"/>
      <c r="S834" s="196"/>
      <c r="T834" s="137"/>
      <c r="U834" s="137"/>
      <c r="V834" s="137"/>
      <c r="W834" s="137"/>
      <c r="X834" s="137"/>
      <c r="Y834" s="137"/>
      <c r="Z834" s="137"/>
    </row>
    <row r="835" ht="20.25" customHeight="1" spans="1:26" x14ac:dyDescent="0.25">
      <c r="A835" s="196" t="s">
        <v>914</v>
      </c>
      <c r="B835" s="196"/>
      <c r="C835" s="196"/>
      <c r="D835" s="196"/>
      <c r="E835" s="196"/>
      <c r="F835" s="196"/>
      <c r="G835" s="196"/>
      <c r="H835" s="196"/>
      <c r="I835" s="196"/>
      <c r="J835" s="196"/>
      <c r="K835" s="196"/>
      <c r="L835" s="196"/>
      <c r="M835" s="196"/>
      <c r="N835" s="196"/>
      <c r="O835" s="196"/>
      <c r="P835" s="196"/>
      <c r="Q835" s="196"/>
      <c r="R835" s="196"/>
      <c r="S835" s="196"/>
      <c r="T835" s="137"/>
      <c r="U835" s="137"/>
      <c r="V835" s="137"/>
      <c r="W835" s="137"/>
      <c r="X835" s="137"/>
      <c r="Y835" s="137"/>
      <c r="Z835" s="137"/>
    </row>
    <row r="836" ht="20.25" customHeight="1" spans="1:26" x14ac:dyDescent="0.25">
      <c r="A836" s="196" t="s">
        <v>915</v>
      </c>
      <c r="B836" s="196"/>
      <c r="C836" s="196"/>
      <c r="D836" s="196"/>
      <c r="E836" s="196"/>
      <c r="F836" s="196"/>
      <c r="G836" s="196"/>
      <c r="H836" s="196"/>
      <c r="I836" s="196"/>
      <c r="J836" s="196"/>
      <c r="K836" s="196"/>
      <c r="L836" s="196"/>
      <c r="M836" s="196"/>
      <c r="N836" s="196"/>
      <c r="O836" s="196"/>
      <c r="P836" s="196"/>
      <c r="Q836" s="196"/>
      <c r="R836" s="196"/>
      <c r="S836" s="196"/>
      <c r="T836" s="137"/>
      <c r="U836" s="137"/>
      <c r="V836" s="137"/>
      <c r="W836" s="137"/>
      <c r="X836" s="137"/>
      <c r="Y836" s="137"/>
      <c r="Z836" s="137"/>
    </row>
    <row r="837" ht="20.25" customHeight="1" spans="1:26" x14ac:dyDescent="0.25">
      <c r="A837" s="196" t="s">
        <v>916</v>
      </c>
      <c r="B837" s="196"/>
      <c r="C837" s="196"/>
      <c r="D837" s="196"/>
      <c r="E837" s="196"/>
      <c r="F837" s="196"/>
      <c r="G837" s="196"/>
      <c r="H837" s="196"/>
      <c r="I837" s="196"/>
      <c r="J837" s="196"/>
      <c r="K837" s="196"/>
      <c r="L837" s="196"/>
      <c r="M837" s="196"/>
      <c r="N837" s="196"/>
      <c r="O837" s="196"/>
      <c r="P837" s="196"/>
      <c r="Q837" s="196"/>
      <c r="R837" s="196"/>
      <c r="S837" s="196"/>
      <c r="T837" s="137"/>
      <c r="U837" s="137"/>
      <c r="V837" s="137"/>
      <c r="W837" s="137"/>
      <c r="X837" s="137"/>
      <c r="Y837" s="137"/>
      <c r="Z837" s="137"/>
    </row>
    <row r="838" ht="20.25" customHeight="1" spans="1:26" x14ac:dyDescent="0.25">
      <c r="A838" s="196" t="s">
        <v>917</v>
      </c>
      <c r="B838" s="196"/>
      <c r="C838" s="196"/>
      <c r="D838" s="196"/>
      <c r="E838" s="196"/>
      <c r="F838" s="196"/>
      <c r="G838" s="196"/>
      <c r="H838" s="196"/>
      <c r="I838" s="196"/>
      <c r="J838" s="196"/>
      <c r="K838" s="196"/>
      <c r="L838" s="196"/>
      <c r="M838" s="196"/>
      <c r="N838" s="196"/>
      <c r="O838" s="196"/>
      <c r="P838" s="196"/>
      <c r="Q838" s="196"/>
      <c r="R838" s="196"/>
      <c r="S838" s="196"/>
      <c r="T838" s="137"/>
      <c r="U838" s="137"/>
      <c r="V838" s="137"/>
      <c r="W838" s="137"/>
      <c r="X838" s="137"/>
      <c r="Y838" s="137"/>
      <c r="Z838" s="137"/>
    </row>
    <row r="839" ht="20.25" customHeight="1" spans="1:26" x14ac:dyDescent="0.25">
      <c r="A839" s="196" t="s">
        <v>918</v>
      </c>
      <c r="B839" s="196"/>
      <c r="C839" s="196"/>
      <c r="D839" s="196"/>
      <c r="E839" s="196"/>
      <c r="F839" s="196"/>
      <c r="G839" s="196"/>
      <c r="H839" s="196"/>
      <c r="I839" s="196"/>
      <c r="J839" s="196"/>
      <c r="K839" s="196"/>
      <c r="L839" s="196"/>
      <c r="M839" s="196"/>
      <c r="N839" s="196"/>
      <c r="O839" s="196"/>
      <c r="P839" s="196"/>
      <c r="Q839" s="196"/>
      <c r="R839" s="196"/>
      <c r="S839" s="196"/>
      <c r="T839" s="137"/>
      <c r="U839" s="137"/>
      <c r="V839" s="137"/>
      <c r="W839" s="137"/>
      <c r="X839" s="137"/>
      <c r="Y839" s="137"/>
      <c r="Z839" s="137"/>
    </row>
    <row r="840" ht="20.25" customHeight="1" spans="1:26" x14ac:dyDescent="0.25">
      <c r="A840" s="196" t="s">
        <v>919</v>
      </c>
      <c r="B840" s="196"/>
      <c r="C840" s="196"/>
      <c r="D840" s="196"/>
      <c r="E840" s="196"/>
      <c r="F840" s="196"/>
      <c r="G840" s="196"/>
      <c r="H840" s="196"/>
      <c r="I840" s="196"/>
      <c r="J840" s="196"/>
      <c r="K840" s="196"/>
      <c r="L840" s="196"/>
      <c r="M840" s="196"/>
      <c r="N840" s="196"/>
      <c r="O840" s="196"/>
      <c r="P840" s="196"/>
      <c r="Q840" s="196"/>
      <c r="R840" s="196"/>
      <c r="S840" s="196"/>
      <c r="T840" s="137"/>
      <c r="U840" s="137"/>
      <c r="V840" s="137"/>
      <c r="W840" s="137"/>
      <c r="X840" s="137"/>
      <c r="Y840" s="137"/>
      <c r="Z840" s="137"/>
    </row>
    <row r="841" ht="20.25" customHeight="1" spans="1:26" x14ac:dyDescent="0.25">
      <c r="A841" s="196" t="s">
        <v>920</v>
      </c>
      <c r="B841" s="196"/>
      <c r="C841" s="196"/>
      <c r="D841" s="196"/>
      <c r="E841" s="196"/>
      <c r="F841" s="196"/>
      <c r="G841" s="196"/>
      <c r="H841" s="196"/>
      <c r="I841" s="196"/>
      <c r="J841" s="196"/>
      <c r="K841" s="196"/>
      <c r="L841" s="196"/>
      <c r="M841" s="196"/>
      <c r="N841" s="196"/>
      <c r="O841" s="196"/>
      <c r="P841" s="196"/>
      <c r="Q841" s="196"/>
      <c r="R841" s="196"/>
      <c r="S841" s="196"/>
      <c r="T841" s="137"/>
      <c r="U841" s="137"/>
      <c r="V841" s="137"/>
      <c r="W841" s="137"/>
      <c r="X841" s="137"/>
      <c r="Y841" s="137"/>
      <c r="Z841" s="137"/>
    </row>
    <row r="842" ht="20.25" customHeight="1" spans="1:26" x14ac:dyDescent="0.25">
      <c r="A842" s="196" t="s">
        <v>921</v>
      </c>
      <c r="B842" s="196"/>
      <c r="C842" s="196"/>
      <c r="D842" s="196"/>
      <c r="E842" s="196"/>
      <c r="F842" s="196"/>
      <c r="G842" s="196"/>
      <c r="H842" s="196"/>
      <c r="I842" s="196"/>
      <c r="J842" s="196"/>
      <c r="K842" s="196"/>
      <c r="L842" s="196"/>
      <c r="M842" s="196"/>
      <c r="N842" s="196"/>
      <c r="O842" s="196"/>
      <c r="P842" s="196"/>
      <c r="Q842" s="196"/>
      <c r="R842" s="196"/>
      <c r="S842" s="196"/>
      <c r="T842" s="137"/>
      <c r="U842" s="137"/>
      <c r="V842" s="137"/>
      <c r="W842" s="137"/>
      <c r="X842" s="137"/>
      <c r="Y842" s="137"/>
      <c r="Z842" s="137"/>
    </row>
    <row r="843" ht="20.25" customHeight="1" spans="1:26" x14ac:dyDescent="0.25">
      <c r="A843" s="196" t="s">
        <v>922</v>
      </c>
      <c r="B843" s="196"/>
      <c r="C843" s="196"/>
      <c r="D843" s="196"/>
      <c r="E843" s="196"/>
      <c r="F843" s="196"/>
      <c r="G843" s="196"/>
      <c r="H843" s="196"/>
      <c r="I843" s="196"/>
      <c r="J843" s="196"/>
      <c r="K843" s="196"/>
      <c r="L843" s="196"/>
      <c r="M843" s="196"/>
      <c r="N843" s="196"/>
      <c r="O843" s="196"/>
      <c r="P843" s="196"/>
      <c r="Q843" s="196"/>
      <c r="R843" s="196"/>
      <c r="S843" s="196"/>
      <c r="T843" s="137"/>
      <c r="U843" s="137"/>
      <c r="V843" s="137"/>
      <c r="W843" s="137"/>
      <c r="X843" s="137"/>
      <c r="Y843" s="137"/>
      <c r="Z843" s="137"/>
    </row>
    <row r="844" ht="20.25" customHeight="1" spans="1:26" x14ac:dyDescent="0.25">
      <c r="A844" s="196" t="s">
        <v>923</v>
      </c>
      <c r="B844" s="196"/>
      <c r="C844" s="196"/>
      <c r="D844" s="196"/>
      <c r="E844" s="196"/>
      <c r="F844" s="196"/>
      <c r="G844" s="196"/>
      <c r="H844" s="196"/>
      <c r="I844" s="196"/>
      <c r="J844" s="196"/>
      <c r="K844" s="196"/>
      <c r="L844" s="196"/>
      <c r="M844" s="196"/>
      <c r="N844" s="196"/>
      <c r="O844" s="196"/>
      <c r="P844" s="196"/>
      <c r="Q844" s="196"/>
      <c r="R844" s="196"/>
      <c r="S844" s="196"/>
      <c r="T844" s="137"/>
      <c r="U844" s="137"/>
      <c r="V844" s="137"/>
      <c r="W844" s="137"/>
      <c r="X844" s="137"/>
      <c r="Y844" s="137"/>
      <c r="Z844" s="137"/>
    </row>
    <row r="845" ht="20.25" customHeight="1" spans="1:26" x14ac:dyDescent="0.25">
      <c r="A845" s="196" t="s">
        <v>924</v>
      </c>
      <c r="B845" s="196"/>
      <c r="C845" s="196"/>
      <c r="D845" s="196"/>
      <c r="E845" s="196"/>
      <c r="F845" s="196"/>
      <c r="G845" s="196"/>
      <c r="H845" s="196"/>
      <c r="I845" s="196"/>
      <c r="J845" s="196"/>
      <c r="K845" s="196"/>
      <c r="L845" s="196"/>
      <c r="M845" s="196"/>
      <c r="N845" s="196"/>
      <c r="O845" s="196"/>
      <c r="P845" s="196"/>
      <c r="Q845" s="196"/>
      <c r="R845" s="196"/>
      <c r="S845" s="196"/>
      <c r="T845" s="137"/>
      <c r="U845" s="137"/>
      <c r="V845" s="137"/>
      <c r="W845" s="137"/>
      <c r="X845" s="137"/>
      <c r="Y845" s="137"/>
      <c r="Z845" s="137"/>
    </row>
    <row r="846" ht="20.25" customHeight="1" spans="1:26" x14ac:dyDescent="0.25">
      <c r="A846" s="196" t="s">
        <v>925</v>
      </c>
      <c r="B846" s="196"/>
      <c r="C846" s="196"/>
      <c r="D846" s="196"/>
      <c r="E846" s="196"/>
      <c r="F846" s="196"/>
      <c r="G846" s="196"/>
      <c r="H846" s="196"/>
      <c r="I846" s="196"/>
      <c r="J846" s="196"/>
      <c r="K846" s="196"/>
      <c r="L846" s="196"/>
      <c r="M846" s="196"/>
      <c r="N846" s="196"/>
      <c r="O846" s="196"/>
      <c r="P846" s="196"/>
      <c r="Q846" s="196"/>
      <c r="R846" s="196"/>
      <c r="S846" s="196"/>
      <c r="T846" s="137"/>
      <c r="U846" s="137"/>
      <c r="V846" s="137"/>
      <c r="W846" s="137"/>
      <c r="X846" s="137"/>
      <c r="Y846" s="137"/>
      <c r="Z846" s="137"/>
    </row>
    <row r="847" ht="20.25" customHeight="1" spans="1:26" x14ac:dyDescent="0.25">
      <c r="A847" s="196" t="s">
        <v>926</v>
      </c>
      <c r="B847" s="196"/>
      <c r="C847" s="196"/>
      <c r="D847" s="196"/>
      <c r="E847" s="196"/>
      <c r="F847" s="196"/>
      <c r="G847" s="196"/>
      <c r="H847" s="196"/>
      <c r="I847" s="196"/>
      <c r="J847" s="196"/>
      <c r="K847" s="196"/>
      <c r="L847" s="196"/>
      <c r="M847" s="196"/>
      <c r="N847" s="196"/>
      <c r="O847" s="196"/>
      <c r="P847" s="196"/>
      <c r="Q847" s="196"/>
      <c r="R847" s="196"/>
      <c r="S847" s="196"/>
      <c r="T847" s="137"/>
      <c r="U847" s="137"/>
      <c r="V847" s="137"/>
      <c r="W847" s="137"/>
      <c r="X847" s="137"/>
      <c r="Y847" s="137"/>
      <c r="Z847" s="137"/>
    </row>
    <row r="848" ht="20.25" customHeight="1" spans="1:26" x14ac:dyDescent="0.25">
      <c r="A848" s="196" t="s">
        <v>927</v>
      </c>
      <c r="B848" s="196"/>
      <c r="C848" s="196"/>
      <c r="D848" s="196"/>
      <c r="E848" s="196"/>
      <c r="F848" s="196"/>
      <c r="G848" s="196"/>
      <c r="H848" s="196"/>
      <c r="I848" s="196"/>
      <c r="J848" s="196"/>
      <c r="K848" s="196"/>
      <c r="L848" s="196"/>
      <c r="M848" s="196"/>
      <c r="N848" s="196"/>
      <c r="O848" s="196"/>
      <c r="P848" s="196"/>
      <c r="Q848" s="196"/>
      <c r="R848" s="196"/>
      <c r="S848" s="196"/>
      <c r="T848" s="137"/>
      <c r="U848" s="137"/>
      <c r="V848" s="137"/>
      <c r="W848" s="137"/>
      <c r="X848" s="137"/>
      <c r="Y848" s="137"/>
      <c r="Z848" s="137"/>
    </row>
    <row r="849" ht="20.25" customHeight="1" spans="1:26" x14ac:dyDescent="0.25">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ht="20.25" customHeight="1" spans="1:26" x14ac:dyDescent="0.25">
      <c r="A850" s="196"/>
      <c r="B850" s="196"/>
      <c r="C850" s="196"/>
      <c r="D850" s="196"/>
      <c r="E850" s="196"/>
      <c r="F850" s="196"/>
      <c r="G850" s="196"/>
      <c r="H850" s="196"/>
      <c r="I850" s="196"/>
      <c r="J850" s="196"/>
      <c r="K850" s="196"/>
      <c r="L850" s="196"/>
      <c r="M850" s="196"/>
      <c r="N850" s="196"/>
      <c r="O850" s="196"/>
      <c r="P850" s="196"/>
      <c r="Q850" s="196"/>
      <c r="R850" s="196"/>
      <c r="S850" s="196"/>
      <c r="T850" s="137"/>
      <c r="U850" s="137"/>
      <c r="V850" s="137"/>
      <c r="W850" s="137"/>
      <c r="X850" s="137"/>
      <c r="Y850" s="137"/>
      <c r="Z850" s="137"/>
    </row>
    <row r="851" ht="20.25" customHeight="1" spans="1:26" x14ac:dyDescent="0.25">
      <c r="A851" s="137" t="s">
        <v>928</v>
      </c>
      <c r="B851" s="137"/>
      <c r="C851" s="196"/>
      <c r="D851" s="196"/>
      <c r="E851" s="196"/>
      <c r="F851" s="196"/>
      <c r="G851" s="196"/>
      <c r="H851" s="196"/>
      <c r="I851" s="196"/>
      <c r="J851" s="196"/>
      <c r="K851" s="196"/>
      <c r="L851" s="196"/>
      <c r="M851" s="196"/>
      <c r="N851" s="196"/>
      <c r="O851" s="196"/>
      <c r="P851" s="196"/>
      <c r="Q851" s="196"/>
      <c r="R851" s="196"/>
      <c r="S851" s="196"/>
      <c r="T851" s="137"/>
      <c r="U851" s="137"/>
      <c r="V851" s="137"/>
      <c r="W851" s="137"/>
      <c r="X851" s="137"/>
      <c r="Y851" s="137"/>
      <c r="Z851" s="137"/>
    </row>
    <row r="852" ht="20.25" customHeight="1" spans="1:26" x14ac:dyDescent="0.25">
      <c r="A852" s="196" t="s">
        <v>929</v>
      </c>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37"/>
      <c r="Y852" s="137"/>
      <c r="Z852" s="137"/>
    </row>
    <row r="853" ht="20.25" customHeight="1" spans="1:26" x14ac:dyDescent="0.25">
      <c r="A853" s="196" t="s">
        <v>930</v>
      </c>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37"/>
      <c r="Y853" s="137"/>
      <c r="Z853" s="137"/>
    </row>
    <row r="854" ht="20.25" customHeight="1" spans="1:26" x14ac:dyDescent="0.25">
      <c r="A854" s="196" t="s">
        <v>931</v>
      </c>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37"/>
      <c r="Y854" s="137"/>
      <c r="Z854" s="137"/>
    </row>
    <row r="855" ht="20.25" customHeight="1" spans="1:26" x14ac:dyDescent="0.25">
      <c r="A855" s="196" t="s">
        <v>932</v>
      </c>
      <c r="B855" s="196"/>
      <c r="C855" s="196"/>
      <c r="D855" s="196"/>
      <c r="E855" s="196"/>
      <c r="F855" s="196"/>
      <c r="G855" s="196"/>
      <c r="H855" s="196"/>
      <c r="I855" s="196"/>
      <c r="J855" s="196"/>
      <c r="K855" s="196"/>
      <c r="L855" s="196"/>
      <c r="M855" s="196"/>
      <c r="N855" s="196"/>
      <c r="O855" s="196"/>
      <c r="P855" s="196"/>
      <c r="Q855" s="311"/>
      <c r="R855" s="196"/>
      <c r="S855" s="196"/>
      <c r="T855" s="196"/>
      <c r="U855" s="196"/>
      <c r="V855" s="196"/>
      <c r="W855" s="196"/>
      <c r="X855" s="137"/>
      <c r="Y855" s="137"/>
      <c r="Z855" s="137"/>
    </row>
    <row r="856" ht="20.25" customHeight="1" spans="1:26" x14ac:dyDescent="0.25">
      <c r="A856" s="196" t="s">
        <v>933</v>
      </c>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37"/>
      <c r="Y856" s="137"/>
      <c r="Z856" s="137"/>
    </row>
    <row r="857" ht="20.25" customHeight="1" spans="1:26" x14ac:dyDescent="0.25">
      <c r="A857" s="196" t="s">
        <v>934</v>
      </c>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37"/>
      <c r="Y857" s="137"/>
      <c r="Z857" s="137"/>
    </row>
    <row r="858" ht="20.25" customHeight="1" spans="1:26" x14ac:dyDescent="0.25">
      <c r="A858" s="196" t="s">
        <v>935</v>
      </c>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37"/>
      <c r="Y858" s="137"/>
      <c r="Z858" s="137"/>
    </row>
    <row r="859" ht="20.25" customHeight="1" spans="1:26" x14ac:dyDescent="0.25">
      <c r="A859" s="196" t="s">
        <v>936</v>
      </c>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37"/>
      <c r="Y859" s="137"/>
      <c r="Z859" s="137"/>
    </row>
    <row r="860" ht="20.25" customHeight="1" spans="1:26" x14ac:dyDescent="0.25">
      <c r="A860" s="196" t="s">
        <v>937</v>
      </c>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37"/>
      <c r="Y860" s="137"/>
      <c r="Z860" s="137"/>
    </row>
    <row r="861" ht="20.25" customHeight="1" spans="1:26" x14ac:dyDescent="0.25">
      <c r="A861" s="196" t="s">
        <v>938</v>
      </c>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37"/>
      <c r="Y861" s="137"/>
      <c r="Z861" s="137"/>
    </row>
    <row r="862" ht="20.25" customHeight="1" spans="1:26" x14ac:dyDescent="0.25">
      <c r="A862" s="196" t="s">
        <v>939</v>
      </c>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37"/>
      <c r="Y862" s="137"/>
      <c r="Z862" s="137"/>
    </row>
    <row r="863" ht="20.25" customHeight="1" spans="1:26" x14ac:dyDescent="0.25">
      <c r="A863" s="196" t="s">
        <v>940</v>
      </c>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37"/>
      <c r="Y863" s="137"/>
      <c r="Z863" s="137"/>
    </row>
    <row r="864" ht="20.25" customHeight="1" spans="1:26" x14ac:dyDescent="0.25">
      <c r="A864" s="196" t="s">
        <v>941</v>
      </c>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37"/>
      <c r="Y864" s="137"/>
      <c r="Z864" s="137"/>
    </row>
    <row r="865" ht="20.25" customHeight="1" spans="1:26" x14ac:dyDescent="0.25">
      <c r="A865" s="196" t="s">
        <v>942</v>
      </c>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37"/>
      <c r="Y865" s="137"/>
      <c r="Z865" s="137"/>
    </row>
    <row r="866" ht="12.75" customHeight="1" spans="1:26" x14ac:dyDescent="0.25">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ht="12.75" customHeight="1" spans="1:26" x14ac:dyDescent="0.25">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ht="12.75" customHeight="1" spans="1:26" x14ac:dyDescent="0.25">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ht="12.75" customHeight="1" spans="1:26" x14ac:dyDescent="0.25">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ht="12.75" customHeight="1" spans="1:26" x14ac:dyDescent="0.25">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ht="12.75" customHeight="1" spans="1:26" x14ac:dyDescent="0.25">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ht="12.75" customHeight="1" spans="1:26" x14ac:dyDescent="0.25">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ht="12.75" customHeight="1" spans="1:26" x14ac:dyDescent="0.25">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ht="12.75" customHeight="1" spans="1:26" x14ac:dyDescent="0.25">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ht="12.75" customHeight="1" spans="1:26" x14ac:dyDescent="0.2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ht="12.75" customHeight="1" spans="1:26" x14ac:dyDescent="0.25">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ht="12.75" customHeight="1" spans="1:26" x14ac:dyDescent="0.25">
      <c r="A877" s="137"/>
      <c r="B877" s="137"/>
      <c r="C877" s="137"/>
      <c r="D877" s="137"/>
      <c r="E877" s="137"/>
      <c r="F877" s="137"/>
      <c r="G877" s="137"/>
      <c r="H877" s="137"/>
      <c r="I877" s="137"/>
      <c r="J877" s="137"/>
      <c r="K877" s="137"/>
      <c r="L877" s="137"/>
      <c r="M877" s="137"/>
      <c r="N877" s="137"/>
      <c r="O877" s="137"/>
      <c r="P877" s="137"/>
      <c r="Q877" s="137"/>
      <c r="R877" s="137" t="s">
        <v>943</v>
      </c>
      <c r="S877" s="137"/>
      <c r="T877" s="137"/>
      <c r="U877" s="137"/>
      <c r="V877" s="137"/>
      <c r="W877" s="137"/>
      <c r="X877" s="137"/>
      <c r="Y877" s="137"/>
      <c r="Z877" s="137"/>
    </row>
    <row r="878" ht="12.75" customHeight="1" x14ac:dyDescent="0.25"/>
    <row r="879" ht="12.75" customHeight="1" x14ac:dyDescent="0.25"/>
    <row r="880" ht="12.75" customHeight="1" x14ac:dyDescent="0.25"/>
    <row r="881" ht="12.75" customHeight="1" x14ac:dyDescent="0.25"/>
    <row r="882" ht="13.5" customHeight="1" spans="1:26" x14ac:dyDescent="0.25">
      <c r="A882" s="171" t="s">
        <v>944</v>
      </c>
      <c r="B882" s="171"/>
      <c r="C882" s="171"/>
      <c r="D882" s="171"/>
      <c r="E882" s="171"/>
      <c r="F882" s="171"/>
      <c r="G882" s="171"/>
      <c r="H882" s="171"/>
      <c r="I882" s="171"/>
      <c r="J882" s="171"/>
      <c r="K882" s="171"/>
      <c r="L882" s="171"/>
      <c r="M882" s="171"/>
      <c r="N882" s="171"/>
      <c r="O882" s="171"/>
      <c r="P882" s="171"/>
      <c r="Q882" s="171"/>
      <c r="R882" s="171"/>
      <c r="S882" s="171"/>
      <c r="T882" s="171"/>
      <c r="X882" s="465"/>
      <c r="Y882" s="465"/>
      <c r="Z882" s="465"/>
    </row>
    <row r="883" ht="13.5" customHeight="1" spans="1:26" x14ac:dyDescent="0.25">
      <c r="A883" s="171"/>
      <c r="B883" s="171"/>
      <c r="C883" s="171"/>
      <c r="D883" s="171"/>
      <c r="E883" s="171"/>
      <c r="F883" s="171"/>
      <c r="G883" s="171"/>
      <c r="H883" s="171"/>
      <c r="I883" s="171"/>
      <c r="J883" s="171"/>
      <c r="K883" s="171"/>
      <c r="L883" s="171"/>
      <c r="M883" s="171"/>
      <c r="N883" s="171"/>
      <c r="O883" s="171"/>
      <c r="P883" s="171"/>
      <c r="Q883" s="171"/>
      <c r="R883" s="171"/>
      <c r="S883" s="171"/>
      <c r="T883" s="171"/>
      <c r="X883" s="465"/>
      <c r="Y883" s="465"/>
      <c r="Z883" s="465"/>
    </row>
    <row r="884" ht="13.5" customHeight="1" spans="24:26" x14ac:dyDescent="0.25">
      <c r="X884" s="465"/>
      <c r="Y884" s="465"/>
      <c r="Z884" s="465"/>
    </row>
    <row r="885" ht="12.75" customHeight="1" spans="17:17" x14ac:dyDescent="0.25">
      <c r="Q885" s="199"/>
    </row>
    <row r="886" ht="12.75" customHeight="1" spans="1:31" x14ac:dyDescent="0.25">
      <c r="A886" s="357" t="s">
        <v>945</v>
      </c>
      <c r="B886" s="422"/>
      <c r="C886" s="466"/>
      <c r="D886" s="357" t="s">
        <v>946</v>
      </c>
      <c r="E886" s="422"/>
      <c r="F886" s="422"/>
      <c r="G886" s="466"/>
      <c r="H886" s="357" t="s">
        <v>947</v>
      </c>
      <c r="I886" s="422"/>
      <c r="J886" s="422"/>
      <c r="K886" s="422"/>
      <c r="L886" s="422"/>
      <c r="M886" s="422"/>
      <c r="N886" s="422"/>
      <c r="O886" s="422"/>
      <c r="P886" s="357" t="s">
        <v>948</v>
      </c>
      <c r="R886" s="422"/>
      <c r="S886" s="422"/>
      <c r="T886" s="422"/>
      <c r="U886" s="422"/>
      <c r="V886" s="422"/>
      <c r="W886" s="422"/>
      <c r="X886" s="466"/>
      <c r="Y886" s="166"/>
      <c r="Z886" s="166"/>
      <c r="AA886" s="166"/>
      <c r="AB886" s="166"/>
      <c r="AC886" s="166"/>
      <c r="AD886" s="166"/>
      <c r="AE886" s="166"/>
    </row>
    <row r="887" ht="12.75" customHeight="1" spans="1:31" x14ac:dyDescent="0.25">
      <c r="A887" s="432"/>
      <c r="B887" s="433"/>
      <c r="C887" s="467"/>
      <c r="D887" s="432"/>
      <c r="E887" s="433"/>
      <c r="F887" s="433"/>
      <c r="G887" s="467"/>
      <c r="H887" s="432"/>
      <c r="I887" s="433"/>
      <c r="J887" s="433"/>
      <c r="K887" s="433"/>
      <c r="L887" s="433"/>
      <c r="M887" s="433"/>
      <c r="N887" s="433"/>
      <c r="O887" s="433"/>
      <c r="P887" s="432"/>
      <c r="Q887" s="199"/>
      <c r="R887" s="433"/>
      <c r="S887" s="433"/>
      <c r="T887" s="433"/>
      <c r="U887" s="468"/>
      <c r="V887" s="468"/>
      <c r="W887" s="468"/>
      <c r="X887" s="469"/>
      <c r="Y887" s="166"/>
      <c r="Z887" s="166"/>
      <c r="AA887" s="166"/>
      <c r="AB887" s="166"/>
      <c r="AC887" s="166"/>
      <c r="AD887" s="166"/>
      <c r="AE887" s="166"/>
    </row>
    <row r="888" ht="12.75" customHeight="1" spans="1:31" x14ac:dyDescent="0.25">
      <c r="A888" s="357" t="s">
        <v>949</v>
      </c>
      <c r="B888" s="422"/>
      <c r="C888" s="466"/>
      <c r="D888" s="357" t="s">
        <v>950</v>
      </c>
      <c r="E888" s="422"/>
      <c r="F888" s="422"/>
      <c r="G888" s="466"/>
      <c r="H888" s="357" t="s">
        <v>951</v>
      </c>
      <c r="I888" s="422"/>
      <c r="J888" s="422"/>
      <c r="K888" s="422"/>
      <c r="L888" s="422"/>
      <c r="M888" s="422"/>
      <c r="N888" s="422"/>
      <c r="O888" s="422"/>
      <c r="P888" s="357" t="s">
        <v>952</v>
      </c>
      <c r="R888" s="422"/>
      <c r="S888" s="422"/>
      <c r="T888" s="422"/>
      <c r="U888" s="427"/>
      <c r="V888" s="427"/>
      <c r="W888" s="427"/>
      <c r="X888" s="470"/>
      <c r="Y888" s="166"/>
      <c r="Z888" s="166"/>
      <c r="AA888" s="166"/>
      <c r="AB888" s="166"/>
      <c r="AC888" s="166"/>
      <c r="AD888" s="166"/>
      <c r="AE888" s="166"/>
    </row>
    <row r="889" ht="12.75" customHeight="1" spans="1:31" x14ac:dyDescent="0.25">
      <c r="A889" s="432"/>
      <c r="B889" s="433"/>
      <c r="C889" s="467"/>
      <c r="D889" s="432"/>
      <c r="E889" s="433"/>
      <c r="F889" s="433"/>
      <c r="G889" s="467"/>
      <c r="H889" s="432"/>
      <c r="I889" s="433"/>
      <c r="J889" s="433"/>
      <c r="K889" s="433"/>
      <c r="L889" s="433"/>
      <c r="M889" s="433"/>
      <c r="N889" s="433"/>
      <c r="O889" s="433"/>
      <c r="P889" s="432"/>
      <c r="Q889" s="199"/>
      <c r="R889" s="433"/>
      <c r="S889" s="433"/>
      <c r="T889" s="433"/>
      <c r="U889" s="468"/>
      <c r="V889" s="468"/>
      <c r="W889" s="468"/>
      <c r="X889" s="469"/>
      <c r="Y889" s="166"/>
      <c r="Z889" s="166"/>
      <c r="AA889" s="166"/>
      <c r="AB889" s="166"/>
      <c r="AC889" s="166"/>
      <c r="AD889" s="166"/>
      <c r="AE889" s="166"/>
    </row>
    <row r="890" ht="12.75" customHeight="1" spans="1:31" x14ac:dyDescent="0.25">
      <c r="A890" s="357" t="s">
        <v>953</v>
      </c>
      <c r="B890" s="422"/>
      <c r="C890" s="466"/>
      <c r="D890" s="357" t="s">
        <v>954</v>
      </c>
      <c r="E890" s="422"/>
      <c r="F890" s="422"/>
      <c r="G890" s="466"/>
      <c r="H890" s="357" t="s">
        <v>955</v>
      </c>
      <c r="I890" s="422"/>
      <c r="J890" s="422"/>
      <c r="K890" s="422"/>
      <c r="L890" s="422"/>
      <c r="M890" s="422"/>
      <c r="N890" s="422"/>
      <c r="O890" s="422"/>
      <c r="P890" s="357" t="s">
        <v>952</v>
      </c>
      <c r="R890" s="422"/>
      <c r="S890" s="422"/>
      <c r="T890" s="422"/>
      <c r="U890" s="427"/>
      <c r="V890" s="427"/>
      <c r="W890" s="427"/>
      <c r="X890" s="470"/>
      <c r="Y890" s="166"/>
      <c r="Z890" s="166"/>
      <c r="AA890" s="166"/>
      <c r="AB890" s="166"/>
      <c r="AC890" s="166"/>
      <c r="AD890" s="166"/>
      <c r="AE890" s="166"/>
    </row>
    <row r="891" ht="12.75" customHeight="1" spans="1:31" x14ac:dyDescent="0.25">
      <c r="A891" s="426"/>
      <c r="B891" s="427"/>
      <c r="C891" s="470"/>
      <c r="D891" s="426"/>
      <c r="E891" s="427"/>
      <c r="F891" s="427"/>
      <c r="G891" s="470"/>
      <c r="H891" s="426" t="s">
        <v>956</v>
      </c>
      <c r="I891" s="427"/>
      <c r="J891" s="427"/>
      <c r="K891" s="427"/>
      <c r="L891" s="427"/>
      <c r="M891" s="427"/>
      <c r="N891" s="427"/>
      <c r="O891" s="427"/>
      <c r="P891" s="426" t="s">
        <v>957</v>
      </c>
      <c r="R891" s="427"/>
      <c r="S891" s="427"/>
      <c r="T891" s="427"/>
      <c r="U891" s="427"/>
      <c r="V891" s="427"/>
      <c r="W891" s="427"/>
      <c r="X891" s="470"/>
      <c r="Y891" s="166"/>
      <c r="Z891" s="166"/>
      <c r="AA891" s="166"/>
      <c r="AB891" s="166"/>
      <c r="AC891" s="166"/>
      <c r="AD891" s="166"/>
      <c r="AE891" s="166"/>
    </row>
    <row r="892" ht="12.75" customHeight="1" spans="1:31" x14ac:dyDescent="0.25">
      <c r="A892" s="426"/>
      <c r="B892" s="427"/>
      <c r="C892" s="470"/>
      <c r="D892" s="426"/>
      <c r="E892" s="427"/>
      <c r="F892" s="427"/>
      <c r="G892" s="470"/>
      <c r="H892" s="426" t="s">
        <v>958</v>
      </c>
      <c r="I892" s="427"/>
      <c r="J892" s="427"/>
      <c r="K892" s="427"/>
      <c r="L892" s="427"/>
      <c r="M892" s="427"/>
      <c r="N892" s="427"/>
      <c r="O892" s="427"/>
      <c r="P892" s="426" t="s">
        <v>959</v>
      </c>
      <c r="R892" s="427"/>
      <c r="S892" s="427"/>
      <c r="T892" s="427"/>
      <c r="U892" s="427"/>
      <c r="V892" s="427"/>
      <c r="W892" s="427"/>
      <c r="X892" s="470"/>
      <c r="Y892" s="166"/>
      <c r="Z892" s="166"/>
      <c r="AA892" s="166"/>
      <c r="AB892" s="166"/>
      <c r="AC892" s="166"/>
      <c r="AD892" s="166"/>
      <c r="AE892" s="166"/>
    </row>
    <row r="893" ht="12.75" customHeight="1" spans="1:31" x14ac:dyDescent="0.25">
      <c r="A893" s="426"/>
      <c r="B893" s="427"/>
      <c r="C893" s="470"/>
      <c r="D893" s="426"/>
      <c r="E893" s="427"/>
      <c r="F893" s="427"/>
      <c r="G893" s="470"/>
      <c r="H893" s="426"/>
      <c r="I893" s="427"/>
      <c r="J893" s="427"/>
      <c r="K893" s="427"/>
      <c r="L893" s="427"/>
      <c r="M893" s="427"/>
      <c r="N893" s="427"/>
      <c r="O893" s="427"/>
      <c r="P893" s="426" t="s">
        <v>960</v>
      </c>
      <c r="R893" s="427"/>
      <c r="S893" s="427"/>
      <c r="T893" s="427"/>
      <c r="U893" s="427"/>
      <c r="V893" s="427"/>
      <c r="W893" s="427"/>
      <c r="X893" s="470"/>
      <c r="Y893" s="166"/>
      <c r="Z893" s="166"/>
      <c r="AA893" s="166"/>
      <c r="AB893" s="166"/>
      <c r="AC893" s="166"/>
      <c r="AD893" s="166"/>
      <c r="AE893" s="166"/>
    </row>
    <row r="894" ht="12.75" customHeight="1" spans="1:31" x14ac:dyDescent="0.25">
      <c r="A894" s="432"/>
      <c r="B894" s="433"/>
      <c r="C894" s="467"/>
      <c r="D894" s="432"/>
      <c r="E894" s="433"/>
      <c r="F894" s="433"/>
      <c r="G894" s="467"/>
      <c r="H894" s="432"/>
      <c r="I894" s="433"/>
      <c r="J894" s="433"/>
      <c r="K894" s="433"/>
      <c r="L894" s="433"/>
      <c r="M894" s="433"/>
      <c r="N894" s="433"/>
      <c r="O894" s="433"/>
      <c r="P894" s="432" t="s">
        <v>961</v>
      </c>
      <c r="Q894" s="199"/>
      <c r="R894" s="433"/>
      <c r="S894" s="433"/>
      <c r="T894" s="433"/>
      <c r="U894" s="471"/>
      <c r="V894" s="471"/>
      <c r="W894" s="471"/>
      <c r="X894" s="469"/>
      <c r="Y894" s="166"/>
      <c r="Z894" s="166"/>
      <c r="AA894" s="166"/>
      <c r="AB894" s="166"/>
      <c r="AC894" s="166"/>
      <c r="AD894" s="166"/>
      <c r="AE894" s="166"/>
    </row>
    <row r="895" ht="12.75" customHeight="1" spans="1:31" x14ac:dyDescent="0.25">
      <c r="A895" s="357" t="s">
        <v>962</v>
      </c>
      <c r="B895" s="422"/>
      <c r="C895" s="466"/>
      <c r="D895" s="357" t="s">
        <v>963</v>
      </c>
      <c r="E895" s="422"/>
      <c r="F895" s="422"/>
      <c r="G895" s="466"/>
      <c r="H895" s="357" t="s">
        <v>964</v>
      </c>
      <c r="I895" s="422"/>
      <c r="J895" s="422"/>
      <c r="K895" s="422"/>
      <c r="L895" s="422"/>
      <c r="M895" s="422"/>
      <c r="N895" s="422"/>
      <c r="O895" s="422"/>
      <c r="P895" s="357"/>
      <c r="R895" s="422"/>
      <c r="S895" s="422"/>
      <c r="T895" s="422"/>
      <c r="U895" s="427"/>
      <c r="V895" s="427"/>
      <c r="W895" s="427"/>
      <c r="X895" s="470"/>
      <c r="Y895" s="166"/>
      <c r="Z895" s="166"/>
      <c r="AA895" s="166"/>
      <c r="AB895" s="166"/>
      <c r="AC895" s="166"/>
      <c r="AD895" s="166"/>
      <c r="AE895" s="166"/>
    </row>
    <row r="896" ht="12.75" customHeight="1" spans="1:31" x14ac:dyDescent="0.25">
      <c r="A896" s="432"/>
      <c r="B896" s="433"/>
      <c r="C896" s="467"/>
      <c r="D896" s="432"/>
      <c r="E896" s="433"/>
      <c r="F896" s="433"/>
      <c r="G896" s="467"/>
      <c r="H896" s="432"/>
      <c r="I896" s="433"/>
      <c r="J896" s="433"/>
      <c r="K896" s="433"/>
      <c r="L896" s="433"/>
      <c r="M896" s="433"/>
      <c r="N896" s="433"/>
      <c r="O896" s="433"/>
      <c r="P896" s="432"/>
      <c r="Q896" s="199"/>
      <c r="R896" s="433"/>
      <c r="S896" s="433"/>
      <c r="T896" s="433"/>
      <c r="U896" s="468"/>
      <c r="V896" s="468"/>
      <c r="W896" s="468"/>
      <c r="X896" s="469"/>
      <c r="Y896" s="166"/>
      <c r="Z896" s="166"/>
      <c r="AA896" s="166"/>
      <c r="AB896" s="166"/>
      <c r="AC896" s="166"/>
      <c r="AD896" s="166"/>
      <c r="AE896" s="166"/>
    </row>
    <row r="897" ht="12.75" customHeight="1" spans="1:31" x14ac:dyDescent="0.25">
      <c r="A897" s="357" t="s">
        <v>965</v>
      </c>
      <c r="B897" s="422"/>
      <c r="C897" s="466"/>
      <c r="D897" s="357" t="s">
        <v>966</v>
      </c>
      <c r="E897" s="422"/>
      <c r="F897" s="422"/>
      <c r="G897" s="466"/>
      <c r="H897" s="357" t="s">
        <v>967</v>
      </c>
      <c r="I897" s="422"/>
      <c r="J897" s="422"/>
      <c r="K897" s="422"/>
      <c r="L897" s="422"/>
      <c r="M897" s="422"/>
      <c r="N897" s="422"/>
      <c r="O897" s="422"/>
      <c r="P897" s="357" t="s">
        <v>952</v>
      </c>
      <c r="R897" s="422"/>
      <c r="S897" s="422"/>
      <c r="T897" s="422"/>
      <c r="U897" s="427"/>
      <c r="V897" s="427"/>
      <c r="W897" s="427"/>
      <c r="X897" s="470"/>
      <c r="Y897" s="166"/>
      <c r="Z897" s="166"/>
      <c r="AA897" s="166"/>
      <c r="AB897" s="166"/>
      <c r="AC897" s="166"/>
      <c r="AD897" s="166"/>
      <c r="AE897" s="166"/>
    </row>
    <row r="898" ht="12.75" customHeight="1" spans="1:31" x14ac:dyDescent="0.25">
      <c r="A898" s="426"/>
      <c r="B898" s="427"/>
      <c r="C898" s="470"/>
      <c r="D898" s="426"/>
      <c r="E898" s="427"/>
      <c r="F898" s="427"/>
      <c r="G898" s="470"/>
      <c r="H898" s="426" t="s">
        <v>968</v>
      </c>
      <c r="I898" s="427"/>
      <c r="J898" s="427"/>
      <c r="K898" s="427"/>
      <c r="L898" s="427"/>
      <c r="M898" s="427"/>
      <c r="N898" s="427"/>
      <c r="O898" s="427"/>
      <c r="P898" s="426" t="s">
        <v>957</v>
      </c>
      <c r="R898" s="427"/>
      <c r="S898" s="427"/>
      <c r="T898" s="427"/>
      <c r="U898" s="427"/>
      <c r="V898" s="427"/>
      <c r="W898" s="427"/>
      <c r="X898" s="470"/>
      <c r="Y898" s="166"/>
      <c r="Z898" s="166"/>
      <c r="AA898" s="166"/>
      <c r="AB898" s="166"/>
      <c r="AC898" s="166"/>
      <c r="AD898" s="166"/>
      <c r="AE898" s="166"/>
    </row>
    <row r="899" ht="12.75" customHeight="1" spans="1:31" x14ac:dyDescent="0.25">
      <c r="A899" s="426"/>
      <c r="B899" s="427"/>
      <c r="C899" s="470"/>
      <c r="D899" s="426"/>
      <c r="E899" s="427"/>
      <c r="F899" s="427"/>
      <c r="G899" s="470"/>
      <c r="H899" s="426" t="s">
        <v>969</v>
      </c>
      <c r="I899" s="427"/>
      <c r="J899" s="427"/>
      <c r="K899" s="427"/>
      <c r="L899" s="427"/>
      <c r="M899" s="427"/>
      <c r="N899" s="427"/>
      <c r="O899" s="427"/>
      <c r="P899" s="426" t="s">
        <v>959</v>
      </c>
      <c r="R899" s="427"/>
      <c r="S899" s="427"/>
      <c r="T899" s="427"/>
      <c r="U899" s="427"/>
      <c r="V899" s="427"/>
      <c r="W899" s="427"/>
      <c r="X899" s="470"/>
      <c r="Y899" s="166"/>
      <c r="Z899" s="166"/>
      <c r="AA899" s="166"/>
      <c r="AB899" s="166"/>
      <c r="AC899" s="166"/>
      <c r="AD899" s="166"/>
      <c r="AE899" s="166"/>
    </row>
    <row r="900" ht="12.75" customHeight="1" spans="1:31" x14ac:dyDescent="0.25">
      <c r="A900" s="432"/>
      <c r="B900" s="433"/>
      <c r="C900" s="467"/>
      <c r="D900" s="432"/>
      <c r="E900" s="433"/>
      <c r="F900" s="433"/>
      <c r="G900" s="467"/>
      <c r="H900" s="432" t="s">
        <v>970</v>
      </c>
      <c r="I900" s="433"/>
      <c r="J900" s="433"/>
      <c r="K900" s="433"/>
      <c r="L900" s="433"/>
      <c r="M900" s="433"/>
      <c r="N900" s="433"/>
      <c r="O900" s="433"/>
      <c r="P900" s="432" t="s">
        <v>960</v>
      </c>
      <c r="Q900" s="199"/>
      <c r="R900" s="433"/>
      <c r="S900" s="433"/>
      <c r="T900" s="433"/>
      <c r="U900" s="468"/>
      <c r="V900" s="468"/>
      <c r="W900" s="468"/>
      <c r="X900" s="469"/>
      <c r="Y900" s="166"/>
      <c r="Z900" s="166"/>
      <c r="AA900" s="166"/>
      <c r="AB900" s="166"/>
      <c r="AC900" s="166"/>
      <c r="AD900" s="166"/>
      <c r="AE900" s="166"/>
    </row>
    <row r="901" ht="12.75" customHeight="1" spans="1:31" x14ac:dyDescent="0.25">
      <c r="A901" s="357" t="s">
        <v>971</v>
      </c>
      <c r="B901" s="422"/>
      <c r="C901" s="466"/>
      <c r="D901" s="357" t="s">
        <v>972</v>
      </c>
      <c r="E901" s="422"/>
      <c r="F901" s="422"/>
      <c r="G901" s="466"/>
      <c r="H901" s="357" t="s">
        <v>973</v>
      </c>
      <c r="I901" s="422"/>
      <c r="J901" s="422"/>
      <c r="K901" s="422"/>
      <c r="L901" s="422"/>
      <c r="M901" s="422"/>
      <c r="N901" s="422"/>
      <c r="O901" s="422"/>
      <c r="P901" s="357"/>
      <c r="R901" s="422"/>
      <c r="S901" s="422"/>
      <c r="T901" s="422"/>
      <c r="U901" s="427"/>
      <c r="V901" s="427"/>
      <c r="W901" s="427"/>
      <c r="X901" s="470"/>
      <c r="Y901" s="166"/>
      <c r="Z901" s="166"/>
      <c r="AA901" s="166"/>
      <c r="AB901" s="166"/>
      <c r="AC901" s="166"/>
      <c r="AD901" s="166"/>
      <c r="AE901" s="166"/>
    </row>
    <row r="902" ht="12.75" customHeight="1" spans="1:31" x14ac:dyDescent="0.25">
      <c r="A902" s="426"/>
      <c r="B902" s="427"/>
      <c r="C902" s="470"/>
      <c r="D902" s="426"/>
      <c r="E902" s="427"/>
      <c r="F902" s="427"/>
      <c r="G902" s="470"/>
      <c r="H902" s="426" t="s">
        <v>974</v>
      </c>
      <c r="I902" s="427"/>
      <c r="J902" s="427"/>
      <c r="K902" s="427"/>
      <c r="L902" s="427"/>
      <c r="M902" s="427"/>
      <c r="N902" s="427"/>
      <c r="O902" s="427"/>
      <c r="P902" s="426"/>
      <c r="R902" s="427"/>
      <c r="S902" s="427"/>
      <c r="T902" s="427"/>
      <c r="U902" s="427"/>
      <c r="V902" s="427"/>
      <c r="W902" s="427"/>
      <c r="X902" s="470"/>
      <c r="Y902" s="166"/>
      <c r="Z902" s="166"/>
      <c r="AA902" s="166"/>
      <c r="AB902" s="166"/>
      <c r="AC902" s="166"/>
      <c r="AD902" s="166"/>
      <c r="AE902" s="166"/>
    </row>
    <row r="903" ht="12.75" customHeight="1" spans="1:31" x14ac:dyDescent="0.25">
      <c r="A903" s="426"/>
      <c r="B903" s="427"/>
      <c r="C903" s="470"/>
      <c r="D903" s="426"/>
      <c r="E903" s="427"/>
      <c r="F903" s="427"/>
      <c r="G903" s="470"/>
      <c r="H903" s="426" t="s">
        <v>975</v>
      </c>
      <c r="I903" s="427"/>
      <c r="J903" s="427"/>
      <c r="K903" s="427"/>
      <c r="L903" s="427"/>
      <c r="M903" s="427"/>
      <c r="N903" s="427"/>
      <c r="O903" s="427"/>
      <c r="P903" s="426"/>
      <c r="R903" s="427"/>
      <c r="S903" s="427"/>
      <c r="T903" s="427"/>
      <c r="U903" s="427"/>
      <c r="V903" s="427"/>
      <c r="W903" s="427"/>
      <c r="X903" s="470"/>
      <c r="Y903" s="166"/>
      <c r="Z903" s="166"/>
      <c r="AA903" s="166"/>
      <c r="AB903" s="166"/>
      <c r="AC903" s="166"/>
      <c r="AD903" s="166"/>
      <c r="AE903" s="166"/>
    </row>
    <row r="904" ht="12.75" customHeight="1" spans="1:31" x14ac:dyDescent="0.25">
      <c r="A904" s="426"/>
      <c r="B904" s="427"/>
      <c r="C904" s="470"/>
      <c r="D904" s="432"/>
      <c r="E904" s="433"/>
      <c r="F904" s="433"/>
      <c r="G904" s="467"/>
      <c r="H904" s="432"/>
      <c r="I904" s="433"/>
      <c r="J904" s="433"/>
      <c r="K904" s="433"/>
      <c r="L904" s="433"/>
      <c r="M904" s="433"/>
      <c r="N904" s="433"/>
      <c r="O904" s="433"/>
      <c r="P904" s="432"/>
      <c r="Q904" s="199"/>
      <c r="R904" s="433"/>
      <c r="S904" s="433"/>
      <c r="T904" s="433"/>
      <c r="U904" s="468"/>
      <c r="V904" s="468"/>
      <c r="W904" s="468"/>
      <c r="X904" s="469"/>
      <c r="Y904" s="166"/>
      <c r="Z904" s="166"/>
      <c r="AA904" s="166"/>
      <c r="AB904" s="166"/>
      <c r="AC904" s="166"/>
      <c r="AD904" s="166"/>
      <c r="AE904" s="166"/>
    </row>
    <row r="905" ht="12.75" customHeight="1" spans="1:31" x14ac:dyDescent="0.25">
      <c r="A905" s="426"/>
      <c r="B905" s="427"/>
      <c r="C905" s="470"/>
      <c r="D905" s="357" t="s">
        <v>976</v>
      </c>
      <c r="E905" s="422"/>
      <c r="F905" s="422"/>
      <c r="G905" s="466"/>
      <c r="H905" s="357" t="s">
        <v>977</v>
      </c>
      <c r="I905" s="422"/>
      <c r="J905" s="422"/>
      <c r="K905" s="422"/>
      <c r="L905" s="422"/>
      <c r="M905" s="422"/>
      <c r="N905" s="422"/>
      <c r="O905" s="422"/>
      <c r="P905" s="357" t="s">
        <v>952</v>
      </c>
      <c r="R905" s="422"/>
      <c r="S905" s="422"/>
      <c r="T905" s="422"/>
      <c r="U905" s="427"/>
      <c r="V905" s="427"/>
      <c r="W905" s="427"/>
      <c r="X905" s="470"/>
      <c r="Y905" s="166"/>
      <c r="Z905" s="166"/>
      <c r="AA905" s="166"/>
      <c r="AB905" s="166"/>
      <c r="AC905" s="166"/>
      <c r="AD905" s="166"/>
      <c r="AE905" s="166"/>
    </row>
    <row r="906" ht="12.75" customHeight="1" spans="1:31" x14ac:dyDescent="0.25">
      <c r="A906" s="426"/>
      <c r="B906" s="427"/>
      <c r="C906" s="470"/>
      <c r="D906" s="426" t="s">
        <v>978</v>
      </c>
      <c r="E906" s="427"/>
      <c r="F906" s="427"/>
      <c r="G906" s="470"/>
      <c r="H906" s="426" t="s">
        <v>979</v>
      </c>
      <c r="I906" s="472"/>
      <c r="J906" s="472"/>
      <c r="K906" s="472"/>
      <c r="L906" s="472"/>
      <c r="M906" s="472"/>
      <c r="N906" s="472"/>
      <c r="O906" s="472"/>
      <c r="P906" s="426" t="s">
        <v>957</v>
      </c>
      <c r="R906" s="427"/>
      <c r="S906" s="427"/>
      <c r="T906" s="427"/>
      <c r="U906" s="427"/>
      <c r="V906" s="427"/>
      <c r="W906" s="427"/>
      <c r="X906" s="470"/>
      <c r="Y906" s="166"/>
      <c r="Z906" s="166"/>
      <c r="AA906" s="166"/>
      <c r="AB906" s="166"/>
      <c r="AC906" s="166"/>
      <c r="AD906" s="166"/>
      <c r="AE906" s="166"/>
    </row>
    <row r="907" ht="12.75" customHeight="1" spans="1:31" x14ac:dyDescent="0.25">
      <c r="A907" s="426"/>
      <c r="B907" s="427"/>
      <c r="C907" s="470"/>
      <c r="D907" s="426"/>
      <c r="E907" s="427"/>
      <c r="F907" s="427"/>
      <c r="G907" s="470"/>
      <c r="H907" s="473"/>
      <c r="I907" s="472"/>
      <c r="J907" s="472"/>
      <c r="K907" s="472"/>
      <c r="L907" s="472"/>
      <c r="M907" s="472"/>
      <c r="N907" s="472"/>
      <c r="O907" s="472"/>
      <c r="P907" s="426" t="s">
        <v>959</v>
      </c>
      <c r="R907" s="427"/>
      <c r="S907" s="427"/>
      <c r="T907" s="427"/>
      <c r="U907" s="427"/>
      <c r="V907" s="427"/>
      <c r="W907" s="427"/>
      <c r="X907" s="470"/>
      <c r="Y907" s="166"/>
      <c r="Z907" s="166"/>
      <c r="AA907" s="166"/>
      <c r="AB907" s="166"/>
      <c r="AC907" s="166"/>
      <c r="AD907" s="166"/>
      <c r="AE907" s="166"/>
    </row>
    <row r="908" ht="12.75" customHeight="1" spans="1:31" x14ac:dyDescent="0.25">
      <c r="A908" s="426"/>
      <c r="B908" s="427"/>
      <c r="C908" s="470"/>
      <c r="D908" s="432"/>
      <c r="E908" s="433"/>
      <c r="F908" s="433"/>
      <c r="G908" s="467"/>
      <c r="H908" s="432"/>
      <c r="I908" s="433"/>
      <c r="J908" s="433"/>
      <c r="K908" s="433"/>
      <c r="L908" s="433"/>
      <c r="M908" s="433"/>
      <c r="N908" s="433"/>
      <c r="O908" s="433"/>
      <c r="P908" s="432" t="s">
        <v>960</v>
      </c>
      <c r="Q908" s="199"/>
      <c r="R908" s="433"/>
      <c r="S908" s="433"/>
      <c r="T908" s="433"/>
      <c r="U908" s="468"/>
      <c r="V908" s="468"/>
      <c r="W908" s="468"/>
      <c r="X908" s="469"/>
      <c r="Y908" s="166"/>
      <c r="Z908" s="166"/>
      <c r="AA908" s="166"/>
      <c r="AB908" s="166"/>
      <c r="AC908" s="166"/>
      <c r="AD908" s="166"/>
      <c r="AE908" s="166"/>
    </row>
    <row r="909" ht="12.75" customHeight="1" spans="1:31" x14ac:dyDescent="0.25">
      <c r="A909" s="426"/>
      <c r="B909" s="427"/>
      <c r="C909" s="470"/>
      <c r="D909" s="357" t="s">
        <v>980</v>
      </c>
      <c r="E909" s="422"/>
      <c r="F909" s="422"/>
      <c r="G909" s="466"/>
      <c r="H909" s="357" t="s">
        <v>981</v>
      </c>
      <c r="I909" s="422"/>
      <c r="J909" s="422"/>
      <c r="K909" s="422"/>
      <c r="L909" s="422"/>
      <c r="M909" s="422"/>
      <c r="N909" s="422"/>
      <c r="O909" s="422"/>
      <c r="P909" s="357" t="s">
        <v>982</v>
      </c>
      <c r="R909" s="422"/>
      <c r="S909" s="422"/>
      <c r="T909" s="422"/>
      <c r="U909" s="427"/>
      <c r="V909" s="427"/>
      <c r="W909" s="427"/>
      <c r="X909" s="470"/>
      <c r="Y909" s="166"/>
      <c r="Z909" s="166"/>
      <c r="AA909" s="166"/>
      <c r="AB909" s="166"/>
      <c r="AC909" s="166"/>
      <c r="AD909" s="166"/>
      <c r="AE909" s="166"/>
    </row>
    <row r="910" ht="12.75" customHeight="1" spans="1:31" x14ac:dyDescent="0.25">
      <c r="A910" s="426"/>
      <c r="B910" s="427"/>
      <c r="C910" s="470"/>
      <c r="D910" s="426"/>
      <c r="E910" s="427"/>
      <c r="F910" s="427"/>
      <c r="G910" s="470"/>
      <c r="H910" s="426"/>
      <c r="I910" s="427"/>
      <c r="J910" s="427"/>
      <c r="K910" s="427"/>
      <c r="L910" s="427"/>
      <c r="M910" s="427"/>
      <c r="N910" s="427"/>
      <c r="O910" s="427"/>
      <c r="P910" s="426" t="s">
        <v>983</v>
      </c>
      <c r="R910" s="427"/>
      <c r="S910" s="427"/>
      <c r="T910" s="427"/>
      <c r="U910" s="427"/>
      <c r="V910" s="427"/>
      <c r="W910" s="427"/>
      <c r="X910" s="470"/>
      <c r="Y910" s="166"/>
      <c r="Z910" s="166"/>
      <c r="AA910" s="166"/>
      <c r="AB910" s="166"/>
      <c r="AC910" s="166"/>
      <c r="AD910" s="166"/>
      <c r="AE910" s="166"/>
    </row>
    <row r="911" ht="12.75" customHeight="1" spans="1:31" x14ac:dyDescent="0.25">
      <c r="A911" s="426"/>
      <c r="B911" s="427"/>
      <c r="C911" s="470"/>
      <c r="D911" s="426"/>
      <c r="E911" s="427"/>
      <c r="F911" s="427"/>
      <c r="G911" s="470"/>
      <c r="H911" s="426"/>
      <c r="I911" s="427"/>
      <c r="J911" s="427"/>
      <c r="K911" s="427"/>
      <c r="L911" s="427"/>
      <c r="M911" s="427"/>
      <c r="N911" s="427"/>
      <c r="O911" s="427"/>
      <c r="P911" s="426" t="s">
        <v>957</v>
      </c>
      <c r="R911" s="427"/>
      <c r="S911" s="427"/>
      <c r="T911" s="427"/>
      <c r="U911" s="427"/>
      <c r="V911" s="427"/>
      <c r="W911" s="427"/>
      <c r="X911" s="470"/>
      <c r="Y911" s="166"/>
      <c r="Z911" s="166"/>
      <c r="AA911" s="166"/>
      <c r="AB911" s="166"/>
      <c r="AC911" s="166"/>
      <c r="AD911" s="166"/>
      <c r="AE911" s="166"/>
    </row>
    <row r="912" ht="12.75" customHeight="1" spans="1:31" x14ac:dyDescent="0.25">
      <c r="A912" s="426"/>
      <c r="B912" s="427"/>
      <c r="C912" s="470"/>
      <c r="D912" s="426"/>
      <c r="E912" s="427"/>
      <c r="F912" s="427"/>
      <c r="G912" s="470"/>
      <c r="H912" s="426"/>
      <c r="I912" s="427"/>
      <c r="J912" s="427"/>
      <c r="K912" s="427"/>
      <c r="L912" s="427"/>
      <c r="M912" s="427"/>
      <c r="N912" s="427"/>
      <c r="O912" s="427"/>
      <c r="P912" s="426" t="s">
        <v>959</v>
      </c>
      <c r="R912" s="427"/>
      <c r="S912" s="427"/>
      <c r="T912" s="427"/>
      <c r="U912" s="427"/>
      <c r="V912" s="427"/>
      <c r="W912" s="427"/>
      <c r="X912" s="470"/>
      <c r="Y912" s="166"/>
      <c r="Z912" s="166"/>
      <c r="AA912" s="166"/>
      <c r="AB912" s="166"/>
      <c r="AC912" s="166"/>
      <c r="AD912" s="166"/>
      <c r="AE912" s="166"/>
    </row>
    <row r="913" ht="12.75" customHeight="1" spans="1:31" x14ac:dyDescent="0.25">
      <c r="A913" s="432"/>
      <c r="B913" s="433"/>
      <c r="C913" s="467"/>
      <c r="D913" s="432"/>
      <c r="E913" s="433"/>
      <c r="F913" s="433"/>
      <c r="G913" s="467"/>
      <c r="H913" s="432"/>
      <c r="I913" s="433"/>
      <c r="J913" s="433"/>
      <c r="K913" s="433"/>
      <c r="L913" s="433"/>
      <c r="M913" s="433"/>
      <c r="N913" s="433"/>
      <c r="O913" s="433"/>
      <c r="P913" s="432" t="s">
        <v>960</v>
      </c>
      <c r="Q913" s="199"/>
      <c r="R913" s="433"/>
      <c r="S913" s="433"/>
      <c r="T913" s="433"/>
      <c r="U913" s="468"/>
      <c r="V913" s="468"/>
      <c r="W913" s="468"/>
      <c r="X913" s="469"/>
      <c r="Y913" s="166"/>
      <c r="Z913" s="166"/>
      <c r="AA913" s="166"/>
      <c r="AB913" s="166"/>
      <c r="AC913" s="166"/>
      <c r="AD913" s="166"/>
      <c r="AE913" s="166"/>
    </row>
    <row r="914" ht="12.75" customHeight="1" spans="1:31" x14ac:dyDescent="0.25">
      <c r="A914" s="357" t="s">
        <v>984</v>
      </c>
      <c r="B914" s="422"/>
      <c r="C914" s="466"/>
      <c r="D914" s="357" t="s">
        <v>748</v>
      </c>
      <c r="E914" s="422"/>
      <c r="F914" s="422"/>
      <c r="G914" s="466"/>
      <c r="H914" s="357" t="s">
        <v>985</v>
      </c>
      <c r="I914" s="422"/>
      <c r="J914" s="422"/>
      <c r="K914" s="422"/>
      <c r="L914" s="422"/>
      <c r="M914" s="422"/>
      <c r="N914" s="422"/>
      <c r="O914" s="422"/>
      <c r="P914" s="357" t="s">
        <v>986</v>
      </c>
      <c r="R914" s="422"/>
      <c r="S914" s="422"/>
      <c r="T914" s="422"/>
      <c r="U914" s="427"/>
      <c r="V914" s="427"/>
      <c r="W914" s="427"/>
      <c r="X914" s="470"/>
      <c r="Y914" s="166"/>
      <c r="Z914" s="166"/>
      <c r="AA914" s="166"/>
      <c r="AB914" s="166"/>
      <c r="AC914" s="166"/>
      <c r="AD914" s="166"/>
      <c r="AE914" s="166"/>
    </row>
    <row r="915" ht="12.75" customHeight="1" spans="1:31" x14ac:dyDescent="0.25">
      <c r="A915" s="426" t="s">
        <v>987</v>
      </c>
      <c r="B915" s="427"/>
      <c r="C915" s="470"/>
      <c r="D915" s="426"/>
      <c r="E915" s="427"/>
      <c r="F915" s="427"/>
      <c r="G915" s="470"/>
      <c r="H915" s="426" t="s">
        <v>988</v>
      </c>
      <c r="I915" s="427"/>
      <c r="J915" s="427"/>
      <c r="K915" s="427"/>
      <c r="L915" s="427"/>
      <c r="M915" s="427"/>
      <c r="N915" s="427"/>
      <c r="O915" s="427"/>
      <c r="P915" s="426" t="s">
        <v>989</v>
      </c>
      <c r="R915" s="427"/>
      <c r="S915" s="427"/>
      <c r="T915" s="427"/>
      <c r="U915" s="427"/>
      <c r="V915" s="427"/>
      <c r="W915" s="427"/>
      <c r="X915" s="470"/>
      <c r="Y915" s="166"/>
      <c r="Z915" s="166"/>
      <c r="AA915" s="166"/>
      <c r="AB915" s="166"/>
      <c r="AC915" s="166"/>
      <c r="AD915" s="166"/>
      <c r="AE915" s="166"/>
    </row>
    <row r="916" ht="12.75" customHeight="1" spans="1:31" x14ac:dyDescent="0.25">
      <c r="A916" s="426"/>
      <c r="B916" s="427"/>
      <c r="C916" s="470"/>
      <c r="D916" s="426"/>
      <c r="E916" s="427"/>
      <c r="F916" s="427"/>
      <c r="G916" s="470"/>
      <c r="H916" s="426" t="s">
        <v>990</v>
      </c>
      <c r="I916" s="427"/>
      <c r="J916" s="427"/>
      <c r="K916" s="427"/>
      <c r="L916" s="427"/>
      <c r="M916" s="427"/>
      <c r="N916" s="427"/>
      <c r="O916" s="427"/>
      <c r="P916" s="426" t="s">
        <v>991</v>
      </c>
      <c r="R916" s="427"/>
      <c r="S916" s="427"/>
      <c r="T916" s="427"/>
      <c r="U916" s="427"/>
      <c r="V916" s="427"/>
      <c r="W916" s="427"/>
      <c r="X916" s="470"/>
      <c r="Y916" s="166"/>
      <c r="Z916" s="166"/>
      <c r="AA916" s="166"/>
      <c r="AB916" s="166"/>
      <c r="AC916" s="166"/>
      <c r="AD916" s="166"/>
      <c r="AE916" s="166"/>
    </row>
    <row r="917" ht="12.75" customHeight="1" spans="1:31" x14ac:dyDescent="0.25">
      <c r="A917" s="426"/>
      <c r="B917" s="427"/>
      <c r="C917" s="470"/>
      <c r="D917" s="432"/>
      <c r="E917" s="433"/>
      <c r="F917" s="433"/>
      <c r="G917" s="467"/>
      <c r="H917" s="432"/>
      <c r="I917" s="433"/>
      <c r="J917" s="433"/>
      <c r="K917" s="433"/>
      <c r="L917" s="433"/>
      <c r="M917" s="433"/>
      <c r="N917" s="433"/>
      <c r="O917" s="433"/>
      <c r="P917" s="432" t="s">
        <v>992</v>
      </c>
      <c r="Q917" s="199"/>
      <c r="R917" s="433"/>
      <c r="S917" s="433"/>
      <c r="T917" s="433"/>
      <c r="U917" s="471"/>
      <c r="V917" s="471"/>
      <c r="W917" s="471"/>
      <c r="X917" s="469"/>
      <c r="Y917" s="166"/>
      <c r="Z917" s="166"/>
      <c r="AA917" s="166"/>
      <c r="AB917" s="166"/>
      <c r="AC917" s="166"/>
      <c r="AD917" s="166"/>
      <c r="AE917" s="166"/>
    </row>
    <row r="918" ht="12.75" customHeight="1" spans="1:31" x14ac:dyDescent="0.25">
      <c r="A918" s="426"/>
      <c r="B918" s="427"/>
      <c r="C918" s="470"/>
      <c r="D918" s="357" t="s">
        <v>993</v>
      </c>
      <c r="E918" s="422"/>
      <c r="F918" s="422"/>
      <c r="G918" s="466"/>
      <c r="H918" s="357" t="s">
        <v>994</v>
      </c>
      <c r="I918" s="422"/>
      <c r="J918" s="422"/>
      <c r="K918" s="422"/>
      <c r="L918" s="422"/>
      <c r="M918" s="422"/>
      <c r="N918" s="422"/>
      <c r="O918" s="422"/>
      <c r="P918" s="357" t="s">
        <v>995</v>
      </c>
      <c r="R918" s="422"/>
      <c r="S918" s="422"/>
      <c r="T918" s="422"/>
      <c r="U918" s="427"/>
      <c r="V918" s="427"/>
      <c r="W918" s="427"/>
      <c r="X918" s="470"/>
      <c r="Y918" s="166"/>
      <c r="Z918" s="166"/>
      <c r="AA918" s="166"/>
      <c r="AB918" s="166"/>
      <c r="AC918" s="166"/>
      <c r="AD918" s="166"/>
      <c r="AE918" s="166"/>
    </row>
    <row r="919" ht="12.75" customHeight="1" spans="1:31" x14ac:dyDescent="0.25">
      <c r="A919" s="426"/>
      <c r="B919" s="427"/>
      <c r="C919" s="470"/>
      <c r="D919" s="426" t="s">
        <v>996</v>
      </c>
      <c r="E919" s="427"/>
      <c r="F919" s="427"/>
      <c r="G919" s="470"/>
      <c r="H919" s="426" t="s">
        <v>997</v>
      </c>
      <c r="I919" s="427"/>
      <c r="J919" s="427"/>
      <c r="K919" s="427"/>
      <c r="L919" s="427"/>
      <c r="M919" s="427"/>
      <c r="N919" s="427"/>
      <c r="O919" s="427"/>
      <c r="P919" s="426" t="s">
        <v>998</v>
      </c>
      <c r="R919" s="427"/>
      <c r="S919" s="427"/>
      <c r="T919" s="427"/>
      <c r="U919" s="427"/>
      <c r="V919" s="427"/>
      <c r="W919" s="427"/>
      <c r="X919" s="470"/>
      <c r="Y919" s="166"/>
      <c r="Z919" s="166"/>
      <c r="AA919" s="166"/>
      <c r="AB919" s="166"/>
      <c r="AC919" s="166"/>
      <c r="AD919" s="166"/>
      <c r="AE919" s="166"/>
    </row>
    <row r="920" ht="12.75" customHeight="1" spans="1:31" x14ac:dyDescent="0.25">
      <c r="A920" s="426"/>
      <c r="B920" s="427"/>
      <c r="C920" s="470"/>
      <c r="D920" s="432"/>
      <c r="E920" s="433"/>
      <c r="F920" s="433"/>
      <c r="G920" s="467"/>
      <c r="H920" s="432"/>
      <c r="I920" s="433"/>
      <c r="J920" s="433"/>
      <c r="K920" s="433"/>
      <c r="L920" s="433"/>
      <c r="M920" s="433"/>
      <c r="N920" s="433"/>
      <c r="O920" s="433"/>
      <c r="P920" s="432"/>
      <c r="Q920" s="199"/>
      <c r="R920" s="433"/>
      <c r="S920" s="433"/>
      <c r="T920" s="468"/>
      <c r="U920" s="471"/>
      <c r="V920" s="471"/>
      <c r="W920" s="471"/>
      <c r="X920" s="469"/>
      <c r="Y920" s="166"/>
      <c r="Z920" s="166"/>
      <c r="AA920" s="166"/>
      <c r="AB920" s="166"/>
      <c r="AC920" s="166"/>
      <c r="AD920" s="166"/>
      <c r="AE920" s="166"/>
    </row>
    <row r="921" ht="12.75" customHeight="1" spans="1:31" x14ac:dyDescent="0.25">
      <c r="A921" s="426"/>
      <c r="B921" s="427"/>
      <c r="C921" s="470"/>
      <c r="D921" s="357" t="s">
        <v>999</v>
      </c>
      <c r="E921" s="422"/>
      <c r="F921" s="422"/>
      <c r="G921" s="466"/>
      <c r="H921" s="357" t="s">
        <v>994</v>
      </c>
      <c r="I921" s="422"/>
      <c r="J921" s="422"/>
      <c r="K921" s="422"/>
      <c r="L921" s="422"/>
      <c r="M921" s="422"/>
      <c r="N921" s="422"/>
      <c r="O921" s="422"/>
      <c r="P921" s="357" t="s">
        <v>995</v>
      </c>
      <c r="R921" s="422"/>
      <c r="S921" s="422"/>
      <c r="T921" s="427"/>
      <c r="U921" s="427"/>
      <c r="V921" s="427"/>
      <c r="W921" s="427"/>
      <c r="X921" s="470"/>
      <c r="Y921" s="166"/>
      <c r="Z921" s="166"/>
      <c r="AA921" s="166"/>
      <c r="AB921" s="166"/>
      <c r="AC921" s="166"/>
      <c r="AD921" s="166"/>
      <c r="AE921" s="166"/>
    </row>
    <row r="922" ht="12.75" customHeight="1" spans="1:31" x14ac:dyDescent="0.25">
      <c r="A922" s="426"/>
      <c r="B922" s="427"/>
      <c r="C922" s="470"/>
      <c r="D922" s="426" t="s">
        <v>1000</v>
      </c>
      <c r="E922" s="427"/>
      <c r="F922" s="427"/>
      <c r="G922" s="470"/>
      <c r="H922" s="426" t="s">
        <v>997</v>
      </c>
      <c r="I922" s="427"/>
      <c r="J922" s="427"/>
      <c r="K922" s="427"/>
      <c r="L922" s="427"/>
      <c r="M922" s="427"/>
      <c r="N922" s="427"/>
      <c r="O922" s="427"/>
      <c r="P922" s="426" t="s">
        <v>998</v>
      </c>
      <c r="R922" s="427"/>
      <c r="S922" s="427"/>
      <c r="T922" s="427"/>
      <c r="U922" s="427"/>
      <c r="V922" s="427"/>
      <c r="W922" s="427"/>
      <c r="X922" s="470"/>
      <c r="Y922" s="166"/>
      <c r="Z922" s="166"/>
      <c r="AA922" s="166"/>
      <c r="AB922" s="166"/>
      <c r="AC922" s="166"/>
      <c r="AD922" s="166"/>
      <c r="AE922" s="166"/>
    </row>
    <row r="923" ht="12.75" customHeight="1" spans="1:31" x14ac:dyDescent="0.25">
      <c r="A923" s="432"/>
      <c r="B923" s="433"/>
      <c r="C923" s="467"/>
      <c r="D923" s="432"/>
      <c r="E923" s="433"/>
      <c r="F923" s="433"/>
      <c r="G923" s="467"/>
      <c r="H923" s="432"/>
      <c r="I923" s="433"/>
      <c r="J923" s="433"/>
      <c r="K923" s="433"/>
      <c r="L923" s="433"/>
      <c r="M923" s="433"/>
      <c r="N923" s="433"/>
      <c r="O923" s="433"/>
      <c r="P923" s="432" t="s">
        <v>1001</v>
      </c>
      <c r="Q923" s="199"/>
      <c r="R923" s="433"/>
      <c r="S923" s="433"/>
      <c r="T923" s="433"/>
      <c r="U923" s="471"/>
      <c r="V923" s="471"/>
      <c r="W923" s="471"/>
      <c r="X923" s="469"/>
      <c r="Y923" s="166"/>
      <c r="Z923" s="166"/>
      <c r="AA923" s="166"/>
      <c r="AB923" s="166"/>
      <c r="AC923" s="166"/>
      <c r="AD923" s="166"/>
      <c r="AE923" s="166"/>
    </row>
    <row r="924" ht="12.75" customHeight="1" spans="1:31" x14ac:dyDescent="0.25">
      <c r="A924" s="357" t="s">
        <v>1002</v>
      </c>
      <c r="B924" s="422"/>
      <c r="C924" s="466"/>
      <c r="D924" s="357" t="s">
        <v>1003</v>
      </c>
      <c r="E924" s="422"/>
      <c r="F924" s="422"/>
      <c r="G924" s="466"/>
      <c r="H924" s="357" t="s">
        <v>1004</v>
      </c>
      <c r="I924" s="474"/>
      <c r="J924" s="474"/>
      <c r="K924" s="474"/>
      <c r="L924" s="474"/>
      <c r="M924" s="474"/>
      <c r="N924" s="474"/>
      <c r="O924" s="474"/>
      <c r="P924" s="357" t="s">
        <v>1005</v>
      </c>
      <c r="R924" s="422"/>
      <c r="S924" s="422"/>
      <c r="T924" s="422"/>
      <c r="U924" s="427"/>
      <c r="V924" s="427"/>
      <c r="W924" s="427"/>
      <c r="X924" s="470"/>
      <c r="Y924" s="166"/>
      <c r="Z924" s="166"/>
      <c r="AA924" s="166"/>
      <c r="AB924" s="166"/>
      <c r="AC924" s="166"/>
      <c r="AD924" s="166"/>
      <c r="AE924" s="166"/>
    </row>
    <row r="925" ht="12.75" customHeight="1" spans="1:31" x14ac:dyDescent="0.25">
      <c r="A925" s="426"/>
      <c r="B925" s="427"/>
      <c r="C925" s="470"/>
      <c r="D925" s="426"/>
      <c r="E925" s="427"/>
      <c r="F925" s="427"/>
      <c r="G925" s="470"/>
      <c r="H925" s="426" t="s">
        <v>1006</v>
      </c>
      <c r="I925" s="472"/>
      <c r="J925" s="472"/>
      <c r="K925" s="472"/>
      <c r="L925" s="472"/>
      <c r="M925" s="472"/>
      <c r="N925" s="472"/>
      <c r="O925" s="472"/>
      <c r="P925" s="426" t="s">
        <v>1007</v>
      </c>
      <c r="R925" s="427"/>
      <c r="S925" s="427"/>
      <c r="T925" s="427"/>
      <c r="U925" s="427"/>
      <c r="V925" s="427"/>
      <c r="W925" s="427"/>
      <c r="X925" s="470"/>
      <c r="Y925" s="166"/>
      <c r="Z925" s="166"/>
      <c r="AA925" s="166"/>
      <c r="AB925" s="166"/>
      <c r="AC925" s="166"/>
      <c r="AD925" s="166"/>
      <c r="AE925" s="166"/>
    </row>
    <row r="926" ht="12.75" customHeight="1" spans="1:31" x14ac:dyDescent="0.25">
      <c r="A926" s="432"/>
      <c r="B926" s="433"/>
      <c r="C926" s="467"/>
      <c r="D926" s="432"/>
      <c r="E926" s="433"/>
      <c r="F926" s="433"/>
      <c r="G926" s="467"/>
      <c r="H926" s="432"/>
      <c r="I926" s="433"/>
      <c r="J926" s="433"/>
      <c r="K926" s="433"/>
      <c r="L926" s="433"/>
      <c r="M926" s="433"/>
      <c r="N926" s="433"/>
      <c r="O926" s="433"/>
      <c r="P926" s="432"/>
      <c r="Q926" s="199"/>
      <c r="R926" s="433"/>
      <c r="S926" s="433"/>
      <c r="T926" s="433"/>
      <c r="U926" s="468"/>
      <c r="V926" s="468"/>
      <c r="W926" s="468"/>
      <c r="X926" s="469"/>
      <c r="Y926" s="166"/>
      <c r="Z926" s="166"/>
      <c r="AA926" s="166"/>
      <c r="AB926" s="166"/>
      <c r="AC926" s="166"/>
      <c r="AD926" s="166"/>
      <c r="AE926" s="166"/>
    </row>
    <row r="927" ht="12.75" customHeight="1" spans="1:31" x14ac:dyDescent="0.25">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c r="AB927" s="166"/>
      <c r="AC927" s="166"/>
      <c r="AD927" s="166"/>
      <c r="AE927" s="166"/>
    </row>
    <row r="928" ht="12.75" customHeight="1" spans="8:23" x14ac:dyDescent="0.25">
      <c r="H928" s="475"/>
      <c r="I928" s="475"/>
      <c r="J928" s="475"/>
      <c r="K928" s="475"/>
      <c r="L928" s="475"/>
      <c r="M928" s="475"/>
      <c r="N928" s="475"/>
      <c r="O928" s="475"/>
      <c r="P928" s="475"/>
      <c r="Q928" s="475"/>
      <c r="R928" s="475"/>
      <c r="S928" s="475"/>
      <c r="T928" s="475"/>
      <c r="U928" s="475"/>
      <c r="V928" s="475"/>
      <c r="W928" s="475"/>
    </row>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20.25" customHeight="1" spans="1:20" x14ac:dyDescent="0.25">
      <c r="A948" s="476" t="s">
        <v>1008</v>
      </c>
      <c r="B948" s="137"/>
      <c r="C948" s="137"/>
      <c r="D948" s="137"/>
      <c r="E948" s="137"/>
      <c r="F948" s="137"/>
      <c r="G948" s="137"/>
      <c r="H948" s="137"/>
      <c r="I948" s="137"/>
      <c r="J948" s="137"/>
      <c r="K948" s="137"/>
      <c r="L948" s="137"/>
      <c r="M948" s="137"/>
      <c r="N948" s="137"/>
      <c r="O948" s="137"/>
      <c r="P948" s="137"/>
      <c r="Q948" s="137"/>
      <c r="R948" s="137"/>
      <c r="S948" s="137"/>
      <c r="T948" s="137"/>
    </row>
    <row r="949" ht="20.25" customHeight="1" spans="1:20" x14ac:dyDescent="0.25">
      <c r="A949" s="137"/>
      <c r="B949" s="137"/>
      <c r="C949" s="137"/>
      <c r="D949" s="137"/>
      <c r="E949" s="137"/>
      <c r="F949" s="137"/>
      <c r="G949" s="137"/>
      <c r="H949" s="137"/>
      <c r="I949" s="137"/>
      <c r="J949" s="137"/>
      <c r="K949" s="137"/>
      <c r="L949" s="137"/>
      <c r="M949" s="137"/>
      <c r="N949" s="137"/>
      <c r="O949" s="137"/>
      <c r="P949" s="137"/>
      <c r="Q949" s="137"/>
      <c r="R949" s="137"/>
      <c r="S949" s="137"/>
      <c r="T949" s="137"/>
    </row>
    <row r="950" ht="20.25" customHeight="1" x14ac:dyDescent="0.25"/>
    <row r="951" ht="20.25" customHeight="1" spans="4:21" x14ac:dyDescent="0.25">
      <c r="D951" s="477" t="s">
        <v>1009</v>
      </c>
      <c r="E951" s="477"/>
      <c r="F951" s="477"/>
      <c r="G951" s="477"/>
      <c r="H951" s="177" t="str">
        <f>初期入力!B3</f>
        <v>大阪市旭区新森　池田様邸新築工事						</v>
      </c>
      <c r="I951" s="177"/>
      <c r="J951" s="177"/>
      <c r="K951" s="177"/>
      <c r="L951" s="177"/>
      <c r="M951" s="177"/>
      <c r="N951" s="177"/>
      <c r="O951" s="177"/>
      <c r="P951" s="177"/>
      <c r="Q951" s="177"/>
      <c r="R951" s="177"/>
      <c r="S951" s="177"/>
      <c r="T951" s="177"/>
      <c r="U951" s="177"/>
    </row>
    <row r="952" ht="20.25" customHeight="1" spans="6:19" x14ac:dyDescent="0.25">
      <c r="F952" s="478"/>
      <c r="H952" s="479"/>
      <c r="I952" s="166"/>
      <c r="J952" s="166"/>
      <c r="K952" s="166"/>
      <c r="L952" s="166"/>
      <c r="M952" s="166"/>
      <c r="N952" s="166"/>
      <c r="O952" s="166"/>
      <c r="P952" s="166"/>
      <c r="R952" s="166"/>
      <c r="S952" s="166"/>
    </row>
    <row r="953" ht="20.25" customHeight="1" spans="4:21" x14ac:dyDescent="0.25">
      <c r="D953" s="477" t="s">
        <v>1010</v>
      </c>
      <c r="E953" s="477"/>
      <c r="F953" s="477"/>
      <c r="G953" s="477"/>
      <c r="H953" s="177" t="str">
        <f>初期入力!B15</f>
        <v>大阪府大阪市旭区新森</v>
      </c>
      <c r="I953" s="177"/>
      <c r="J953" s="177"/>
      <c r="K953" s="177"/>
      <c r="L953" s="177"/>
      <c r="M953" s="177"/>
      <c r="N953" s="177"/>
      <c r="O953" s="177"/>
      <c r="P953" s="177"/>
      <c r="Q953" s="177"/>
      <c r="R953" s="177"/>
      <c r="S953" s="177"/>
      <c r="T953" s="177"/>
      <c r="U953" s="177"/>
    </row>
    <row r="954" ht="20.25" customHeight="1" x14ac:dyDescent="0.25"/>
    <row r="955" ht="20.25" customHeight="1" spans="1:7" x14ac:dyDescent="0.25">
      <c r="A955" s="480">
        <f>K79</f>
        <v>2025</v>
      </c>
      <c r="B955" s="480"/>
      <c r="C955" s="137" t="s">
        <v>33</v>
      </c>
      <c r="D955" s="481">
        <f>N79</f>
        <v>7</v>
      </c>
      <c r="E955" s="137" t="s">
        <v>34</v>
      </c>
      <c r="F955" s="481">
        <f>Q79</f>
        <v>25</v>
      </c>
      <c r="G955" s="137" t="s">
        <v>1011</v>
      </c>
    </row>
    <row r="956" ht="20.25" customHeight="1" spans="1:1" x14ac:dyDescent="0.25">
      <c r="A956" s="482" t="s">
        <v>1012</v>
      </c>
    </row>
    <row r="957" ht="20.25" customHeight="1" spans="1:1" x14ac:dyDescent="0.25">
      <c r="A957" s="482" t="s">
        <v>1013</v>
      </c>
    </row>
    <row r="958" ht="20.25" customHeight="1" spans="5:19" x14ac:dyDescent="0.25">
      <c r="E958" s="196"/>
      <c r="F958" s="196"/>
      <c r="G958" s="196"/>
      <c r="H958" s="196"/>
      <c r="P958" s="196"/>
      <c r="Q958" s="196"/>
      <c r="R958" s="196"/>
      <c r="S958" s="196"/>
    </row>
    <row r="959" ht="20.25" customHeight="1" spans="3:19" x14ac:dyDescent="0.25">
      <c r="C959" s="482"/>
      <c r="D959" s="196"/>
      <c r="E959" s="196"/>
      <c r="F959" s="196"/>
      <c r="I959" s="482" t="s">
        <v>1014</v>
      </c>
      <c r="L959" s="482" t="s">
        <v>1015</v>
      </c>
      <c r="S959" s="196"/>
    </row>
    <row r="960" ht="20.25" customHeight="1" spans="3:9" x14ac:dyDescent="0.25">
      <c r="C960" s="482"/>
      <c r="I960" s="482"/>
    </row>
    <row r="961" ht="20.25" customHeight="1" spans="6:6" x14ac:dyDescent="0.25">
      <c r="F961" s="482" t="s">
        <v>1016</v>
      </c>
    </row>
    <row r="962" ht="20.25" customHeight="1" spans="6:9" x14ac:dyDescent="0.25">
      <c r="F962" s="482" t="s">
        <v>1017</v>
      </c>
      <c r="I962" s="482"/>
    </row>
    <row r="963" ht="20.25" customHeight="1" x14ac:dyDescent="0.25"/>
    <row r="964" ht="20.25" customHeight="1" x14ac:dyDescent="0.25"/>
    <row r="965" ht="20.25" customHeight="1" spans="10:18" x14ac:dyDescent="0.25">
      <c r="J965" s="178">
        <f>A955</f>
        <v>2025</v>
      </c>
      <c r="K965" s="178"/>
      <c r="L965" s="137" t="s">
        <v>33</v>
      </c>
      <c r="M965" s="481">
        <f>D955</f>
        <v>7</v>
      </c>
      <c r="N965" s="481"/>
      <c r="O965" s="137" t="s">
        <v>34</v>
      </c>
      <c r="P965" s="178">
        <f>F955</f>
        <v>25</v>
      </c>
      <c r="Q965" s="178"/>
      <c r="R965" s="137" t="s">
        <v>35</v>
      </c>
    </row>
    <row r="966" ht="25.15" customHeight="1" x14ac:dyDescent="0.25"/>
    <row r="967" ht="25.15" customHeight="1" spans="4:23" x14ac:dyDescent="0.25">
      <c r="D967" s="482" t="s">
        <v>1018</v>
      </c>
      <c r="G967" s="179"/>
      <c r="H967" s="176">
        <f>初期入力!B4</f>
        <v>0</v>
      </c>
      <c r="I967" s="176"/>
      <c r="J967" s="176"/>
      <c r="K967" s="176"/>
      <c r="L967" s="176"/>
      <c r="M967" s="176"/>
      <c r="N967" s="176"/>
      <c r="O967" s="176"/>
      <c r="P967" s="176"/>
      <c r="Q967" s="176"/>
      <c r="R967" s="176"/>
      <c r="S967" s="176"/>
      <c r="T967" s="176"/>
      <c r="W967" s="170"/>
    </row>
    <row r="968" ht="25.15" customHeight="1" spans="4:4" x14ac:dyDescent="0.25">
      <c r="D968" s="482"/>
    </row>
    <row r="969" ht="25.15" customHeight="1" spans="4:23" x14ac:dyDescent="0.25">
      <c r="D969" s="482" t="s">
        <v>1018</v>
      </c>
      <c r="G969" s="179"/>
      <c r="H969" s="176">
        <f>IF(初期入力!B6="","",初期入力!B6)</f>
      </c>
      <c r="I969" s="176"/>
      <c r="J969" s="176"/>
      <c r="K969" s="176"/>
      <c r="L969" s="176"/>
      <c r="M969" s="176"/>
      <c r="N969" s="176"/>
      <c r="O969" s="176"/>
      <c r="P969" s="176"/>
      <c r="Q969" s="176"/>
      <c r="R969" s="176"/>
      <c r="S969" s="176"/>
      <c r="T969" s="176"/>
      <c r="W969" s="170"/>
    </row>
    <row r="970" ht="25.15" customHeight="1" spans="4:4" x14ac:dyDescent="0.25">
      <c r="D970" s="483"/>
    </row>
    <row r="971" ht="25.15" customHeight="1" spans="4:23" x14ac:dyDescent="0.25">
      <c r="D971" s="482" t="s">
        <v>1019</v>
      </c>
      <c r="G971" s="179"/>
      <c r="H971" s="179" t="s">
        <v>1020</v>
      </c>
      <c r="I971" s="179"/>
      <c r="J971" s="179"/>
      <c r="K971" s="179"/>
      <c r="L971" s="179"/>
      <c r="M971" s="179"/>
      <c r="N971" s="179"/>
      <c r="O971" s="179"/>
      <c r="P971" s="179"/>
      <c r="Q971" s="179"/>
      <c r="R971" s="179"/>
      <c r="S971" s="172"/>
      <c r="T971" s="172"/>
      <c r="W971" s="170"/>
    </row>
    <row r="972" ht="20.25" customHeight="1" spans="6:6" x14ac:dyDescent="0.25">
      <c r="F972" s="482"/>
    </row>
    <row r="973" ht="20.25" customHeight="1" spans="6:6" x14ac:dyDescent="0.25">
      <c r="F973" s="482"/>
    </row>
    <row r="974" ht="20.25" customHeight="1" x14ac:dyDescent="0.25"/>
    <row r="975" ht="20.25" customHeight="1" spans="1:1" x14ac:dyDescent="0.25">
      <c r="A975" s="484" t="s">
        <v>1021</v>
      </c>
    </row>
    <row r="976" ht="20.25" customHeight="1" spans="1:23" x14ac:dyDescent="0.25">
      <c r="A976" s="137" t="s">
        <v>1022</v>
      </c>
      <c r="B976" s="196"/>
      <c r="C976" s="485"/>
      <c r="D976" s="196"/>
      <c r="E976" s="196"/>
      <c r="F976" s="196"/>
      <c r="G976" s="196"/>
      <c r="H976" s="196"/>
      <c r="I976" s="196"/>
      <c r="J976" s="196"/>
      <c r="K976" s="196"/>
      <c r="L976" s="196"/>
      <c r="M976" s="196"/>
      <c r="N976" s="196"/>
      <c r="O976" s="196"/>
      <c r="P976" s="196"/>
      <c r="Q976" s="196"/>
      <c r="R976" s="196"/>
      <c r="S976" s="196"/>
      <c r="T976" s="196"/>
      <c r="U976" s="196"/>
      <c r="V976" s="196"/>
      <c r="W976" s="196"/>
    </row>
    <row r="977" ht="20.25" customHeight="1" spans="1:23" x14ac:dyDescent="0.25">
      <c r="A977" s="137" t="s">
        <v>1023</v>
      </c>
      <c r="B977" s="196"/>
      <c r="C977" s="485"/>
      <c r="D977" s="196"/>
      <c r="E977" s="196"/>
      <c r="F977" s="196"/>
      <c r="G977" s="196"/>
      <c r="H977" s="196"/>
      <c r="I977" s="196"/>
      <c r="J977" s="196"/>
      <c r="K977" s="196"/>
      <c r="L977" s="196"/>
      <c r="M977" s="196"/>
      <c r="N977" s="196"/>
      <c r="O977" s="196"/>
      <c r="P977" s="196"/>
      <c r="Q977" s="196"/>
      <c r="R977" s="196"/>
      <c r="S977" s="196"/>
      <c r="T977" s="196"/>
      <c r="U977" s="196"/>
      <c r="V977" s="196"/>
      <c r="W977" s="196"/>
    </row>
    <row r="978" ht="20.25" customHeight="1" spans="1:23" x14ac:dyDescent="0.25">
      <c r="A978" s="482" t="s">
        <v>1024</v>
      </c>
      <c r="B978" s="196"/>
      <c r="C978" s="485"/>
      <c r="D978" s="196"/>
      <c r="E978" s="196"/>
      <c r="F978" s="196"/>
      <c r="G978" s="196"/>
      <c r="H978" s="196"/>
      <c r="I978" s="196"/>
      <c r="J978" s="196"/>
      <c r="K978" s="196"/>
      <c r="L978" s="196"/>
      <c r="M978" s="196"/>
      <c r="N978" s="196"/>
      <c r="O978" s="196"/>
      <c r="P978" s="196"/>
      <c r="Q978" s="196"/>
      <c r="R978" s="196"/>
      <c r="S978" s="196"/>
      <c r="T978" s="196"/>
      <c r="U978" s="196"/>
      <c r="V978" s="196"/>
      <c r="W978" s="196"/>
    </row>
    <row r="979" ht="20.25" customHeight="1" spans="1:4" x14ac:dyDescent="0.25">
      <c r="A979" s="482"/>
      <c r="D979" s="482"/>
    </row>
    <row r="980" ht="20.25" customHeight="1" spans="1:3" x14ac:dyDescent="0.25">
      <c r="A980" s="484" t="s">
        <v>1025</v>
      </c>
      <c r="C980" s="482"/>
    </row>
    <row r="981" ht="20.25" customHeight="1" spans="1:23" x14ac:dyDescent="0.25">
      <c r="A981" s="482" t="s">
        <v>1026</v>
      </c>
      <c r="B981" s="196"/>
      <c r="C981" s="485"/>
      <c r="D981" s="196"/>
      <c r="E981" s="196"/>
      <c r="F981" s="196"/>
      <c r="G981" s="196"/>
      <c r="H981" s="196"/>
      <c r="I981" s="196"/>
      <c r="J981" s="196"/>
      <c r="K981" s="196"/>
      <c r="L981" s="196"/>
      <c r="M981" s="196"/>
      <c r="N981" s="196"/>
      <c r="O981" s="196"/>
      <c r="P981" s="196"/>
      <c r="Q981" s="196"/>
      <c r="R981" s="196"/>
      <c r="S981" s="196"/>
      <c r="T981" s="196"/>
      <c r="U981" s="196"/>
      <c r="V981" s="196"/>
      <c r="W981" s="196"/>
    </row>
    <row r="982" ht="20.25" customHeight="1" spans="1:23" x14ac:dyDescent="0.25">
      <c r="A982" s="482" t="s">
        <v>1027</v>
      </c>
      <c r="B982" s="196"/>
      <c r="C982" s="485"/>
      <c r="D982" s="196"/>
      <c r="E982" s="196"/>
      <c r="F982" s="196"/>
      <c r="G982" s="196"/>
      <c r="H982" s="196"/>
      <c r="I982" s="196"/>
      <c r="J982" s="196"/>
      <c r="K982" s="196"/>
      <c r="L982" s="196"/>
      <c r="M982" s="196"/>
      <c r="N982" s="196"/>
      <c r="O982" s="196"/>
      <c r="P982" s="196"/>
      <c r="Q982" s="196"/>
      <c r="R982" s="196"/>
      <c r="S982" s="196"/>
      <c r="T982" s="196"/>
      <c r="U982" s="196"/>
      <c r="V982" s="196"/>
      <c r="W982" s="196"/>
    </row>
    <row r="983" ht="20.25" customHeight="1" spans="1:23" x14ac:dyDescent="0.25">
      <c r="A983" s="482" t="s">
        <v>1028</v>
      </c>
      <c r="B983" s="196"/>
      <c r="C983" s="485"/>
      <c r="D983" s="196"/>
      <c r="E983" s="196"/>
      <c r="F983" s="196"/>
      <c r="G983" s="196"/>
      <c r="H983" s="196"/>
      <c r="I983" s="196"/>
      <c r="J983" s="196"/>
      <c r="K983" s="196"/>
      <c r="L983" s="196"/>
      <c r="M983" s="196"/>
      <c r="N983" s="196"/>
      <c r="O983" s="196"/>
      <c r="P983" s="196"/>
      <c r="Q983" s="196"/>
      <c r="R983" s="196"/>
      <c r="S983" s="196"/>
      <c r="T983" s="196"/>
      <c r="U983" s="196"/>
      <c r="V983" s="196"/>
      <c r="W983" s="196"/>
    </row>
    <row r="984" ht="20.25" customHeight="1" spans="1:23" x14ac:dyDescent="0.25">
      <c r="A984" s="482" t="s">
        <v>1029</v>
      </c>
      <c r="B984" s="196"/>
      <c r="C984" s="485"/>
      <c r="D984" s="196"/>
      <c r="E984" s="196"/>
      <c r="F984" s="196"/>
      <c r="G984" s="196"/>
      <c r="H984" s="196"/>
      <c r="I984" s="196"/>
      <c r="J984" s="196"/>
      <c r="K984" s="196"/>
      <c r="L984" s="196"/>
      <c r="M984" s="196"/>
      <c r="N984" s="196"/>
      <c r="O984" s="196"/>
      <c r="P984" s="196"/>
      <c r="Q984" s="196"/>
      <c r="R984" s="196"/>
      <c r="S984" s="196"/>
      <c r="T984" s="196"/>
      <c r="U984" s="196"/>
      <c r="V984" s="196"/>
      <c r="W984" s="196"/>
    </row>
    <row r="985" ht="20.25" customHeight="1" spans="1:23" x14ac:dyDescent="0.25">
      <c r="A985" s="482" t="s">
        <v>1030</v>
      </c>
      <c r="B985" s="196"/>
      <c r="C985" s="485"/>
      <c r="D985" s="196"/>
      <c r="E985" s="196"/>
      <c r="F985" s="196"/>
      <c r="G985" s="196"/>
      <c r="H985" s="196"/>
      <c r="I985" s="196"/>
      <c r="J985" s="196"/>
      <c r="K985" s="196"/>
      <c r="L985" s="196"/>
      <c r="M985" s="196"/>
      <c r="N985" s="196"/>
      <c r="O985" s="196"/>
      <c r="P985" s="196"/>
      <c r="Q985" s="196"/>
      <c r="R985" s="196"/>
      <c r="S985" s="196"/>
      <c r="T985" s="196"/>
      <c r="U985" s="196"/>
      <c r="V985" s="196"/>
      <c r="W985" s="196"/>
    </row>
    <row r="986" ht="20.25" customHeight="1" spans="1:23" x14ac:dyDescent="0.25">
      <c r="A986" s="482" t="s">
        <v>1031</v>
      </c>
      <c r="B986" s="196"/>
      <c r="C986" s="485"/>
      <c r="D986" s="196"/>
      <c r="E986" s="196"/>
      <c r="F986" s="196"/>
      <c r="G986" s="196"/>
      <c r="H986" s="196"/>
      <c r="I986" s="196"/>
      <c r="J986" s="196"/>
      <c r="K986" s="196"/>
      <c r="L986" s="196"/>
      <c r="M986" s="196"/>
      <c r="N986" s="196"/>
      <c r="O986" s="196"/>
      <c r="P986" s="196"/>
      <c r="Q986" s="196"/>
      <c r="R986" s="196"/>
      <c r="S986" s="196"/>
      <c r="T986" s="196"/>
      <c r="U986" s="196"/>
      <c r="V986" s="196"/>
      <c r="W986" s="196"/>
    </row>
    <row r="987" ht="20.25" customHeight="1" spans="1:23" x14ac:dyDescent="0.25">
      <c r="A987" s="482" t="s">
        <v>1032</v>
      </c>
      <c r="B987" s="196"/>
      <c r="C987" s="485"/>
      <c r="D987" s="196"/>
      <c r="E987" s="196"/>
      <c r="F987" s="196"/>
      <c r="G987" s="196"/>
      <c r="H987" s="196"/>
      <c r="I987" s="196"/>
      <c r="J987" s="196"/>
      <c r="K987" s="196"/>
      <c r="L987" s="196"/>
      <c r="M987" s="196"/>
      <c r="N987" s="196"/>
      <c r="O987" s="196"/>
      <c r="P987" s="196"/>
      <c r="Q987" s="196"/>
      <c r="R987" s="196"/>
      <c r="S987" s="196"/>
      <c r="T987" s="196"/>
      <c r="U987" s="196"/>
      <c r="V987" s="196"/>
      <c r="W987" s="196"/>
    </row>
    <row r="988" ht="20.25" customHeight="1" spans="1:23" x14ac:dyDescent="0.25">
      <c r="A988" s="482" t="s">
        <v>1033</v>
      </c>
      <c r="B988" s="196"/>
      <c r="C988" s="485"/>
      <c r="D988" s="196"/>
      <c r="E988" s="196"/>
      <c r="F988" s="196"/>
      <c r="G988" s="196"/>
      <c r="H988" s="196"/>
      <c r="I988" s="196"/>
      <c r="J988" s="196"/>
      <c r="K988" s="196"/>
      <c r="L988" s="196"/>
      <c r="M988" s="196"/>
      <c r="N988" s="196"/>
      <c r="O988" s="196"/>
      <c r="P988" s="196"/>
      <c r="Q988" s="196"/>
      <c r="R988" s="196"/>
      <c r="S988" s="196"/>
      <c r="T988" s="196"/>
      <c r="U988" s="196"/>
      <c r="V988" s="196"/>
      <c r="W988" s="196"/>
    </row>
    <row r="989" ht="20.25" customHeight="1" spans="1:23" x14ac:dyDescent="0.25">
      <c r="A989" s="482" t="s">
        <v>1034</v>
      </c>
      <c r="B989" s="196"/>
      <c r="C989" s="485"/>
      <c r="D989" s="196"/>
      <c r="E989" s="196"/>
      <c r="F989" s="196"/>
      <c r="G989" s="196"/>
      <c r="H989" s="196"/>
      <c r="I989" s="196"/>
      <c r="J989" s="196"/>
      <c r="K989" s="196"/>
      <c r="L989" s="196"/>
      <c r="M989" s="196"/>
      <c r="N989" s="196"/>
      <c r="O989" s="196"/>
      <c r="P989" s="196"/>
      <c r="Q989" s="196"/>
      <c r="R989" s="196"/>
      <c r="S989" s="196"/>
      <c r="T989" s="196"/>
      <c r="U989" s="196"/>
      <c r="V989" s="196"/>
      <c r="W989" s="196"/>
    </row>
    <row r="990" ht="20.25" customHeight="1" spans="1:23" x14ac:dyDescent="0.25">
      <c r="A990" s="482" t="s">
        <v>1035</v>
      </c>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row>
    <row r="991" ht="11.25" customHeight="1" spans="2:2" x14ac:dyDescent="0.25">
      <c r="B991" s="482"/>
    </row>
    <row r="992" ht="20.25" customHeight="1" spans="1:23" x14ac:dyDescent="0.25">
      <c r="A992" s="318" t="s">
        <v>1036</v>
      </c>
      <c r="B992" s="318"/>
      <c r="C992" s="318"/>
      <c r="D992" s="318"/>
      <c r="E992" s="318"/>
      <c r="F992" s="318"/>
      <c r="G992" s="318"/>
      <c r="H992" s="318"/>
      <c r="I992" s="318"/>
      <c r="J992" s="318"/>
      <c r="K992" s="318"/>
      <c r="L992" s="318"/>
      <c r="M992" s="318"/>
      <c r="N992" s="318"/>
      <c r="O992" s="318"/>
      <c r="P992" s="318"/>
      <c r="Q992" s="318"/>
      <c r="R992" s="318"/>
      <c r="S992" s="318"/>
      <c r="T992" s="318"/>
      <c r="U992" s="486"/>
      <c r="V992" s="486"/>
      <c r="W992" s="486"/>
    </row>
    <row r="993" ht="20.25" customHeight="1" x14ac:dyDescent="0.25"/>
    <row r="994" ht="20.25" customHeight="1" spans="1:23" x14ac:dyDescent="0.25">
      <c r="A994" s="137" t="s">
        <v>1037</v>
      </c>
      <c r="C994" s="487" t="str">
        <f>初期入力!B4&amp;"　　"&amp;初期入力!B6</f>
        <v>　　</v>
      </c>
      <c r="D994" s="487"/>
      <c r="E994" s="487"/>
      <c r="F994" s="487"/>
      <c r="G994" s="487"/>
      <c r="H994" s="487"/>
      <c r="I994" s="137" t="s">
        <v>1038</v>
      </c>
      <c r="T994" s="196"/>
      <c r="U994" s="196"/>
      <c r="V994" s="196"/>
      <c r="W994" s="196"/>
    </row>
    <row r="995" ht="20.25" customHeight="1" spans="1:27" x14ac:dyDescent="0.25">
      <c r="A995" s="137" t="s">
        <v>1039</v>
      </c>
      <c r="B995" s="488"/>
      <c r="D995" s="488"/>
      <c r="E995" s="488"/>
      <c r="F995" s="488"/>
      <c r="G995" s="488"/>
      <c r="H995" s="488"/>
      <c r="I995" s="488"/>
      <c r="J995" s="488"/>
      <c r="M995" s="488"/>
      <c r="N995" s="488"/>
      <c r="O995" s="488"/>
      <c r="P995" s="488"/>
      <c r="Q995" s="488"/>
      <c r="R995" s="488"/>
      <c r="S995" s="488"/>
      <c r="T995" s="489"/>
      <c r="U995" s="489"/>
      <c r="V995" s="489"/>
      <c r="W995" s="489"/>
      <c r="X995" s="489"/>
      <c r="Y995" s="489"/>
      <c r="Z995" s="489"/>
      <c r="AA995" s="489"/>
    </row>
    <row r="996" ht="20.25" customHeight="1" spans="1:26" x14ac:dyDescent="0.25">
      <c r="A996" s="137" t="s">
        <v>1040</v>
      </c>
      <c r="P996" s="170">
        <f>初期入力!C13</f>
        <v>2025</v>
      </c>
      <c r="Q996" s="170"/>
      <c r="R996" s="488" t="s">
        <v>33</v>
      </c>
      <c r="S996" s="137">
        <f>初期入力!E13</f>
        <v>7</v>
      </c>
      <c r="T996" s="488" t="s">
        <v>34</v>
      </c>
      <c r="U996" s="137">
        <f>初期入力!G13</f>
        <v>25</v>
      </c>
      <c r="V996" s="196" t="s">
        <v>35</v>
      </c>
      <c r="W996" s="196" t="s">
        <v>1041</v>
      </c>
      <c r="X996" s="196"/>
      <c r="Y996" s="196"/>
      <c r="Z996" s="196"/>
    </row>
    <row r="997" ht="20.25" customHeight="1" spans="1:27" x14ac:dyDescent="0.25">
      <c r="A997" s="137" t="s">
        <v>1042</v>
      </c>
      <c r="I997" s="170"/>
      <c r="T997" s="196"/>
      <c r="U997" s="196"/>
      <c r="V997" s="196"/>
      <c r="W997" s="196"/>
      <c r="X997" s="196"/>
      <c r="Y997" s="196"/>
      <c r="Z997" s="196"/>
      <c r="AA997" s="196"/>
    </row>
    <row r="998" ht="20.25" customHeight="1" spans="20:27" x14ac:dyDescent="0.25">
      <c r="T998" s="196"/>
      <c r="U998" s="196"/>
      <c r="V998" s="196"/>
      <c r="W998" s="196"/>
      <c r="X998" s="196"/>
      <c r="Y998" s="196"/>
      <c r="Z998" s="196"/>
      <c r="AA998" s="196"/>
    </row>
    <row r="999" ht="20.25" customHeight="1" spans="1:27" x14ac:dyDescent="0.25">
      <c r="A999" s="137" t="s">
        <v>1043</v>
      </c>
      <c r="T999" s="196"/>
      <c r="U999" s="196"/>
      <c r="V999" s="196"/>
      <c r="W999" s="196"/>
      <c r="X999" s="196"/>
      <c r="Y999" s="196"/>
      <c r="Z999" s="196"/>
      <c r="AA999" s="196"/>
    </row>
    <row r="1000" ht="20.25" customHeight="1" spans="1:27" x14ac:dyDescent="0.25">
      <c r="A1000" s="137" t="s">
        <v>1044</v>
      </c>
      <c r="S1000" s="170"/>
      <c r="T1000" s="204"/>
      <c r="U1000" s="204"/>
      <c r="V1000" s="204"/>
      <c r="W1000" s="204"/>
      <c r="X1000" s="204"/>
      <c r="Y1000" s="204"/>
      <c r="Z1000" s="204"/>
      <c r="AA1000" s="204"/>
    </row>
    <row r="1001" ht="20.25" customHeight="1" spans="1:27" x14ac:dyDescent="0.25">
      <c r="A1001" s="137" t="s">
        <v>1045</v>
      </c>
      <c r="J1001" s="490"/>
      <c r="K1001" s="490"/>
      <c r="L1001" s="490"/>
      <c r="M1001" s="490"/>
      <c r="N1001" s="490"/>
      <c r="O1001" s="490"/>
      <c r="P1001" s="490"/>
      <c r="Q1001" s="490"/>
      <c r="R1001" s="490"/>
      <c r="S1001" s="490"/>
      <c r="T1001" s="491"/>
      <c r="U1001" s="491"/>
      <c r="V1001" s="491"/>
      <c r="W1001" s="491"/>
      <c r="X1001" s="491"/>
      <c r="Y1001" s="491"/>
      <c r="Z1001" s="491"/>
      <c r="AA1001" s="196"/>
    </row>
    <row r="1002" ht="20.25" customHeight="1" spans="1:27" x14ac:dyDescent="0.25">
      <c r="A1002" s="166" t="s">
        <v>1046</v>
      </c>
      <c r="B1002" s="166"/>
      <c r="C1002" s="166"/>
      <c r="D1002" s="166"/>
      <c r="E1002" s="166"/>
      <c r="F1002" s="166"/>
      <c r="G1002" s="166"/>
      <c r="H1002" s="166"/>
      <c r="I1002" s="166"/>
      <c r="J1002" s="492"/>
      <c r="K1002" s="492"/>
      <c r="L1002" s="492"/>
      <c r="M1002" s="492"/>
      <c r="N1002" s="492"/>
      <c r="O1002" s="492"/>
      <c r="P1002" s="492"/>
      <c r="Q1002" s="492"/>
      <c r="R1002" s="492"/>
      <c r="S1002" s="492"/>
      <c r="T1002" s="493"/>
      <c r="U1002" s="493"/>
      <c r="V1002" s="493"/>
      <c r="W1002" s="493"/>
      <c r="X1002" s="493"/>
      <c r="Y1002" s="493"/>
      <c r="Z1002" s="493"/>
      <c r="AA1002" s="311"/>
    </row>
    <row r="1003" ht="10.5" customHeight="1" spans="20:27" x14ac:dyDescent="0.25">
      <c r="T1003" s="196"/>
      <c r="U1003" s="196"/>
      <c r="V1003" s="196"/>
      <c r="W1003" s="196"/>
      <c r="X1003" s="196"/>
      <c r="Y1003" s="196"/>
      <c r="Z1003" s="196"/>
      <c r="AA1003" s="196"/>
    </row>
    <row r="1004" ht="20.25" customHeight="1" spans="1:27" x14ac:dyDescent="0.25">
      <c r="A1004" s="137" t="s">
        <v>1047</v>
      </c>
      <c r="T1004" s="196"/>
      <c r="U1004" s="196"/>
      <c r="V1004" s="196"/>
      <c r="W1004" s="196"/>
      <c r="X1004" s="196"/>
      <c r="Y1004" s="196"/>
      <c r="Z1004" s="196"/>
      <c r="AA1004" s="196"/>
    </row>
    <row r="1005" ht="20.25" customHeight="1" spans="1:27" x14ac:dyDescent="0.25">
      <c r="A1005" s="137" t="s">
        <v>1048</v>
      </c>
      <c r="T1005" s="196"/>
      <c r="U1005" s="196"/>
      <c r="V1005" s="196"/>
      <c r="W1005" s="196"/>
      <c r="X1005" s="196"/>
      <c r="Y1005" s="196"/>
      <c r="Z1005" s="196"/>
      <c r="AA1005" s="196"/>
    </row>
    <row r="1006" ht="20.25" customHeight="1" spans="1:27" x14ac:dyDescent="0.25">
      <c r="A1006" s="137" t="s">
        <v>1049</v>
      </c>
      <c r="T1006" s="196"/>
      <c r="U1006" s="196"/>
      <c r="V1006" s="196"/>
      <c r="W1006" s="196"/>
      <c r="X1006" s="196"/>
      <c r="Y1006" s="196"/>
      <c r="Z1006" s="196"/>
      <c r="AA1006" s="196"/>
    </row>
    <row r="1007" ht="20.25" customHeight="1" spans="1:27" x14ac:dyDescent="0.25">
      <c r="A1007" s="137" t="s">
        <v>1050</v>
      </c>
      <c r="T1007" s="196"/>
      <c r="U1007" s="196"/>
      <c r="V1007" s="196"/>
      <c r="W1007" s="196"/>
      <c r="X1007" s="196"/>
      <c r="Y1007" s="196"/>
      <c r="Z1007" s="196"/>
      <c r="AA1007" s="196"/>
    </row>
    <row r="1008" ht="20.25" customHeight="1" spans="1:27" x14ac:dyDescent="0.25">
      <c r="A1008" s="137" t="s">
        <v>1051</v>
      </c>
      <c r="T1008" s="196"/>
      <c r="U1008" s="196"/>
      <c r="V1008" s="196"/>
      <c r="W1008" s="196"/>
      <c r="X1008" s="196"/>
      <c r="Y1008" s="196"/>
      <c r="Z1008" s="196"/>
      <c r="AA1008" s="196"/>
    </row>
    <row r="1009" ht="20.25" customHeight="1" spans="1:27" x14ac:dyDescent="0.25">
      <c r="A1009" s="137" t="s">
        <v>1052</v>
      </c>
      <c r="T1009" s="196"/>
      <c r="U1009" s="196"/>
      <c r="V1009" s="196"/>
      <c r="W1009" s="196"/>
      <c r="X1009" s="196"/>
      <c r="Y1009" s="196"/>
      <c r="Z1009" s="196"/>
      <c r="AA1009" s="196"/>
    </row>
    <row r="1010" ht="20.25" customHeight="1" spans="1:27" x14ac:dyDescent="0.25">
      <c r="A1010" s="137" t="s">
        <v>1053</v>
      </c>
      <c r="T1010" s="196"/>
      <c r="U1010" s="196"/>
      <c r="V1010" s="196"/>
      <c r="W1010" s="196"/>
      <c r="X1010" s="196"/>
      <c r="Y1010" s="196"/>
      <c r="Z1010" s="196"/>
      <c r="AA1010" s="196"/>
    </row>
    <row r="1011" ht="10.5" customHeight="1" spans="20:27" x14ac:dyDescent="0.25">
      <c r="T1011" s="196"/>
      <c r="U1011" s="196"/>
      <c r="V1011" s="196"/>
      <c r="W1011" s="196"/>
      <c r="X1011" s="196"/>
      <c r="Y1011" s="196"/>
      <c r="Z1011" s="196"/>
      <c r="AA1011" s="196"/>
    </row>
    <row r="1012" ht="20.25" customHeight="1" spans="1:27" x14ac:dyDescent="0.25">
      <c r="A1012" s="137" t="s">
        <v>1054</v>
      </c>
      <c r="T1012" s="196"/>
      <c r="U1012" s="196"/>
      <c r="V1012" s="196"/>
      <c r="W1012" s="196"/>
      <c r="X1012" s="196"/>
      <c r="Y1012" s="196"/>
      <c r="Z1012" s="196"/>
      <c r="AA1012" s="196"/>
    </row>
    <row r="1013" ht="20.25" customHeight="1" spans="1:27" x14ac:dyDescent="0.25">
      <c r="A1013" s="137" t="s">
        <v>1055</v>
      </c>
      <c r="T1013" s="196"/>
      <c r="U1013" s="196"/>
      <c r="V1013" s="196"/>
      <c r="W1013" s="196"/>
      <c r="X1013" s="196"/>
      <c r="Y1013" s="196"/>
      <c r="Z1013" s="196"/>
      <c r="AA1013" s="196"/>
    </row>
    <row r="1014" ht="20.25" customHeight="1" spans="1:27" x14ac:dyDescent="0.25">
      <c r="A1014" s="137" t="s">
        <v>1056</v>
      </c>
      <c r="T1014" s="196"/>
      <c r="U1014" s="196"/>
      <c r="V1014" s="196"/>
      <c r="W1014" s="196"/>
      <c r="X1014" s="196"/>
      <c r="Y1014" s="196"/>
      <c r="Z1014" s="196"/>
      <c r="AA1014" s="196"/>
    </row>
    <row r="1015" ht="20.25" customHeight="1" spans="1:27" x14ac:dyDescent="0.25">
      <c r="A1015" s="137" t="s">
        <v>1057</v>
      </c>
      <c r="T1015" s="196"/>
      <c r="U1015" s="196"/>
      <c r="V1015" s="196"/>
      <c r="W1015" s="196"/>
      <c r="X1015" s="196"/>
      <c r="Y1015" s="196"/>
      <c r="Z1015" s="196"/>
      <c r="AA1015" s="196"/>
    </row>
    <row r="1016" ht="10.5" customHeight="1" spans="20:27" x14ac:dyDescent="0.25">
      <c r="T1016" s="196"/>
      <c r="U1016" s="196"/>
      <c r="V1016" s="196"/>
      <c r="W1016" s="196"/>
      <c r="X1016" s="196"/>
      <c r="Y1016" s="196"/>
      <c r="Z1016" s="196"/>
      <c r="AA1016" s="196"/>
    </row>
    <row r="1017" ht="20.25" customHeight="1" spans="1:27" x14ac:dyDescent="0.25">
      <c r="A1017" s="137" t="s">
        <v>1058</v>
      </c>
      <c r="T1017" s="196"/>
      <c r="U1017" s="196"/>
      <c r="V1017" s="196"/>
      <c r="W1017" s="196"/>
      <c r="X1017" s="196"/>
      <c r="Y1017" s="196"/>
      <c r="Z1017" s="196"/>
      <c r="AA1017" s="196"/>
    </row>
    <row r="1018" ht="20.25" customHeight="1" spans="1:27" x14ac:dyDescent="0.25">
      <c r="A1018" s="137" t="s">
        <v>1059</v>
      </c>
      <c r="T1018" s="196"/>
      <c r="U1018" s="196"/>
      <c r="V1018" s="196"/>
      <c r="W1018" s="196"/>
      <c r="X1018" s="196"/>
      <c r="Y1018" s="196"/>
      <c r="Z1018" s="196"/>
      <c r="AA1018" s="196"/>
    </row>
    <row r="1019" ht="20.25" customHeight="1" spans="1:27" x14ac:dyDescent="0.25">
      <c r="A1019" s="137" t="s">
        <v>1060</v>
      </c>
      <c r="F1019" s="166"/>
      <c r="G1019" s="166"/>
      <c r="T1019" s="196"/>
      <c r="U1019" s="196"/>
      <c r="V1019" s="196"/>
      <c r="W1019" s="196"/>
      <c r="X1019" s="196"/>
      <c r="Y1019" s="196"/>
      <c r="Z1019" s="196"/>
      <c r="AA1019" s="196"/>
    </row>
    <row r="1020" ht="10.5" customHeight="1" spans="20:27" x14ac:dyDescent="0.25">
      <c r="T1020" s="196"/>
      <c r="U1020" s="196"/>
      <c r="V1020" s="196"/>
      <c r="W1020" s="196"/>
      <c r="X1020" s="196"/>
      <c r="Y1020" s="196"/>
      <c r="Z1020" s="196"/>
      <c r="AA1020" s="196"/>
    </row>
    <row r="1021" ht="20.25" customHeight="1" spans="1:27" x14ac:dyDescent="0.25">
      <c r="A1021" s="137" t="s">
        <v>1061</v>
      </c>
      <c r="S1021" s="165"/>
      <c r="T1021" s="494"/>
      <c r="U1021" s="494"/>
      <c r="V1021" s="494"/>
      <c r="W1021" s="494"/>
      <c r="X1021" s="494"/>
      <c r="Y1021" s="494"/>
      <c r="Z1021" s="494"/>
      <c r="AA1021" s="494"/>
    </row>
    <row r="1022" ht="20.25" customHeight="1" spans="1:27" x14ac:dyDescent="0.25">
      <c r="A1022" s="137" t="s">
        <v>1062</v>
      </c>
      <c r="T1022" s="196"/>
      <c r="U1022" s="196"/>
      <c r="V1022" s="196"/>
      <c r="W1022" s="196"/>
      <c r="X1022" s="196"/>
      <c r="Y1022" s="196"/>
      <c r="Z1022" s="196"/>
      <c r="AA1022" s="196"/>
    </row>
    <row r="1023" ht="11.25" customHeight="1" spans="8:27" x14ac:dyDescent="0.25">
      <c r="H1023" s="165"/>
      <c r="I1023" s="165"/>
      <c r="J1023" s="165"/>
      <c r="K1023" s="165"/>
      <c r="L1023" s="165"/>
      <c r="M1023" s="165"/>
      <c r="N1023" s="165"/>
      <c r="O1023" s="165"/>
      <c r="T1023" s="196"/>
      <c r="U1023" s="196"/>
      <c r="V1023" s="196"/>
      <c r="W1023" s="196"/>
      <c r="X1023" s="196"/>
      <c r="Y1023" s="196"/>
      <c r="Z1023" s="196"/>
      <c r="AA1023" s="196"/>
    </row>
    <row r="1024" ht="20.25" customHeight="1" spans="1:27" x14ac:dyDescent="0.25">
      <c r="A1024" s="137" t="s">
        <v>1063</v>
      </c>
      <c r="T1024" s="196"/>
      <c r="U1024" s="196"/>
      <c r="V1024" s="196"/>
      <c r="W1024" s="196"/>
      <c r="X1024" s="196"/>
      <c r="Y1024" s="196"/>
      <c r="Z1024" s="196"/>
      <c r="AA1024" s="196"/>
    </row>
    <row r="1025" ht="20.25" customHeight="1" spans="1:27" x14ac:dyDescent="0.25">
      <c r="A1025" s="137" t="s">
        <v>1064</v>
      </c>
      <c r="T1025" s="196"/>
      <c r="U1025" s="196"/>
      <c r="V1025" s="196"/>
      <c r="W1025" s="196"/>
      <c r="X1025" s="196"/>
      <c r="Y1025" s="196"/>
      <c r="Z1025" s="196"/>
      <c r="AA1025" s="196"/>
    </row>
    <row r="1026" ht="20.25" customHeight="1" spans="8:27" x14ac:dyDescent="0.25">
      <c r="H1026" s="165"/>
      <c r="I1026" s="165"/>
      <c r="J1026" s="165"/>
      <c r="K1026" s="165"/>
      <c r="L1026" s="165"/>
      <c r="M1026" s="165"/>
      <c r="N1026" s="165"/>
      <c r="O1026" s="165"/>
      <c r="T1026" s="196"/>
      <c r="U1026" s="196"/>
      <c r="V1026" s="196"/>
      <c r="W1026" s="196"/>
      <c r="X1026" s="196"/>
      <c r="Y1026" s="196"/>
      <c r="Z1026" s="196"/>
      <c r="AA1026" s="196"/>
    </row>
    <row r="1027" ht="20.25" customHeight="1" spans="3:31" x14ac:dyDescent="0.25">
      <c r="C1027" s="495">
        <f>初期入力!C13</f>
        <v>2025</v>
      </c>
      <c r="D1027" s="495"/>
      <c r="E1027" s="488" t="s">
        <v>33</v>
      </c>
      <c r="F1027" s="496">
        <f>初期入力!E13</f>
        <v>7</v>
      </c>
      <c r="G1027" s="488" t="s">
        <v>34</v>
      </c>
      <c r="H1027" s="496">
        <f>初期入力!G13</f>
        <v>25</v>
      </c>
      <c r="I1027" s="137" t="s">
        <v>35</v>
      </c>
      <c r="AD1027" s="170"/>
      <c r="AE1027" s="170"/>
    </row>
    <row r="1028" ht="20.25" customHeight="1" x14ac:dyDescent="0.25"/>
    <row r="1029" ht="20.25" customHeight="1" spans="4:19" x14ac:dyDescent="0.25">
      <c r="D1029" s="497" t="s">
        <v>1065</v>
      </c>
      <c r="E1029" s="497"/>
      <c r="F1029" s="497"/>
      <c r="G1029" s="497"/>
      <c r="H1029" s="498"/>
      <c r="I1029" s="499">
        <f>初期入力!B5</f>
        <v>0</v>
      </c>
      <c r="J1029" s="499"/>
      <c r="K1029" s="499"/>
      <c r="L1029" s="499"/>
      <c r="M1029" s="499"/>
      <c r="N1029" s="499"/>
      <c r="O1029" s="499"/>
      <c r="P1029" s="499"/>
      <c r="Q1029" s="499"/>
      <c r="R1029" s="499"/>
      <c r="S1029" s="496"/>
    </row>
    <row r="1030" ht="12" customHeight="1" x14ac:dyDescent="0.25"/>
    <row r="1031" ht="25.15" customHeight="1" spans="4:19" x14ac:dyDescent="0.25">
      <c r="D1031" s="497" t="s">
        <v>198</v>
      </c>
      <c r="E1031" s="497"/>
      <c r="F1031" s="497"/>
      <c r="G1031" s="497"/>
      <c r="H1031" s="172"/>
      <c r="I1031" s="176">
        <f>初期入力!B4</f>
        <v>0</v>
      </c>
      <c r="J1031" s="176"/>
      <c r="K1031" s="176"/>
      <c r="L1031" s="176"/>
      <c r="M1031" s="176"/>
      <c r="N1031" s="176"/>
      <c r="O1031" s="176"/>
      <c r="P1031" s="176"/>
      <c r="Q1031" s="176"/>
      <c r="R1031" s="176"/>
      <c r="S1031" s="500" t="s">
        <v>222</v>
      </c>
    </row>
    <row r="1032" ht="27" customHeight="1" spans="4:19" x14ac:dyDescent="0.25">
      <c r="D1032" s="170"/>
      <c r="E1032" s="170"/>
      <c r="F1032" s="170"/>
      <c r="G1032" s="170"/>
      <c r="H1032" s="170"/>
      <c r="I1032" s="170"/>
      <c r="J1032" s="170"/>
      <c r="K1032" s="170"/>
      <c r="L1032" s="170"/>
      <c r="M1032" s="170"/>
      <c r="N1032" s="170"/>
      <c r="O1032" s="170"/>
      <c r="P1032" s="170"/>
      <c r="Q1032" s="170"/>
      <c r="R1032" s="170"/>
      <c r="S1032" s="500"/>
    </row>
    <row r="1033" ht="25.15" customHeight="1" spans="4:19" x14ac:dyDescent="0.25">
      <c r="D1033" s="497" t="s">
        <v>1065</v>
      </c>
      <c r="E1033" s="497"/>
      <c r="F1033" s="497"/>
      <c r="G1033" s="497"/>
      <c r="H1033" s="172"/>
      <c r="I1033" s="499">
        <f>IF(初期入力!B7="","",初期入力!B7)</f>
      </c>
      <c r="J1033" s="499"/>
      <c r="K1033" s="499"/>
      <c r="L1033" s="499"/>
      <c r="M1033" s="499"/>
      <c r="N1033" s="499"/>
      <c r="O1033" s="499"/>
      <c r="P1033" s="499"/>
      <c r="Q1033" s="499"/>
      <c r="R1033" s="499"/>
      <c r="S1033" s="185"/>
    </row>
    <row r="1034" ht="12" customHeight="1" spans="19:19" x14ac:dyDescent="0.25">
      <c r="S1034" s="185"/>
    </row>
    <row r="1035" ht="25.15" customHeight="1" spans="4:19" x14ac:dyDescent="0.25">
      <c r="D1035" s="497" t="s">
        <v>198</v>
      </c>
      <c r="E1035" s="497"/>
      <c r="F1035" s="497"/>
      <c r="G1035" s="497"/>
      <c r="H1035" s="172"/>
      <c r="I1035" s="176">
        <f>IF(初期入力!B6="","",初期入力!B6)</f>
      </c>
      <c r="J1035" s="176"/>
      <c r="K1035" s="176"/>
      <c r="L1035" s="176"/>
      <c r="M1035" s="176"/>
      <c r="N1035" s="176"/>
      <c r="O1035" s="176"/>
      <c r="P1035" s="176"/>
      <c r="Q1035" s="176"/>
      <c r="R1035" s="176"/>
      <c r="S1035" s="500" t="s">
        <v>222</v>
      </c>
    </row>
    <row r="1036" ht="27" customHeight="1" spans="6:19" x14ac:dyDescent="0.25">
      <c r="F1036" s="137" t="s">
        <v>1066</v>
      </c>
      <c r="S1036" s="185"/>
    </row>
    <row r="1037" ht="20.25" customHeight="1" spans="4:19" x14ac:dyDescent="0.25">
      <c r="D1037" s="497" t="s">
        <v>1067</v>
      </c>
      <c r="E1037" s="497"/>
      <c r="F1037" s="497"/>
      <c r="G1037" s="497"/>
      <c r="H1037" s="172"/>
      <c r="I1037" s="176" t="s">
        <v>119</v>
      </c>
      <c r="J1037" s="176"/>
      <c r="K1037" s="176"/>
      <c r="L1037" s="176"/>
      <c r="M1037" s="176"/>
      <c r="N1037" s="176"/>
      <c r="O1037" s="176"/>
      <c r="P1037" s="176"/>
      <c r="Q1037" s="176"/>
      <c r="R1037" s="176"/>
      <c r="S1037" s="185"/>
    </row>
    <row r="1038" ht="12" customHeight="1" spans="19:19" x14ac:dyDescent="0.25">
      <c r="S1038" s="185"/>
    </row>
    <row r="1039" ht="20.25" customHeight="1" spans="4:19" x14ac:dyDescent="0.25">
      <c r="D1039" s="497" t="s">
        <v>198</v>
      </c>
      <c r="E1039" s="497"/>
      <c r="F1039" s="497"/>
      <c r="G1039" s="497"/>
      <c r="H1039" s="172"/>
      <c r="I1039" s="176" t="s">
        <v>1068</v>
      </c>
      <c r="J1039" s="176"/>
      <c r="K1039" s="176"/>
      <c r="L1039" s="176"/>
      <c r="M1039" s="176"/>
      <c r="N1039" s="176"/>
      <c r="O1039" s="176"/>
      <c r="P1039" s="176"/>
      <c r="Q1039" s="176"/>
      <c r="R1039" s="176"/>
      <c r="S1039" s="500" t="s">
        <v>222</v>
      </c>
    </row>
    <row r="1040" ht="20.25" customHeight="1" spans="4:19" x14ac:dyDescent="0.25">
      <c r="D1040" s="166"/>
      <c r="E1040" s="166"/>
      <c r="F1040" s="166"/>
      <c r="G1040" s="166"/>
      <c r="H1040" s="166"/>
      <c r="I1040" s="166"/>
      <c r="J1040" s="166"/>
      <c r="K1040" s="166"/>
      <c r="L1040" s="166"/>
      <c r="M1040" s="166"/>
      <c r="N1040" s="166"/>
      <c r="O1040" s="166"/>
      <c r="P1040" s="166"/>
      <c r="Q1040" s="166"/>
      <c r="R1040" s="166"/>
      <c r="S1040" s="166"/>
    </row>
    <row r="1041" ht="20.25" customHeight="1" spans="4:19" x14ac:dyDescent="0.25">
      <c r="D1041" s="166"/>
      <c r="E1041" s="166"/>
      <c r="F1041" s="166"/>
      <c r="G1041" s="166"/>
      <c r="H1041" s="166"/>
      <c r="I1041" s="166"/>
      <c r="J1041" s="166"/>
      <c r="K1041" s="166"/>
      <c r="L1041" s="166"/>
      <c r="M1041" s="166"/>
      <c r="N1041" s="166"/>
      <c r="O1041" s="166"/>
      <c r="P1041" s="166"/>
      <c r="Q1041" s="166"/>
      <c r="R1041" s="166"/>
      <c r="S1041" s="166"/>
    </row>
    <row r="1042" ht="20.25" customHeight="1" spans="4:18" x14ac:dyDescent="0.25">
      <c r="D1042" s="171" t="s">
        <v>1069</v>
      </c>
      <c r="E1042" s="171"/>
      <c r="F1042" s="171"/>
      <c r="G1042" s="171"/>
      <c r="H1042" s="171"/>
      <c r="I1042" s="171"/>
      <c r="J1042" s="171"/>
      <c r="K1042" s="171"/>
      <c r="L1042" s="171"/>
      <c r="M1042" s="171"/>
      <c r="N1042" s="171"/>
      <c r="O1042" s="171"/>
      <c r="P1042" s="171"/>
      <c r="Q1042" s="171"/>
      <c r="R1042" s="171"/>
    </row>
    <row r="1043" ht="20.25" customHeight="1" spans="4:18" x14ac:dyDescent="0.25">
      <c r="D1043" s="171"/>
      <c r="E1043" s="171"/>
      <c r="F1043" s="171"/>
      <c r="G1043" s="171"/>
      <c r="H1043" s="171"/>
      <c r="I1043" s="171"/>
      <c r="J1043" s="171"/>
      <c r="K1043" s="171"/>
      <c r="L1043" s="171"/>
      <c r="M1043" s="171"/>
      <c r="N1043" s="171"/>
      <c r="O1043" s="171"/>
      <c r="P1043" s="171"/>
      <c r="Q1043" s="171"/>
      <c r="R1043" s="171"/>
    </row>
    <row r="1044" ht="20.25" customHeight="1" spans="4:18" x14ac:dyDescent="0.25">
      <c r="D1044" s="171"/>
      <c r="E1044" s="171"/>
      <c r="F1044" s="171"/>
      <c r="G1044" s="171"/>
      <c r="H1044" s="171"/>
      <c r="I1044" s="171"/>
      <c r="J1044" s="171"/>
      <c r="K1044" s="171"/>
      <c r="L1044" s="171"/>
      <c r="M1044" s="171"/>
      <c r="N1044" s="171"/>
      <c r="O1044" s="171"/>
      <c r="P1044" s="171"/>
      <c r="Q1044" s="171"/>
      <c r="R1044" s="171"/>
    </row>
    <row r="1045" ht="20.25" customHeight="1" x14ac:dyDescent="0.25"/>
    <row r="1046" ht="20.25" customHeight="1" spans="1:7" x14ac:dyDescent="0.25">
      <c r="A1046" s="170" t="str">
        <f>工事請負契約書!D65</f>
        <v>株式会社　Gハウス</v>
      </c>
      <c r="B1046" s="170"/>
      <c r="C1046" s="170"/>
      <c r="D1046" s="170"/>
      <c r="E1046" s="170"/>
      <c r="F1046" s="170"/>
      <c r="G1046" s="137" t="s">
        <v>1070</v>
      </c>
    </row>
    <row r="1047" ht="20.25" customHeight="1" x14ac:dyDescent="0.25"/>
    <row r="1048" ht="20.25" customHeight="1" spans="1:1" x14ac:dyDescent="0.25">
      <c r="A1048" s="137" t="s">
        <v>1071</v>
      </c>
    </row>
    <row r="1049" ht="20.25" customHeight="1" spans="1:1" x14ac:dyDescent="0.25">
      <c r="A1049" s="137" t="s">
        <v>1072</v>
      </c>
    </row>
    <row r="1050" ht="20.25" customHeight="1" x14ac:dyDescent="0.25"/>
    <row r="1051" ht="20.25" customHeight="1" spans="6:10" x14ac:dyDescent="0.25">
      <c r="F1051" s="170"/>
      <c r="J1051" s="170" t="s">
        <v>1073</v>
      </c>
    </row>
    <row r="1052" ht="20.25" customHeight="1" x14ac:dyDescent="0.25"/>
    <row r="1053" ht="20.25" customHeight="1" spans="1:1" x14ac:dyDescent="0.25">
      <c r="A1053" s="137" t="s">
        <v>1074</v>
      </c>
    </row>
    <row r="1054" ht="20.25" customHeight="1" spans="1:1" x14ac:dyDescent="0.25">
      <c r="A1054" s="137" t="s">
        <v>1075</v>
      </c>
    </row>
    <row r="1055" ht="20.25" customHeight="1" spans="1:1" x14ac:dyDescent="0.25">
      <c r="A1055" s="137" t="s">
        <v>1076</v>
      </c>
    </row>
    <row r="1056" ht="20.25" customHeight="1" x14ac:dyDescent="0.25"/>
    <row r="1057" ht="20.25" customHeight="1" spans="1:1" x14ac:dyDescent="0.25">
      <c r="A1057" s="137" t="s">
        <v>1077</v>
      </c>
    </row>
    <row r="1058" ht="20.25" customHeight="1" spans="1:1" x14ac:dyDescent="0.25">
      <c r="A1058" s="137" t="s">
        <v>1078</v>
      </c>
    </row>
    <row r="1059" ht="20.25" customHeight="1" spans="1:1" x14ac:dyDescent="0.25">
      <c r="A1059" s="137" t="s">
        <v>1079</v>
      </c>
    </row>
    <row r="1060" ht="20.25" customHeight="1" x14ac:dyDescent="0.25"/>
    <row r="1061" ht="20.25" customHeight="1" spans="1:1" x14ac:dyDescent="0.25">
      <c r="A1061" s="137" t="s">
        <v>1080</v>
      </c>
    </row>
    <row r="1062" ht="20.25" customHeight="1" spans="1:1" x14ac:dyDescent="0.25">
      <c r="A1062" s="137" t="s">
        <v>1081</v>
      </c>
    </row>
    <row r="1063" ht="20.25" customHeight="1" x14ac:dyDescent="0.25"/>
    <row r="1064" ht="20.25" customHeight="1" spans="1:1" x14ac:dyDescent="0.25">
      <c r="A1064" s="137" t="s">
        <v>1082</v>
      </c>
    </row>
    <row r="1065" ht="20.25" customHeight="1" spans="1:1" x14ac:dyDescent="0.25">
      <c r="A1065" s="137" t="s">
        <v>1083</v>
      </c>
    </row>
    <row r="1066" ht="20.25" customHeight="1" spans="1:1" x14ac:dyDescent="0.25">
      <c r="A1066" s="137" t="s">
        <v>1084</v>
      </c>
    </row>
    <row r="1067" ht="20.25" customHeight="1" x14ac:dyDescent="0.25"/>
    <row r="1068" ht="20.25" customHeight="1" spans="1:1" x14ac:dyDescent="0.25">
      <c r="A1068" s="137" t="s">
        <v>1085</v>
      </c>
    </row>
    <row r="1069" ht="20.25" customHeight="1" x14ac:dyDescent="0.25"/>
    <row r="1070" ht="20.25" customHeight="1" spans="1:1" x14ac:dyDescent="0.25">
      <c r="A1070" s="137" t="s">
        <v>1086</v>
      </c>
    </row>
    <row r="1071" ht="20.25" customHeight="1" x14ac:dyDescent="0.25"/>
    <row r="1072" ht="20.25" customHeight="1" spans="18:18" x14ac:dyDescent="0.25">
      <c r="R1072" s="166" t="s">
        <v>1087</v>
      </c>
    </row>
    <row r="1073" ht="20.25" customHeight="1" spans="18:18" x14ac:dyDescent="0.25">
      <c r="R1073" s="166"/>
    </row>
    <row r="1074" ht="20.25" customHeight="1" spans="18:18" x14ac:dyDescent="0.25">
      <c r="R1074" s="166"/>
    </row>
    <row r="1075" ht="20.25" customHeight="1" spans="9:9" x14ac:dyDescent="0.25">
      <c r="I1075" s="165"/>
    </row>
    <row r="1076" ht="20.25" customHeight="1" spans="3:23" x14ac:dyDescent="0.25">
      <c r="C1076" s="501">
        <f>初期入力!C13</f>
        <v>2025</v>
      </c>
      <c r="D1076" s="501"/>
      <c r="E1076" s="181" t="s">
        <v>33</v>
      </c>
      <c r="F1076" s="288">
        <f>初期入力!E13</f>
        <v>7</v>
      </c>
      <c r="G1076" s="181" t="s">
        <v>34</v>
      </c>
      <c r="H1076" s="288">
        <f>初期入力!G13</f>
        <v>25</v>
      </c>
      <c r="I1076" s="181" t="s">
        <v>35</v>
      </c>
      <c r="L1076" s="165"/>
      <c r="M1076" s="178"/>
      <c r="N1076" s="494"/>
      <c r="O1076" s="502"/>
      <c r="P1076" s="502"/>
      <c r="Q1076" s="503"/>
      <c r="R1076" s="204"/>
      <c r="S1076" s="204"/>
      <c r="T1076" s="196"/>
      <c r="U1076" s="196"/>
      <c r="V1076" s="196"/>
      <c r="W1076" s="196"/>
    </row>
    <row r="1077" ht="20.25" customHeight="1" x14ac:dyDescent="0.25"/>
    <row r="1078" ht="20.25" customHeight="1" spans="7:23" x14ac:dyDescent="0.25">
      <c r="G1078" s="165" t="s">
        <v>189</v>
      </c>
      <c r="H1078" s="496"/>
      <c r="I1078" s="499">
        <f>初期入力!B5</f>
        <v>0</v>
      </c>
      <c r="J1078" s="499"/>
      <c r="K1078" s="499"/>
      <c r="L1078" s="499"/>
      <c r="M1078" s="499"/>
      <c r="N1078" s="499"/>
      <c r="O1078" s="499"/>
      <c r="P1078" s="499"/>
      <c r="Q1078" s="499"/>
      <c r="R1078" s="499"/>
      <c r="S1078" s="499"/>
      <c r="T1078" s="499"/>
      <c r="U1078" s="499"/>
      <c r="V1078" s="177"/>
      <c r="W1078" s="177"/>
    </row>
    <row r="1079" ht="25.15" customHeight="1" spans="6:8" x14ac:dyDescent="0.25">
      <c r="F1079" s="182"/>
      <c r="G1079" s="504"/>
      <c r="H1079" s="182"/>
    </row>
    <row r="1080" ht="25.15" customHeight="1" spans="6:23" x14ac:dyDescent="0.25">
      <c r="F1080" s="172"/>
      <c r="G1080" s="505" t="s">
        <v>185</v>
      </c>
      <c r="H1080" s="179"/>
      <c r="I1080" s="176">
        <f>初期入力!B4</f>
        <v>0</v>
      </c>
      <c r="J1080" s="176"/>
      <c r="K1080" s="176"/>
      <c r="L1080" s="176"/>
      <c r="M1080" s="176"/>
      <c r="N1080" s="176"/>
      <c r="O1080" s="176"/>
      <c r="P1080" s="176"/>
      <c r="Q1080" s="176"/>
      <c r="R1080" s="176"/>
      <c r="S1080" s="176"/>
      <c r="T1080" s="176"/>
      <c r="U1080" s="176"/>
      <c r="V1080" s="137"/>
      <c r="W1080" s="137"/>
    </row>
    <row r="1081" ht="25.15" customHeight="1" spans="6:23" x14ac:dyDescent="0.25">
      <c r="F1081" s="137"/>
      <c r="G1081" s="165"/>
      <c r="H1081" s="137"/>
      <c r="I1081" s="166"/>
      <c r="J1081" s="166"/>
      <c r="K1081" s="166"/>
      <c r="L1081" s="166"/>
      <c r="M1081" s="166"/>
      <c r="N1081" s="166"/>
      <c r="O1081" s="166"/>
      <c r="P1081" s="166"/>
      <c r="Q1081" s="166"/>
      <c r="R1081" s="166"/>
      <c r="S1081" s="166"/>
      <c r="T1081" s="166"/>
      <c r="U1081" s="166"/>
      <c r="V1081" s="137"/>
      <c r="W1081" s="137"/>
    </row>
    <row r="1082" ht="25.15" customHeight="1" spans="7:23" x14ac:dyDescent="0.25">
      <c r="G1082" s="505" t="s">
        <v>189</v>
      </c>
      <c r="H1082" s="496"/>
      <c r="I1082" s="499">
        <f>IF(初期入力!B7="","",初期入力!B7)</f>
      </c>
      <c r="J1082" s="499"/>
      <c r="K1082" s="499"/>
      <c r="L1082" s="499"/>
      <c r="M1082" s="499"/>
      <c r="N1082" s="499"/>
      <c r="O1082" s="499"/>
      <c r="P1082" s="499"/>
      <c r="Q1082" s="499"/>
      <c r="R1082" s="499"/>
      <c r="S1082" s="499"/>
      <c r="T1082" s="499"/>
      <c r="U1082" s="499"/>
      <c r="V1082" s="137"/>
      <c r="W1082" s="137"/>
    </row>
    <row r="1083" ht="25.15" customHeight="1" spans="6:8" x14ac:dyDescent="0.25">
      <c r="F1083" s="182"/>
      <c r="H1083" s="182"/>
    </row>
    <row r="1084" ht="25.15" customHeight="1" spans="7:23" x14ac:dyDescent="0.25">
      <c r="G1084" s="165" t="s">
        <v>185</v>
      </c>
      <c r="H1084" s="179"/>
      <c r="I1084" s="176">
        <f>IF(初期入力!B6="","",初期入力!B6)</f>
      </c>
      <c r="J1084" s="176"/>
      <c r="K1084" s="176"/>
      <c r="L1084" s="176"/>
      <c r="M1084" s="176"/>
      <c r="N1084" s="176"/>
      <c r="O1084" s="176"/>
      <c r="P1084" s="176"/>
      <c r="Q1084" s="176"/>
      <c r="R1084" s="176"/>
      <c r="S1084" s="176"/>
      <c r="T1084" s="176"/>
      <c r="U1084" s="176"/>
      <c r="V1084" s="137"/>
      <c r="W1084" s="137"/>
    </row>
    <row r="1085" ht="20.25" customHeight="1" spans="6:19" x14ac:dyDescent="0.25">
      <c r="F1085" s="182"/>
      <c r="G1085" s="504"/>
      <c r="H1085" s="137"/>
      <c r="I1085" s="137"/>
      <c r="J1085" s="137"/>
      <c r="K1085" s="137"/>
      <c r="L1085" s="137"/>
      <c r="M1085" s="137"/>
      <c r="N1085" s="137"/>
      <c r="O1085" s="137"/>
      <c r="P1085" s="137"/>
      <c r="Q1085" s="137"/>
      <c r="R1085" s="137"/>
      <c r="S1085" s="137"/>
    </row>
    <row r="1086" ht="20.25" customHeight="1" spans="7:19" x14ac:dyDescent="0.25">
      <c r="G1086" s="165"/>
      <c r="H1086" s="137"/>
      <c r="I1086" s="137"/>
      <c r="J1086" s="137"/>
      <c r="K1086" s="137"/>
      <c r="L1086" s="137"/>
      <c r="M1086" s="137"/>
      <c r="N1086" s="137"/>
      <c r="O1086" s="137"/>
      <c r="P1086" s="137"/>
      <c r="Q1086" s="137"/>
      <c r="R1086" s="137"/>
      <c r="S1086" s="137"/>
    </row>
    <row r="1087" ht="20.25" customHeight="1" spans="7:19" x14ac:dyDescent="0.25">
      <c r="G1087" s="165"/>
      <c r="H1087" s="137"/>
      <c r="I1087" s="137"/>
      <c r="J1087" s="137"/>
      <c r="K1087" s="137"/>
      <c r="L1087" s="137"/>
      <c r="M1087" s="137"/>
      <c r="N1087" s="137"/>
      <c r="O1087" s="137"/>
      <c r="P1087" s="137"/>
      <c r="Q1087" s="137"/>
      <c r="R1087" s="137"/>
      <c r="S1087" s="137"/>
    </row>
    <row r="1088" ht="20.25" customHeight="1" x14ac:dyDescent="0.25"/>
    <row r="1089" ht="20.25" customHeight="1" spans="1:1" x14ac:dyDescent="0.25">
      <c r="A1089" s="506" t="s">
        <v>1088</v>
      </c>
    </row>
    <row r="1090" ht="20.25" customHeight="1" spans="1:1" x14ac:dyDescent="0.25">
      <c r="A1090" s="506"/>
    </row>
    <row r="1091" ht="20.25" customHeight="1" spans="1:1" x14ac:dyDescent="0.25">
      <c r="A1091" s="320"/>
    </row>
    <row r="1092" ht="20.25" customHeight="1" spans="1:1" x14ac:dyDescent="0.25">
      <c r="A1092" s="137" t="s">
        <v>1089</v>
      </c>
    </row>
    <row r="1093" ht="20.25" customHeight="1" spans="1:2" x14ac:dyDescent="0.25">
      <c r="A1093" s="137" t="s">
        <v>1090</v>
      </c>
      <c r="B1093" s="320"/>
    </row>
    <row r="1094" ht="20.25" customHeight="1" spans="2:2" x14ac:dyDescent="0.25">
      <c r="B1094" s="320"/>
    </row>
    <row r="1095" ht="20.25" customHeight="1" spans="1:1" x14ac:dyDescent="0.25">
      <c r="A1095" s="137" t="s">
        <v>1091</v>
      </c>
    </row>
    <row r="1096" ht="20.25" customHeight="1" spans="1:1" x14ac:dyDescent="0.25">
      <c r="A1096" s="137" t="s">
        <v>1092</v>
      </c>
    </row>
    <row r="1097" ht="20.25" customHeight="1" spans="1:1" x14ac:dyDescent="0.25">
      <c r="A1097" s="137" t="s">
        <v>1093</v>
      </c>
    </row>
    <row r="1098" ht="20.25" customHeight="1" spans="1:1" x14ac:dyDescent="0.25">
      <c r="A1098" s="137" t="s">
        <v>1094</v>
      </c>
    </row>
    <row r="1099" ht="20.25" customHeight="1" spans="1:1" x14ac:dyDescent="0.25">
      <c r="A1099" s="137" t="s">
        <v>1095</v>
      </c>
    </row>
    <row r="1100" ht="20.25" customHeight="1" spans="1:2" x14ac:dyDescent="0.25">
      <c r="A1100" s="137" t="s">
        <v>1096</v>
      </c>
      <c r="B1100" s="320"/>
    </row>
    <row r="1101" ht="20.25" customHeight="1" spans="1:1" x14ac:dyDescent="0.25">
      <c r="A1101" s="137" t="s">
        <v>1097</v>
      </c>
    </row>
    <row r="1102" ht="20.25" customHeight="1" spans="1:1" x14ac:dyDescent="0.25">
      <c r="A1102" s="137" t="s">
        <v>1098</v>
      </c>
    </row>
    <row r="1103" ht="20.25" customHeight="1" spans="1:1" x14ac:dyDescent="0.25">
      <c r="A1103" s="137" t="s">
        <v>1099</v>
      </c>
    </row>
    <row r="1104" ht="20.25" customHeight="1" spans="1:1" x14ac:dyDescent="0.25">
      <c r="A1104" s="137" t="s">
        <v>1100</v>
      </c>
    </row>
    <row r="1105" ht="20.25" customHeight="1" spans="1:1" x14ac:dyDescent="0.25">
      <c r="A1105" s="137" t="s">
        <v>1101</v>
      </c>
    </row>
    <row r="1106" ht="20.25" customHeight="1" spans="1:1" x14ac:dyDescent="0.25">
      <c r="A1106" s="137" t="s">
        <v>1102</v>
      </c>
    </row>
    <row r="1107" ht="20.25" customHeight="1" x14ac:dyDescent="0.25"/>
    <row r="1108" ht="20.25" customHeight="1" spans="1:1" x14ac:dyDescent="0.25">
      <c r="A1108" s="137" t="s">
        <v>1103</v>
      </c>
    </row>
    <row r="1109" ht="20.25" customHeight="1" spans="1:1" x14ac:dyDescent="0.25">
      <c r="A1109" s="137" t="s">
        <v>1104</v>
      </c>
    </row>
    <row r="1110" ht="20.25" customHeight="1" spans="1:1" x14ac:dyDescent="0.25">
      <c r="A1110" s="137" t="s">
        <v>1105</v>
      </c>
    </row>
    <row r="1111" ht="20.25" customHeight="1" spans="1:1" x14ac:dyDescent="0.25">
      <c r="A1111" s="137" t="s">
        <v>1106</v>
      </c>
    </row>
    <row r="1112" ht="20.25" customHeight="1" spans="1:2" x14ac:dyDescent="0.25">
      <c r="A1112" s="137" t="s">
        <v>1107</v>
      </c>
      <c r="B1112" s="320"/>
    </row>
    <row r="1113" ht="20.25" customHeight="1" spans="2:2" x14ac:dyDescent="0.25">
      <c r="B1113" s="320"/>
    </row>
    <row r="1114" ht="20.25" customHeight="1" spans="1:1" x14ac:dyDescent="0.25">
      <c r="A1114" s="137" t="s">
        <v>1108</v>
      </c>
    </row>
    <row r="1115" ht="20.25" customHeight="1" spans="1:1" x14ac:dyDescent="0.25">
      <c r="A1115" s="137" t="s">
        <v>1109</v>
      </c>
    </row>
    <row r="1116" ht="20.25" customHeight="1" spans="1:1" x14ac:dyDescent="0.25">
      <c r="A1116" s="137" t="s">
        <v>1110</v>
      </c>
    </row>
    <row r="1117" ht="20.25" customHeight="1" x14ac:dyDescent="0.25"/>
    <row r="1118" ht="20.25" customHeight="1" spans="1:1" x14ac:dyDescent="0.25">
      <c r="A1118" s="137" t="s">
        <v>1111</v>
      </c>
    </row>
    <row r="1119" ht="20.25" customHeight="1" spans="1:1" x14ac:dyDescent="0.25">
      <c r="A1119" s="137" t="s">
        <v>1112</v>
      </c>
    </row>
    <row r="1120" ht="20.25" customHeight="1" spans="1:9" x14ac:dyDescent="0.25">
      <c r="A1120" s="137" t="s">
        <v>1113</v>
      </c>
      <c r="I1120" s="137" t="s">
        <v>158</v>
      </c>
    </row>
    <row r="1121" ht="20.25" customHeight="1" spans="1:1" x14ac:dyDescent="0.25">
      <c r="A1121" s="137" t="s">
        <v>1114</v>
      </c>
    </row>
    <row r="1122" ht="20.25" customHeight="1" spans="1:11" x14ac:dyDescent="0.25">
      <c r="A1122" s="137" t="s">
        <v>1115</v>
      </c>
      <c r="K1122" s="137" t="s">
        <v>1116</v>
      </c>
    </row>
    <row r="1123" ht="20.25" customHeight="1" spans="1:20" x14ac:dyDescent="0.25">
      <c r="A1123" s="137" t="s">
        <v>1117</v>
      </c>
      <c r="K1123" s="9"/>
      <c r="L1123" s="9"/>
      <c r="M1123" s="9"/>
      <c r="N1123" s="9"/>
      <c r="O1123" s="9"/>
      <c r="P1123" s="9"/>
      <c r="Q1123" s="9"/>
      <c r="R1123" s="9" t="s">
        <v>1118</v>
      </c>
      <c r="S1123" s="9"/>
      <c r="T1123" s="199"/>
    </row>
    <row r="1124" ht="20.25" customHeight="1" spans="1:1" x14ac:dyDescent="0.25">
      <c r="A1124" s="137" t="s">
        <v>1119</v>
      </c>
    </row>
    <row r="1125" ht="20.25" customHeight="1" spans="1:1" x14ac:dyDescent="0.25">
      <c r="A1125" s="137" t="s">
        <v>1120</v>
      </c>
    </row>
    <row r="1126" ht="20.25" customHeight="1" x14ac:dyDescent="0.25"/>
    <row r="1127" ht="20.25" customHeight="1" x14ac:dyDescent="0.25"/>
    <row r="1128" ht="20.25" customHeight="1" x14ac:dyDescent="0.25"/>
    <row r="1129" ht="20.25" customHeight="1" x14ac:dyDescent="0.25"/>
    <row r="1130" ht="20.25" customHeight="1" x14ac:dyDescent="0.25"/>
    <row r="1131" ht="20.25" customHeight="1" x14ac:dyDescent="0.25"/>
    <row r="1132" ht="20.25" customHeight="1" x14ac:dyDescent="0.25"/>
    <row r="1133" ht="12.75" customHeight="1" spans="1:8" x14ac:dyDescent="0.25">
      <c r="A1133" s="137" t="s">
        <v>1121</v>
      </c>
      <c r="D1133" s="507"/>
      <c r="E1133" s="507"/>
      <c r="F1133" s="507"/>
      <c r="G1133" s="507"/>
      <c r="H1133" s="507"/>
    </row>
    <row r="1134" ht="12.75" customHeight="1" spans="4:8" x14ac:dyDescent="0.25">
      <c r="D1134" s="507"/>
      <c r="E1134" s="507"/>
      <c r="F1134" s="507"/>
      <c r="G1134" s="507"/>
      <c r="H1134" s="507"/>
    </row>
    <row r="1135" ht="12.75" customHeight="1" spans="4:8" x14ac:dyDescent="0.25">
      <c r="D1135" s="507"/>
      <c r="E1135" s="507"/>
      <c r="F1135" s="507"/>
      <c r="G1135" s="507"/>
      <c r="H1135" s="507"/>
    </row>
    <row r="1136" ht="12.75" customHeight="1" spans="2:8" x14ac:dyDescent="0.25">
      <c r="B1136" s="507"/>
      <c r="C1136" s="507"/>
      <c r="D1136" s="507"/>
      <c r="E1136" s="507"/>
      <c r="F1136" s="507"/>
      <c r="G1136" s="507"/>
      <c r="H1136" s="507"/>
    </row>
    <row r="1137" ht="12.75" customHeight="1" spans="1:23" x14ac:dyDescent="0.25">
      <c r="A1137" s="171" t="s">
        <v>1122</v>
      </c>
      <c r="B1137" s="171"/>
      <c r="C1137" s="171"/>
      <c r="D1137" s="171"/>
      <c r="E1137" s="171"/>
      <c r="F1137" s="171"/>
      <c r="G1137" s="171"/>
      <c r="H1137" s="171"/>
      <c r="I1137" s="171"/>
      <c r="J1137" s="171"/>
      <c r="K1137" s="171"/>
      <c r="L1137" s="171"/>
      <c r="M1137" s="171"/>
      <c r="N1137" s="171"/>
      <c r="O1137" s="171"/>
      <c r="P1137" s="171"/>
      <c r="Q1137" s="171"/>
      <c r="R1137" s="171"/>
      <c r="S1137" s="171"/>
      <c r="T1137" s="171"/>
      <c r="U1137" s="486"/>
      <c r="V1137" s="486"/>
      <c r="W1137" s="486"/>
    </row>
    <row r="1138" ht="12.75" customHeight="1" spans="1:23" x14ac:dyDescent="0.25">
      <c r="A1138" s="171"/>
      <c r="B1138" s="171"/>
      <c r="C1138" s="171"/>
      <c r="D1138" s="171"/>
      <c r="E1138" s="171"/>
      <c r="F1138" s="171"/>
      <c r="G1138" s="171"/>
      <c r="H1138" s="171"/>
      <c r="I1138" s="171"/>
      <c r="J1138" s="171"/>
      <c r="K1138" s="171"/>
      <c r="L1138" s="171"/>
      <c r="M1138" s="171"/>
      <c r="N1138" s="171"/>
      <c r="O1138" s="171"/>
      <c r="P1138" s="171"/>
      <c r="Q1138" s="171"/>
      <c r="R1138" s="171"/>
      <c r="S1138" s="171"/>
      <c r="T1138" s="171"/>
      <c r="U1138" s="486"/>
      <c r="V1138" s="486"/>
      <c r="W1138" s="486"/>
    </row>
    <row r="1139" ht="12.75" customHeight="1" spans="1:23" x14ac:dyDescent="0.25">
      <c r="A1139" s="486"/>
      <c r="B1139" s="486"/>
      <c r="C1139" s="486"/>
      <c r="D1139" s="486"/>
      <c r="E1139" s="486"/>
      <c r="F1139" s="486"/>
      <c r="G1139" s="486"/>
      <c r="H1139" s="486"/>
      <c r="I1139" s="486"/>
      <c r="J1139" s="486"/>
      <c r="K1139" s="486"/>
      <c r="L1139" s="486"/>
      <c r="M1139" s="486"/>
      <c r="N1139" s="486"/>
      <c r="O1139" s="486"/>
      <c r="P1139" s="486"/>
      <c r="Q1139" s="486"/>
      <c r="R1139" s="486"/>
      <c r="S1139" s="486"/>
      <c r="T1139" s="486"/>
      <c r="U1139" s="486"/>
      <c r="V1139" s="486"/>
      <c r="W1139" s="486"/>
    </row>
    <row r="1140" ht="12.75" customHeight="1" spans="2:8" x14ac:dyDescent="0.25">
      <c r="B1140" s="507"/>
      <c r="C1140" s="507"/>
      <c r="D1140" s="507"/>
      <c r="E1140" s="507"/>
      <c r="F1140" s="507"/>
      <c r="G1140" s="507"/>
      <c r="H1140" s="507"/>
    </row>
    <row r="1141" ht="21" customHeight="1" spans="2:20" x14ac:dyDescent="0.25">
      <c r="B1141" s="508" t="s">
        <v>1123</v>
      </c>
      <c r="C1141" s="508"/>
      <c r="D1141" s="508"/>
      <c r="E1141" s="508"/>
      <c r="F1141" s="508"/>
      <c r="G1141" s="508"/>
      <c r="H1141" s="508"/>
      <c r="I1141" s="508"/>
      <c r="J1141" s="508"/>
      <c r="K1141" s="508"/>
      <c r="L1141" s="508"/>
      <c r="M1141" s="508"/>
      <c r="N1141" s="508"/>
      <c r="O1141" s="508"/>
      <c r="P1141" s="508"/>
      <c r="Q1141" s="508"/>
      <c r="R1141" s="508"/>
      <c r="S1141" s="508"/>
      <c r="T1141" s="508"/>
    </row>
    <row r="1142" ht="21" customHeight="1" spans="2:20" x14ac:dyDescent="0.25">
      <c r="B1142" s="508"/>
      <c r="C1142" s="508"/>
      <c r="D1142" s="508"/>
      <c r="E1142" s="508"/>
      <c r="F1142" s="508"/>
      <c r="G1142" s="508"/>
      <c r="H1142" s="508"/>
      <c r="I1142" s="508"/>
      <c r="J1142" s="508"/>
      <c r="K1142" s="508"/>
      <c r="L1142" s="508"/>
      <c r="M1142" s="508"/>
      <c r="N1142" s="508"/>
      <c r="O1142" s="508"/>
      <c r="P1142" s="508"/>
      <c r="Q1142" s="508"/>
      <c r="R1142" s="508"/>
      <c r="S1142" s="508"/>
      <c r="T1142" s="508"/>
    </row>
    <row r="1143" ht="21" customHeight="1" spans="2:20" x14ac:dyDescent="0.25">
      <c r="B1143" s="508"/>
      <c r="C1143" s="508"/>
      <c r="D1143" s="508"/>
      <c r="E1143" s="508"/>
      <c r="F1143" s="508"/>
      <c r="G1143" s="508"/>
      <c r="H1143" s="508"/>
      <c r="I1143" s="508"/>
      <c r="J1143" s="508"/>
      <c r="K1143" s="508"/>
      <c r="L1143" s="508"/>
      <c r="M1143" s="508"/>
      <c r="N1143" s="508"/>
      <c r="O1143" s="508"/>
      <c r="P1143" s="508"/>
      <c r="Q1143" s="508"/>
      <c r="R1143" s="508"/>
      <c r="S1143" s="508"/>
      <c r="T1143" s="508"/>
    </row>
    <row r="1144" ht="19.5" customHeight="1" spans="2:8" x14ac:dyDescent="0.25">
      <c r="B1144" s="507"/>
      <c r="C1144" s="507"/>
      <c r="D1144" s="507"/>
      <c r="E1144" s="507"/>
      <c r="F1144" s="507"/>
      <c r="G1144" s="507"/>
      <c r="H1144" s="507"/>
    </row>
    <row r="1145" ht="19.5" customHeight="1" spans="2:8" x14ac:dyDescent="0.25">
      <c r="B1145" s="507"/>
      <c r="C1145" s="507"/>
      <c r="D1145" s="507"/>
      <c r="E1145" s="507"/>
      <c r="F1145" s="507"/>
      <c r="G1145" s="507"/>
      <c r="H1145" s="507"/>
    </row>
    <row r="1146" ht="21" customHeight="1" spans="2:8" x14ac:dyDescent="0.25">
      <c r="B1146" s="181" t="s">
        <v>1124</v>
      </c>
      <c r="C1146" s="507"/>
      <c r="D1146" s="507"/>
      <c r="E1146" s="507"/>
      <c r="F1146" s="507"/>
      <c r="G1146" s="507"/>
      <c r="H1146" s="507"/>
    </row>
    <row r="1147" ht="18" customHeight="1" spans="2:8" x14ac:dyDescent="0.25">
      <c r="B1147" s="507"/>
      <c r="C1147" s="507"/>
      <c r="D1147" s="507"/>
      <c r="E1147" s="507"/>
      <c r="F1147" s="507"/>
      <c r="G1147" s="507"/>
      <c r="H1147" s="507"/>
    </row>
    <row r="1148" ht="18" customHeight="1" spans="5:18" x14ac:dyDescent="0.25">
      <c r="E1148" s="142"/>
      <c r="F1148" s="142"/>
      <c r="G1148" s="142"/>
      <c r="H1148" s="142"/>
      <c r="I1148" s="142"/>
      <c r="J1148" s="142"/>
      <c r="K1148" s="142"/>
      <c r="L1148" s="142"/>
      <c r="M1148" s="142"/>
      <c r="N1148" s="142"/>
      <c r="O1148" s="142"/>
      <c r="P1148" s="142"/>
      <c r="Q1148" s="142"/>
      <c r="R1148" s="142"/>
    </row>
    <row r="1149" ht="21" customHeight="1" spans="5:19" x14ac:dyDescent="0.25">
      <c r="E1149" s="509" t="str">
        <f>初期入力!B47</f>
        <v>株式会社　日本住宅保証検査機構</v>
      </c>
      <c r="F1149" s="509"/>
      <c r="G1149" s="509"/>
      <c r="H1149" s="509"/>
      <c r="I1149" s="509"/>
      <c r="J1149" s="509"/>
      <c r="K1149" s="509"/>
      <c r="L1149" s="509"/>
      <c r="M1149" s="509"/>
      <c r="N1149" s="509"/>
      <c r="O1149" s="509"/>
      <c r="P1149" s="509"/>
      <c r="Q1149" s="509"/>
      <c r="R1149" s="509"/>
      <c r="S1149" s="3"/>
    </row>
    <row r="1150" ht="21" customHeight="1" spans="5:19" x14ac:dyDescent="0.25">
      <c r="E1150" s="510"/>
      <c r="F1150" s="510"/>
      <c r="G1150" s="510"/>
      <c r="H1150" s="510"/>
      <c r="I1150" s="510"/>
      <c r="J1150" s="510"/>
      <c r="K1150" s="510"/>
      <c r="L1150" s="510"/>
      <c r="M1150" s="510"/>
      <c r="N1150" s="510"/>
      <c r="O1150" s="510"/>
      <c r="P1150" s="510"/>
      <c r="Q1150" s="510"/>
      <c r="R1150" s="510"/>
      <c r="S1150" s="3"/>
    </row>
    <row r="1151" ht="18" customHeight="1" spans="5:19" x14ac:dyDescent="0.25">
      <c r="E1151" s="511"/>
      <c r="F1151" s="511"/>
      <c r="G1151" s="511"/>
      <c r="H1151" s="511"/>
      <c r="I1151" s="511"/>
      <c r="J1151" s="511"/>
      <c r="K1151" s="511"/>
      <c r="L1151" s="511"/>
      <c r="M1151" s="511"/>
      <c r="N1151" s="511"/>
      <c r="O1151" s="511"/>
      <c r="P1151" s="511"/>
      <c r="Q1151" s="511"/>
      <c r="R1151" s="511"/>
      <c r="S1151" s="3"/>
    </row>
    <row r="1152" ht="18" customHeight="1" spans="2:19" x14ac:dyDescent="0.25">
      <c r="B1152" s="507"/>
      <c r="C1152" s="507"/>
      <c r="D1152" s="507"/>
      <c r="E1152" s="512"/>
      <c r="F1152" s="512"/>
      <c r="G1152" s="512"/>
      <c r="H1152" s="512"/>
      <c r="I1152" s="3"/>
      <c r="J1152" s="3"/>
      <c r="K1152" s="3"/>
      <c r="L1152" s="3"/>
      <c r="M1152" s="3"/>
      <c r="N1152" s="3"/>
      <c r="O1152" s="3"/>
      <c r="P1152" s="3"/>
      <c r="Q1152" s="3"/>
      <c r="R1152" s="3"/>
      <c r="S1152" s="3"/>
    </row>
    <row r="1153" ht="21" customHeight="1" spans="2:19" x14ac:dyDescent="0.25">
      <c r="B1153" s="181" t="s">
        <v>1125</v>
      </c>
      <c r="C1153" s="507"/>
      <c r="D1153" s="507"/>
      <c r="E1153" s="512"/>
      <c r="F1153" s="512"/>
      <c r="G1153" s="512"/>
      <c r="H1153" s="512"/>
      <c r="I1153" s="3"/>
      <c r="J1153" s="3"/>
      <c r="K1153" s="3"/>
      <c r="L1153" s="3"/>
      <c r="M1153" s="3"/>
      <c r="N1153" s="3"/>
      <c r="O1153" s="3"/>
      <c r="P1153" s="3"/>
      <c r="Q1153" s="3"/>
      <c r="R1153" s="3"/>
      <c r="S1153" s="3"/>
    </row>
    <row r="1154" ht="18" customHeight="1" spans="2:19" x14ac:dyDescent="0.25">
      <c r="B1154" s="507"/>
      <c r="C1154" s="507"/>
      <c r="D1154" s="507"/>
      <c r="E1154" s="512"/>
      <c r="F1154" s="512"/>
      <c r="G1154" s="512"/>
      <c r="H1154" s="512"/>
      <c r="I1154" s="3"/>
      <c r="J1154" s="3"/>
      <c r="K1154" s="3"/>
      <c r="L1154" s="3"/>
      <c r="M1154" s="3"/>
      <c r="N1154" s="3"/>
      <c r="O1154" s="3"/>
      <c r="P1154" s="3"/>
      <c r="Q1154" s="3"/>
      <c r="R1154" s="3"/>
      <c r="S1154" s="3"/>
    </row>
    <row r="1155" ht="18" customHeight="1" spans="5:19" x14ac:dyDescent="0.25">
      <c r="E1155" s="513"/>
      <c r="F1155" s="513"/>
      <c r="G1155" s="513"/>
      <c r="H1155" s="513"/>
      <c r="I1155" s="513"/>
      <c r="J1155" s="513"/>
      <c r="K1155" s="513"/>
      <c r="L1155" s="513"/>
      <c r="M1155" s="513"/>
      <c r="N1155" s="513"/>
      <c r="O1155" s="513"/>
      <c r="P1155" s="513"/>
      <c r="Q1155" s="513"/>
      <c r="R1155" s="513"/>
      <c r="S1155" s="3"/>
    </row>
    <row r="1156" ht="21" customHeight="1" spans="5:19" x14ac:dyDescent="0.25">
      <c r="E1156" s="509" t="s">
        <v>1126</v>
      </c>
      <c r="F1156" s="509"/>
      <c r="G1156" s="509"/>
      <c r="H1156" s="509"/>
      <c r="I1156" s="509"/>
      <c r="J1156" s="509"/>
      <c r="K1156" s="509"/>
      <c r="L1156" s="509"/>
      <c r="M1156" s="509"/>
      <c r="N1156" s="509"/>
      <c r="O1156" s="509"/>
      <c r="P1156" s="509"/>
      <c r="Q1156" s="509"/>
      <c r="R1156" s="509"/>
      <c r="S1156" s="3"/>
    </row>
    <row r="1157" ht="21" customHeight="1" spans="5:19" x14ac:dyDescent="0.25">
      <c r="E1157" s="510"/>
      <c r="F1157" s="510"/>
      <c r="G1157" s="510"/>
      <c r="H1157" s="510"/>
      <c r="I1157" s="510"/>
      <c r="J1157" s="510"/>
      <c r="K1157" s="510"/>
      <c r="L1157" s="510"/>
      <c r="M1157" s="510"/>
      <c r="N1157" s="510"/>
      <c r="O1157" s="510"/>
      <c r="P1157" s="510"/>
      <c r="Q1157" s="510"/>
      <c r="R1157" s="510"/>
      <c r="S1157" s="3"/>
    </row>
    <row r="1158" ht="18" customHeight="1" spans="5:19" x14ac:dyDescent="0.25">
      <c r="E1158" s="511"/>
      <c r="F1158" s="511"/>
      <c r="G1158" s="511"/>
      <c r="H1158" s="511"/>
      <c r="I1158" s="511"/>
      <c r="J1158" s="511"/>
      <c r="K1158" s="511"/>
      <c r="L1158" s="511"/>
      <c r="M1158" s="511"/>
      <c r="N1158" s="511"/>
      <c r="O1158" s="511"/>
      <c r="P1158" s="511"/>
      <c r="Q1158" s="511"/>
      <c r="R1158" s="511"/>
      <c r="S1158" s="3"/>
    </row>
    <row r="1159" ht="18" customHeight="1" spans="2:19" x14ac:dyDescent="0.25">
      <c r="B1159" s="507"/>
      <c r="C1159" s="507"/>
      <c r="D1159" s="507"/>
      <c r="E1159" s="512"/>
      <c r="F1159" s="512"/>
      <c r="G1159" s="512"/>
      <c r="H1159" s="512"/>
      <c r="I1159" s="3"/>
      <c r="J1159" s="3"/>
      <c r="K1159" s="3"/>
      <c r="L1159" s="3"/>
      <c r="M1159" s="3"/>
      <c r="N1159" s="3"/>
      <c r="O1159" s="3"/>
      <c r="P1159" s="3"/>
      <c r="Q1159" s="3"/>
      <c r="R1159" s="3"/>
      <c r="S1159" s="3"/>
    </row>
    <row r="1160" ht="21" customHeight="1" spans="2:19" x14ac:dyDescent="0.25">
      <c r="B1160" s="181" t="s">
        <v>1127</v>
      </c>
      <c r="C1160" s="507"/>
      <c r="D1160" s="507"/>
      <c r="E1160" s="512"/>
      <c r="F1160" s="512"/>
      <c r="G1160" s="512"/>
      <c r="H1160" s="512"/>
      <c r="I1160" s="3"/>
      <c r="J1160" s="3"/>
      <c r="K1160" s="3"/>
      <c r="L1160" s="3"/>
      <c r="M1160" s="3"/>
      <c r="N1160" s="3"/>
      <c r="O1160" s="3"/>
      <c r="P1160" s="3"/>
      <c r="Q1160" s="3"/>
      <c r="R1160" s="3"/>
      <c r="S1160" s="3"/>
    </row>
    <row r="1161" ht="18" customHeight="1" spans="2:19" x14ac:dyDescent="0.25">
      <c r="B1161" s="507"/>
      <c r="C1161" s="507"/>
      <c r="D1161" s="507"/>
      <c r="E1161" s="512"/>
      <c r="F1161" s="512"/>
      <c r="G1161" s="512"/>
      <c r="H1161" s="512"/>
      <c r="I1161" s="3"/>
      <c r="J1161" s="3"/>
      <c r="K1161" s="3"/>
      <c r="L1161" s="3"/>
      <c r="M1161" s="3"/>
      <c r="N1161" s="3"/>
      <c r="O1161" s="3"/>
      <c r="P1161" s="3"/>
      <c r="Q1161" s="3"/>
      <c r="R1161" s="3"/>
      <c r="S1161" s="3"/>
    </row>
    <row r="1162" ht="18" customHeight="1" spans="5:19" x14ac:dyDescent="0.25">
      <c r="E1162" s="513"/>
      <c r="F1162" s="513"/>
      <c r="G1162" s="513"/>
      <c r="H1162" s="513"/>
      <c r="I1162" s="513"/>
      <c r="J1162" s="513"/>
      <c r="K1162" s="513"/>
      <c r="L1162" s="513"/>
      <c r="M1162" s="513"/>
      <c r="N1162" s="513"/>
      <c r="O1162" s="513"/>
      <c r="P1162" s="513"/>
      <c r="Q1162" s="513"/>
      <c r="R1162" s="513"/>
      <c r="S1162" s="3"/>
    </row>
    <row r="1163" ht="21" customHeight="1" spans="5:19" x14ac:dyDescent="0.25">
      <c r="E1163" s="509" t="s">
        <v>1128</v>
      </c>
      <c r="F1163" s="509"/>
      <c r="G1163" s="509"/>
      <c r="H1163" s="509"/>
      <c r="I1163" s="509"/>
      <c r="J1163" s="509"/>
      <c r="K1163" s="509"/>
      <c r="L1163" s="509"/>
      <c r="M1163" s="509"/>
      <c r="N1163" s="509"/>
      <c r="O1163" s="509"/>
      <c r="P1163" s="509"/>
      <c r="Q1163" s="509"/>
      <c r="R1163" s="509"/>
      <c r="S1163" s="3"/>
    </row>
    <row r="1164" ht="21" customHeight="1" spans="5:19" x14ac:dyDescent="0.25">
      <c r="E1164" s="510"/>
      <c r="F1164" s="510"/>
      <c r="G1164" s="510"/>
      <c r="H1164" s="510"/>
      <c r="I1164" s="510"/>
      <c r="J1164" s="510"/>
      <c r="K1164" s="510"/>
      <c r="L1164" s="510"/>
      <c r="M1164" s="510"/>
      <c r="N1164" s="510"/>
      <c r="O1164" s="510"/>
      <c r="P1164" s="510"/>
      <c r="Q1164" s="510"/>
      <c r="R1164" s="510"/>
      <c r="S1164" s="3"/>
    </row>
    <row r="1165" ht="18" customHeight="1" spans="5:19" x14ac:dyDescent="0.25">
      <c r="E1165" s="511"/>
      <c r="F1165" s="511"/>
      <c r="G1165" s="511"/>
      <c r="H1165" s="511"/>
      <c r="I1165" s="511"/>
      <c r="J1165" s="511"/>
      <c r="K1165" s="511"/>
      <c r="L1165" s="511"/>
      <c r="M1165" s="511"/>
      <c r="N1165" s="511"/>
      <c r="O1165" s="511"/>
      <c r="P1165" s="511"/>
      <c r="Q1165" s="511"/>
      <c r="R1165" s="511"/>
      <c r="S1165" s="3"/>
    </row>
    <row r="1166" ht="18" customHeight="1" spans="2:19" x14ac:dyDescent="0.25">
      <c r="B1166" s="507"/>
      <c r="C1166" s="507"/>
      <c r="D1166" s="507"/>
      <c r="E1166" s="512"/>
      <c r="F1166" s="512"/>
      <c r="G1166" s="512"/>
      <c r="H1166" s="512"/>
      <c r="I1166" s="3"/>
      <c r="J1166" s="3"/>
      <c r="K1166" s="3"/>
      <c r="L1166" s="3"/>
      <c r="M1166" s="3"/>
      <c r="N1166" s="3"/>
      <c r="O1166" s="3"/>
      <c r="P1166" s="3"/>
      <c r="Q1166" s="3"/>
      <c r="R1166" s="3"/>
      <c r="S1166" s="3"/>
    </row>
    <row r="1167" ht="21" customHeight="1" spans="2:19" x14ac:dyDescent="0.25">
      <c r="B1167" s="181" t="s">
        <v>1129</v>
      </c>
      <c r="C1167" s="507"/>
      <c r="D1167" s="507"/>
      <c r="E1167" s="512"/>
      <c r="F1167" s="512"/>
      <c r="G1167" s="512"/>
      <c r="H1167" s="512"/>
      <c r="I1167" s="3"/>
      <c r="J1167" s="3"/>
      <c r="K1167" s="3"/>
      <c r="L1167" s="3"/>
      <c r="M1167" s="3"/>
      <c r="N1167" s="3"/>
      <c r="O1167" s="3"/>
      <c r="P1167" s="3"/>
      <c r="Q1167" s="3"/>
      <c r="R1167" s="3"/>
      <c r="S1167" s="3"/>
    </row>
    <row r="1168" ht="18" customHeight="1" spans="2:19" x14ac:dyDescent="0.25">
      <c r="B1168" s="507"/>
      <c r="C1168" s="507"/>
      <c r="D1168" s="507"/>
      <c r="E1168" s="512"/>
      <c r="F1168" s="512"/>
      <c r="G1168" s="512"/>
      <c r="H1168" s="512"/>
      <c r="I1168" s="3"/>
      <c r="J1168" s="3"/>
      <c r="K1168" s="3"/>
      <c r="L1168" s="3"/>
      <c r="M1168" s="3"/>
      <c r="N1168" s="3"/>
      <c r="O1168" s="3"/>
      <c r="P1168" s="3"/>
      <c r="Q1168" s="3"/>
      <c r="R1168" s="3"/>
      <c r="S1168" s="3"/>
    </row>
    <row r="1169" ht="18" customHeight="1" spans="5:19" x14ac:dyDescent="0.25">
      <c r="E1169" s="513"/>
      <c r="F1169" s="513"/>
      <c r="G1169" s="513"/>
      <c r="H1169" s="513"/>
      <c r="I1169" s="513"/>
      <c r="J1169" s="513"/>
      <c r="K1169" s="513"/>
      <c r="L1169" s="513"/>
      <c r="M1169" s="513"/>
      <c r="N1169" s="513"/>
      <c r="O1169" s="513"/>
      <c r="P1169" s="513"/>
      <c r="Q1169" s="513"/>
      <c r="R1169" s="513"/>
      <c r="S1169" s="3"/>
    </row>
    <row r="1170" ht="21" customHeight="1" spans="5:19" x14ac:dyDescent="0.25">
      <c r="E1170" s="509" t="s">
        <v>1130</v>
      </c>
      <c r="F1170" s="509"/>
      <c r="G1170" s="509"/>
      <c r="H1170" s="509"/>
      <c r="I1170" s="509"/>
      <c r="J1170" s="509"/>
      <c r="K1170" s="509"/>
      <c r="L1170" s="509"/>
      <c r="M1170" s="509"/>
      <c r="N1170" s="509"/>
      <c r="O1170" s="509"/>
      <c r="P1170" s="509"/>
      <c r="Q1170" s="509"/>
      <c r="R1170" s="509"/>
      <c r="S1170" s="3"/>
    </row>
    <row r="1171" ht="21" customHeight="1" spans="5:19" x14ac:dyDescent="0.25">
      <c r="E1171" s="510"/>
      <c r="F1171" s="510"/>
      <c r="G1171" s="510"/>
      <c r="H1171" s="510"/>
      <c r="I1171" s="510"/>
      <c r="J1171" s="510"/>
      <c r="K1171" s="510"/>
      <c r="L1171" s="510"/>
      <c r="M1171" s="510"/>
      <c r="N1171" s="510"/>
      <c r="O1171" s="510"/>
      <c r="P1171" s="510"/>
      <c r="Q1171" s="510"/>
      <c r="R1171" s="510"/>
      <c r="S1171" s="3"/>
    </row>
    <row r="1172" ht="21" customHeight="1" spans="5:19" x14ac:dyDescent="0.25">
      <c r="E1172" s="514" t="s">
        <v>725</v>
      </c>
      <c r="F1172" s="514"/>
      <c r="G1172" s="514"/>
      <c r="H1172" s="514"/>
      <c r="I1172" s="514"/>
      <c r="J1172" s="514"/>
      <c r="K1172" s="514"/>
      <c r="L1172" s="514"/>
      <c r="M1172" s="514"/>
      <c r="N1172" s="514"/>
      <c r="O1172" s="514"/>
      <c r="P1172" s="514"/>
      <c r="Q1172" s="514"/>
      <c r="R1172" s="514"/>
      <c r="S1172" s="3"/>
    </row>
    <row r="1173" ht="21" customHeight="1" spans="5:19" x14ac:dyDescent="0.25">
      <c r="E1173" s="510"/>
      <c r="F1173" s="510"/>
      <c r="G1173" s="510"/>
      <c r="H1173" s="510"/>
      <c r="I1173" s="510"/>
      <c r="J1173" s="510"/>
      <c r="K1173" s="510"/>
      <c r="L1173" s="510"/>
      <c r="M1173" s="510"/>
      <c r="N1173" s="510"/>
      <c r="O1173" s="510"/>
      <c r="P1173" s="510"/>
      <c r="Q1173" s="510"/>
      <c r="R1173" s="510"/>
      <c r="S1173" s="3"/>
    </row>
    <row r="1174" ht="21" customHeight="1" spans="5:19" x14ac:dyDescent="0.25">
      <c r="E1174" s="514" t="s">
        <v>741</v>
      </c>
      <c r="F1174" s="514"/>
      <c r="G1174" s="514"/>
      <c r="H1174" s="514"/>
      <c r="I1174" s="514"/>
      <c r="J1174" s="514"/>
      <c r="K1174" s="514"/>
      <c r="L1174" s="514"/>
      <c r="M1174" s="514"/>
      <c r="N1174" s="514"/>
      <c r="O1174" s="514"/>
      <c r="P1174" s="514"/>
      <c r="Q1174" s="514"/>
      <c r="R1174" s="514"/>
      <c r="S1174" s="3"/>
    </row>
    <row r="1175" ht="21" customHeight="1" spans="5:19" x14ac:dyDescent="0.25">
      <c r="E1175" s="510"/>
      <c r="F1175" s="510"/>
      <c r="G1175" s="510"/>
      <c r="H1175" s="510"/>
      <c r="I1175" s="510"/>
      <c r="J1175" s="510"/>
      <c r="K1175" s="510"/>
      <c r="L1175" s="510"/>
      <c r="M1175" s="510"/>
      <c r="N1175" s="510"/>
      <c r="O1175" s="510"/>
      <c r="P1175" s="510"/>
      <c r="Q1175" s="510"/>
      <c r="R1175" s="510"/>
      <c r="S1175" s="3"/>
    </row>
    <row r="1176" ht="21" customHeight="1" spans="2:19" x14ac:dyDescent="0.25">
      <c r="B1176" s="507"/>
      <c r="C1176" s="507"/>
      <c r="D1176" s="507"/>
      <c r="E1176" s="512"/>
      <c r="F1176" s="512"/>
      <c r="G1176" s="512"/>
      <c r="H1176" s="512"/>
      <c r="I1176" s="3"/>
      <c r="J1176" s="3"/>
      <c r="K1176" s="3"/>
      <c r="L1176" s="3"/>
      <c r="M1176" s="3"/>
      <c r="N1176" s="3"/>
      <c r="O1176" s="3"/>
      <c r="P1176" s="3"/>
      <c r="Q1176" s="3"/>
      <c r="R1176" s="3"/>
      <c r="S1176" s="3"/>
    </row>
    <row r="1177" ht="21" customHeight="1" spans="2:19" x14ac:dyDescent="0.25">
      <c r="B1177" s="507"/>
      <c r="C1177" s="507"/>
      <c r="D1177" s="507"/>
      <c r="E1177" s="512"/>
      <c r="F1177" s="512"/>
      <c r="G1177" s="512"/>
      <c r="H1177" s="3"/>
      <c r="I1177" s="3"/>
      <c r="J1177" s="3"/>
      <c r="K1177" s="3"/>
      <c r="L1177" s="3"/>
      <c r="M1177" s="3"/>
      <c r="N1177" s="3"/>
      <c r="O1177" s="3"/>
      <c r="P1177" s="3"/>
      <c r="Q1177" s="3"/>
      <c r="R1177" s="3"/>
      <c r="S1177" s="3"/>
    </row>
    <row r="1178" ht="21" customHeight="1" spans="17:18" x14ac:dyDescent="0.25">
      <c r="Q1178" s="181"/>
      <c r="R1178" s="515" t="s">
        <v>943</v>
      </c>
    </row>
    <row r="1179" ht="21" customHeight="1" x14ac:dyDescent="0.25"/>
    <row r="1180" ht="21" customHeight="1" x14ac:dyDescent="0.25"/>
    <row r="1181" ht="21" customHeight="1" x14ac:dyDescent="0.25"/>
    <row r="1182" ht="21" customHeight="1" x14ac:dyDescent="0.25"/>
    <row r="1183" ht="20.25" customHeight="1" x14ac:dyDescent="0.25"/>
    <row r="1184" ht="20.25" customHeight="1" spans="1:26" x14ac:dyDescent="0.25">
      <c r="A1184" s="516"/>
      <c r="B1184" s="517"/>
      <c r="C1184" s="517"/>
      <c r="D1184" s="517"/>
      <c r="E1184" s="517"/>
      <c r="F1184" s="517"/>
      <c r="G1184" s="517"/>
      <c r="H1184" s="517"/>
      <c r="I1184" s="517"/>
      <c r="J1184" s="517"/>
      <c r="K1184" s="517"/>
      <c r="L1184" s="517"/>
      <c r="M1184" s="517"/>
      <c r="N1184" s="517"/>
      <c r="O1184" s="517"/>
      <c r="P1184" s="517"/>
      <c r="Q1184" s="517"/>
      <c r="R1184" s="517"/>
      <c r="S1184" s="517"/>
      <c r="T1184" s="517"/>
      <c r="U1184" s="517"/>
      <c r="V1184" s="517"/>
      <c r="W1184" s="517"/>
      <c r="X1184" s="518"/>
      <c r="Y1184" s="137"/>
      <c r="Z1184" s="137"/>
    </row>
    <row r="1185" ht="20.25" customHeight="1" spans="1:26" x14ac:dyDescent="0.25">
      <c r="A1185" s="519"/>
      <c r="B1185" s="520"/>
      <c r="C1185" s="520"/>
      <c r="D1185" s="520"/>
      <c r="E1185" s="520"/>
      <c r="F1185" s="520"/>
      <c r="G1185" s="520"/>
      <c r="H1185" s="520"/>
      <c r="I1185" s="520"/>
      <c r="J1185" s="520"/>
      <c r="K1185" s="520"/>
      <c r="L1185" s="520"/>
      <c r="M1185" s="520"/>
      <c r="N1185" s="520"/>
      <c r="O1185" s="520"/>
      <c r="P1185" s="520"/>
      <c r="Q1185" s="520"/>
      <c r="R1185" s="520"/>
      <c r="S1185" s="520"/>
      <c r="T1185" s="520"/>
      <c r="U1185" s="520"/>
      <c r="V1185" s="520"/>
      <c r="W1185" s="520"/>
      <c r="X1185" s="521"/>
      <c r="Y1185" s="137"/>
      <c r="Z1185" s="137"/>
    </row>
    <row r="1186" ht="20.25" customHeight="1" spans="1:26" x14ac:dyDescent="0.25">
      <c r="A1186" s="522"/>
      <c r="B1186" s="523"/>
      <c r="C1186" s="523"/>
      <c r="D1186" s="523"/>
      <c r="E1186" s="524" t="s">
        <v>1131</v>
      </c>
      <c r="F1186" s="524"/>
      <c r="G1186" s="524"/>
      <c r="H1186" s="524"/>
      <c r="I1186" s="524"/>
      <c r="J1186" s="524"/>
      <c r="K1186" s="524"/>
      <c r="L1186" s="524"/>
      <c r="M1186" s="524"/>
      <c r="N1186" s="524"/>
      <c r="O1186" s="524"/>
      <c r="P1186" s="524"/>
      <c r="Q1186" s="524"/>
      <c r="R1186" s="524"/>
      <c r="S1186" s="523"/>
      <c r="T1186" s="523"/>
      <c r="U1186" s="523"/>
      <c r="V1186" s="523"/>
      <c r="W1186" s="523"/>
      <c r="X1186" s="521"/>
      <c r="Y1186" s="137"/>
      <c r="Z1186" s="137"/>
    </row>
    <row r="1187" ht="20.25" customHeight="1" spans="1:26" x14ac:dyDescent="0.25">
      <c r="A1187" s="522"/>
      <c r="B1187" s="523"/>
      <c r="C1187" s="523"/>
      <c r="D1187" s="523"/>
      <c r="E1187" s="524"/>
      <c r="F1187" s="524"/>
      <c r="G1187" s="524"/>
      <c r="H1187" s="524"/>
      <c r="I1187" s="524"/>
      <c r="J1187" s="524"/>
      <c r="K1187" s="524"/>
      <c r="L1187" s="524"/>
      <c r="M1187" s="524"/>
      <c r="N1187" s="524"/>
      <c r="O1187" s="524"/>
      <c r="P1187" s="524"/>
      <c r="Q1187" s="524"/>
      <c r="R1187" s="524"/>
      <c r="S1187" s="523"/>
      <c r="T1187" s="523"/>
      <c r="U1187" s="523"/>
      <c r="V1187" s="523"/>
      <c r="W1187" s="523"/>
      <c r="X1187" s="521"/>
      <c r="Y1187" s="137"/>
      <c r="Z1187" s="137"/>
    </row>
    <row r="1188" ht="20.25" customHeight="1" spans="1:26" x14ac:dyDescent="0.25">
      <c r="A1188" s="522"/>
      <c r="B1188" s="523"/>
      <c r="C1188" s="523"/>
      <c r="D1188" s="523"/>
      <c r="E1188" s="524"/>
      <c r="F1188" s="524"/>
      <c r="G1188" s="524"/>
      <c r="H1188" s="524"/>
      <c r="I1188" s="524"/>
      <c r="J1188" s="524"/>
      <c r="K1188" s="524"/>
      <c r="L1188" s="524"/>
      <c r="M1188" s="524"/>
      <c r="N1188" s="524"/>
      <c r="O1188" s="524"/>
      <c r="P1188" s="524"/>
      <c r="Q1188" s="524"/>
      <c r="R1188" s="524"/>
      <c r="S1188" s="523"/>
      <c r="T1188" s="523"/>
      <c r="U1188" s="523"/>
      <c r="V1188" s="523"/>
      <c r="W1188" s="523"/>
      <c r="X1188" s="521"/>
      <c r="Y1188" s="137"/>
      <c r="Z1188" s="137"/>
    </row>
    <row r="1189" ht="20.25" customHeight="1" spans="1:26" x14ac:dyDescent="0.25">
      <c r="A1189" s="522"/>
      <c r="B1189" s="523"/>
      <c r="C1189" s="523"/>
      <c r="D1189" s="523"/>
      <c r="E1189" s="525"/>
      <c r="F1189" s="525"/>
      <c r="G1189" s="525"/>
      <c r="H1189" s="525"/>
      <c r="I1189" s="525"/>
      <c r="J1189" s="525"/>
      <c r="K1189" s="525"/>
      <c r="L1189" s="525"/>
      <c r="M1189" s="525"/>
      <c r="N1189" s="525"/>
      <c r="O1189" s="525"/>
      <c r="P1189" s="525"/>
      <c r="Q1189" s="525"/>
      <c r="R1189" s="525"/>
      <c r="S1189" s="523"/>
      <c r="T1189" s="523"/>
      <c r="U1189" s="523"/>
      <c r="V1189" s="523"/>
      <c r="W1189" s="523"/>
      <c r="X1189" s="521"/>
      <c r="Y1189" s="137"/>
      <c r="Z1189" s="137"/>
    </row>
    <row r="1190" ht="20.25" customHeight="1" spans="1:26" x14ac:dyDescent="0.25">
      <c r="A1190" s="522"/>
      <c r="B1190" s="523"/>
      <c r="C1190" s="523"/>
      <c r="D1190" s="523"/>
      <c r="E1190" s="526"/>
      <c r="F1190" s="526"/>
      <c r="G1190" s="526"/>
      <c r="H1190" s="526"/>
      <c r="I1190" s="526"/>
      <c r="J1190" s="526"/>
      <c r="K1190" s="526"/>
      <c r="L1190" s="526"/>
      <c r="M1190" s="526"/>
      <c r="N1190" s="526"/>
      <c r="O1190" s="526"/>
      <c r="P1190" s="526"/>
      <c r="Q1190" s="523"/>
      <c r="R1190" s="523"/>
      <c r="S1190" s="523"/>
      <c r="T1190" s="523"/>
      <c r="U1190" s="523"/>
      <c r="V1190" s="523"/>
      <c r="W1190" s="523"/>
      <c r="X1190" s="521"/>
      <c r="Y1190" s="137"/>
      <c r="Z1190" s="137"/>
    </row>
    <row r="1191" ht="20.25" customHeight="1" spans="1:26" x14ac:dyDescent="0.25">
      <c r="A1191" s="519"/>
      <c r="B1191" s="520"/>
      <c r="C1191" s="520"/>
      <c r="D1191" s="520"/>
      <c r="E1191" s="520"/>
      <c r="F1191" s="520"/>
      <c r="G1191" s="520"/>
      <c r="H1191" s="520"/>
      <c r="I1191" s="520"/>
      <c r="J1191" s="520"/>
      <c r="K1191" s="520"/>
      <c r="L1191" s="520"/>
      <c r="M1191" s="520"/>
      <c r="N1191" s="520"/>
      <c r="O1191" s="520"/>
      <c r="P1191" s="520"/>
      <c r="Q1191" s="520"/>
      <c r="R1191" s="520"/>
      <c r="S1191" s="520"/>
      <c r="T1191" s="520"/>
      <c r="U1191" s="520"/>
      <c r="V1191" s="520"/>
      <c r="W1191" s="520"/>
      <c r="X1191" s="521"/>
      <c r="Y1191" s="137"/>
      <c r="Z1191" s="137"/>
    </row>
    <row r="1192" ht="20.25" customHeight="1" spans="1:26" x14ac:dyDescent="0.25">
      <c r="A1192" s="527"/>
      <c r="B1192" s="528" t="s">
        <v>1132</v>
      </c>
      <c r="C1192" s="529"/>
      <c r="D1192" s="529"/>
      <c r="E1192" s="529"/>
      <c r="F1192" s="529"/>
      <c r="G1192" s="530"/>
      <c r="H1192" s="530"/>
      <c r="I1192" s="530"/>
      <c r="J1192" s="530"/>
      <c r="K1192" s="530"/>
      <c r="L1192" s="531"/>
      <c r="M1192" s="137"/>
      <c r="N1192" s="137"/>
      <c r="O1192" s="137"/>
      <c r="P1192" s="137"/>
      <c r="Q1192" s="137"/>
      <c r="R1192" s="137"/>
      <c r="S1192" s="137"/>
      <c r="T1192" s="137"/>
      <c r="U1192" s="137"/>
      <c r="V1192" s="137"/>
      <c r="W1192" s="137"/>
      <c r="X1192" s="521"/>
      <c r="Y1192" s="137"/>
      <c r="Z1192" s="137"/>
    </row>
    <row r="1193" ht="20.25" customHeight="1" spans="1:26" x14ac:dyDescent="0.25">
      <c r="A1193" s="527"/>
      <c r="B1193" s="137"/>
      <c r="C1193" s="137"/>
      <c r="D1193" s="137"/>
      <c r="E1193" s="137"/>
      <c r="F1193" s="137"/>
      <c r="G1193" s="137"/>
      <c r="H1193" s="137"/>
      <c r="I1193" s="137"/>
      <c r="J1193" s="137"/>
      <c r="K1193" s="137"/>
      <c r="L1193" s="137"/>
      <c r="M1193" s="137"/>
      <c r="N1193" s="137"/>
      <c r="O1193" s="137"/>
      <c r="P1193" s="137"/>
      <c r="Q1193" s="137"/>
      <c r="R1193" s="137"/>
      <c r="S1193" s="137"/>
      <c r="T1193" s="137"/>
      <c r="U1193" s="137"/>
      <c r="V1193" s="137"/>
      <c r="W1193" s="137"/>
      <c r="X1193" s="521"/>
      <c r="Y1193" s="137"/>
      <c r="Z1193" s="137"/>
    </row>
    <row r="1194" ht="20.25" customHeight="1" spans="1:26" x14ac:dyDescent="0.25">
      <c r="A1194" s="527"/>
      <c r="B1194" s="137"/>
      <c r="C1194" s="137"/>
      <c r="D1194" s="137"/>
      <c r="E1194" s="166"/>
      <c r="F1194" s="137"/>
      <c r="G1194" s="137"/>
      <c r="H1194" s="137"/>
      <c r="I1194" s="137"/>
      <c r="J1194" s="137"/>
      <c r="K1194" s="137"/>
      <c r="L1194" s="137"/>
      <c r="M1194" s="137"/>
      <c r="N1194" s="137"/>
      <c r="O1194" s="137"/>
      <c r="P1194" s="137"/>
      <c r="Q1194" s="137"/>
      <c r="R1194" s="137"/>
      <c r="S1194" s="137"/>
      <c r="T1194" s="137"/>
      <c r="U1194" s="137"/>
      <c r="V1194" s="137"/>
      <c r="W1194" s="137"/>
      <c r="X1194" s="521"/>
      <c r="Y1194" s="137"/>
      <c r="Z1194" s="137"/>
    </row>
    <row r="1195" ht="20.25" customHeight="1" spans="1:26" x14ac:dyDescent="0.25">
      <c r="A1195" s="527"/>
      <c r="B1195" s="532">
        <f>初期入力!B30</f>
        <v>45741</v>
      </c>
      <c r="C1195" s="532"/>
      <c r="D1195" s="532"/>
      <c r="E1195" s="532"/>
      <c r="F1195" s="170" t="s">
        <v>1133</v>
      </c>
      <c r="G1195" s="170"/>
      <c r="H1195" s="533" t="str">
        <f>初期入力!B3</f>
        <v>大阪市旭区新森　池田様邸新築工事						</v>
      </c>
      <c r="I1195" s="533"/>
      <c r="J1195" s="533"/>
      <c r="K1195" s="533"/>
      <c r="L1195" s="533"/>
      <c r="M1195" s="533"/>
      <c r="N1195" s="533"/>
      <c r="O1195" s="533"/>
      <c r="P1195" s="533"/>
      <c r="Q1195" s="181" t="s">
        <v>1134</v>
      </c>
      <c r="R1195" s="181"/>
      <c r="S1195" s="181"/>
      <c r="T1195" s="137"/>
      <c r="U1195" s="137"/>
      <c r="V1195" s="137"/>
      <c r="W1195" s="137"/>
      <c r="X1195" s="521"/>
      <c r="Y1195" s="137"/>
      <c r="Z1195" s="137"/>
    </row>
    <row r="1196" ht="20.25" customHeight="1" spans="1:26" x14ac:dyDescent="0.25">
      <c r="A1196" s="527"/>
      <c r="B1196" s="166" t="s">
        <v>1135</v>
      </c>
      <c r="C1196" s="534"/>
      <c r="D1196" s="170"/>
      <c r="E1196" s="534"/>
      <c r="F1196" s="181"/>
      <c r="G1196" s="181"/>
      <c r="H1196" s="181"/>
      <c r="I1196" s="181"/>
      <c r="J1196" s="181"/>
      <c r="K1196" s="181"/>
      <c r="L1196" s="181"/>
      <c r="M1196" s="181"/>
      <c r="N1196" s="181"/>
      <c r="O1196" s="181"/>
      <c r="P1196" s="181"/>
      <c r="Q1196" s="181"/>
      <c r="R1196" s="181"/>
      <c r="S1196" s="181"/>
      <c r="T1196" s="137"/>
      <c r="U1196" s="137"/>
      <c r="V1196" s="137"/>
      <c r="W1196" s="137"/>
      <c r="X1196" s="521"/>
      <c r="Y1196" s="137"/>
      <c r="Z1196" s="137"/>
    </row>
    <row r="1197" ht="20.25" customHeight="1" spans="1:26" x14ac:dyDescent="0.25">
      <c r="A1197" s="527"/>
      <c r="B1197" s="166" t="s">
        <v>1136</v>
      </c>
      <c r="C1197" s="534"/>
      <c r="D1197" s="170"/>
      <c r="E1197" s="534"/>
      <c r="F1197" s="181"/>
      <c r="G1197" s="181"/>
      <c r="H1197" s="181"/>
      <c r="I1197" s="181"/>
      <c r="J1197" s="181"/>
      <c r="K1197" s="181"/>
      <c r="L1197" s="181"/>
      <c r="M1197" s="181"/>
      <c r="N1197" s="181"/>
      <c r="O1197" s="181"/>
      <c r="P1197" s="181"/>
      <c r="Q1197" s="181"/>
      <c r="R1197" s="181"/>
      <c r="S1197" s="181"/>
      <c r="T1197" s="137"/>
      <c r="U1197" s="137"/>
      <c r="V1197" s="137"/>
      <c r="W1197" s="137"/>
      <c r="X1197" s="521"/>
      <c r="Y1197" s="137"/>
      <c r="Z1197" s="137"/>
    </row>
    <row r="1198" ht="20.25" customHeight="1" spans="1:26" x14ac:dyDescent="0.25">
      <c r="A1198" s="527"/>
      <c r="B1198" s="166"/>
      <c r="C1198" s="534"/>
      <c r="D1198" s="170"/>
      <c r="E1198" s="534"/>
      <c r="F1198" s="181"/>
      <c r="G1198" s="181"/>
      <c r="H1198" s="181"/>
      <c r="I1198" s="181"/>
      <c r="J1198" s="181"/>
      <c r="K1198" s="181"/>
      <c r="L1198" s="181"/>
      <c r="M1198" s="181"/>
      <c r="N1198" s="181"/>
      <c r="O1198" s="181"/>
      <c r="P1198" s="181"/>
      <c r="Q1198" s="181"/>
      <c r="R1198" s="181"/>
      <c r="S1198" s="181"/>
      <c r="T1198" s="137"/>
      <c r="U1198" s="137"/>
      <c r="V1198" s="137"/>
      <c r="W1198" s="137"/>
      <c r="X1198" s="521"/>
      <c r="Y1198" s="137"/>
      <c r="Z1198" s="137"/>
    </row>
    <row r="1199" ht="20.25" customHeight="1" spans="1:26" x14ac:dyDescent="0.25">
      <c r="A1199" s="527"/>
      <c r="B1199" s="166" t="s">
        <v>1137</v>
      </c>
      <c r="C1199" s="534"/>
      <c r="D1199" s="170"/>
      <c r="E1199" s="534"/>
      <c r="F1199" s="181"/>
      <c r="G1199" s="181"/>
      <c r="H1199" s="181"/>
      <c r="I1199" s="181"/>
      <c r="J1199" s="181"/>
      <c r="K1199" s="181"/>
      <c r="L1199" s="181"/>
      <c r="M1199" s="181"/>
      <c r="N1199" s="181"/>
      <c r="O1199" s="181"/>
      <c r="P1199" s="181"/>
      <c r="Q1199" s="181"/>
      <c r="R1199" s="181"/>
      <c r="S1199" s="181"/>
      <c r="T1199" s="137"/>
      <c r="U1199" s="137"/>
      <c r="V1199" s="137"/>
      <c r="W1199" s="137"/>
      <c r="X1199" s="521"/>
      <c r="Y1199" s="137"/>
      <c r="Z1199" s="137"/>
    </row>
    <row r="1200" ht="20.25" customHeight="1" spans="1:26" x14ac:dyDescent="0.25">
      <c r="A1200" s="527"/>
      <c r="B1200" s="166" t="s">
        <v>1138</v>
      </c>
      <c r="C1200" s="534"/>
      <c r="D1200" s="170"/>
      <c r="E1200" s="534"/>
      <c r="F1200" s="181"/>
      <c r="G1200" s="181"/>
      <c r="H1200" s="181"/>
      <c r="I1200" s="181"/>
      <c r="J1200" s="181"/>
      <c r="K1200" s="181"/>
      <c r="L1200" s="181"/>
      <c r="M1200" s="181"/>
      <c r="N1200" s="181"/>
      <c r="O1200" s="181"/>
      <c r="P1200" s="181"/>
      <c r="Q1200" s="181"/>
      <c r="R1200" s="181"/>
      <c r="S1200" s="181"/>
      <c r="T1200" s="137"/>
      <c r="U1200" s="137"/>
      <c r="V1200" s="137"/>
      <c r="W1200" s="137"/>
      <c r="X1200" s="521"/>
      <c r="Y1200" s="137"/>
      <c r="Z1200" s="137"/>
    </row>
    <row r="1201" ht="20.25" customHeight="1" spans="1:26" x14ac:dyDescent="0.25">
      <c r="A1201" s="527"/>
      <c r="B1201" s="166" t="s">
        <v>1139</v>
      </c>
      <c r="C1201" s="534"/>
      <c r="D1201" s="170"/>
      <c r="E1201" s="534"/>
      <c r="F1201" s="181"/>
      <c r="G1201" s="181"/>
      <c r="H1201" s="181"/>
      <c r="I1201" s="181"/>
      <c r="J1201" s="181"/>
      <c r="K1201" s="181"/>
      <c r="L1201" s="181"/>
      <c r="M1201" s="181"/>
      <c r="N1201" s="181"/>
      <c r="O1201" s="181"/>
      <c r="P1201" s="181"/>
      <c r="Q1201" s="181"/>
      <c r="R1201" s="181"/>
      <c r="S1201" s="181"/>
      <c r="T1201" s="137"/>
      <c r="U1201" s="137"/>
      <c r="V1201" s="137"/>
      <c r="W1201" s="137"/>
      <c r="X1201" s="521"/>
      <c r="Y1201" s="137"/>
      <c r="Z1201" s="137"/>
    </row>
    <row r="1202" ht="20.25" customHeight="1" spans="1:26" x14ac:dyDescent="0.25">
      <c r="A1202" s="527"/>
      <c r="B1202" s="166"/>
      <c r="C1202" s="534"/>
      <c r="D1202" s="170"/>
      <c r="E1202" s="534"/>
      <c r="F1202" s="181"/>
      <c r="G1202" s="181"/>
      <c r="H1202" s="181"/>
      <c r="I1202" s="181"/>
      <c r="J1202" s="181"/>
      <c r="K1202" s="181"/>
      <c r="L1202" s="181"/>
      <c r="M1202" s="181"/>
      <c r="N1202" s="181"/>
      <c r="O1202" s="181"/>
      <c r="P1202" s="181"/>
      <c r="Q1202" s="181"/>
      <c r="R1202" s="181"/>
      <c r="S1202" s="181"/>
      <c r="T1202" s="137"/>
      <c r="U1202" s="137"/>
      <c r="V1202" s="137"/>
      <c r="W1202" s="137"/>
      <c r="X1202" s="521"/>
      <c r="Y1202" s="137"/>
      <c r="Z1202" s="137"/>
    </row>
    <row r="1203" ht="20.25" customHeight="1" spans="1:26" x14ac:dyDescent="0.25">
      <c r="A1203" s="527"/>
      <c r="B1203" s="166"/>
      <c r="C1203" s="534"/>
      <c r="D1203" s="170"/>
      <c r="E1203" s="534"/>
      <c r="F1203" s="181"/>
      <c r="G1203" s="181"/>
      <c r="H1203" s="181"/>
      <c r="I1203" s="181"/>
      <c r="J1203" s="181"/>
      <c r="K1203" s="181"/>
      <c r="L1203" s="181"/>
      <c r="M1203" s="181"/>
      <c r="N1203" s="181"/>
      <c r="O1203" s="181"/>
      <c r="P1203" s="181"/>
      <c r="Q1203" s="181"/>
      <c r="R1203" s="181"/>
      <c r="S1203" s="181"/>
      <c r="T1203" s="137"/>
      <c r="U1203" s="137"/>
      <c r="V1203" s="137"/>
      <c r="W1203" s="137"/>
      <c r="X1203" s="521"/>
      <c r="Y1203" s="137"/>
      <c r="Z1203" s="137"/>
    </row>
    <row r="1204" ht="20.25" customHeight="1" spans="1:26" x14ac:dyDescent="0.25">
      <c r="A1204" s="527"/>
      <c r="B1204" s="166"/>
      <c r="C1204" s="534"/>
      <c r="D1204" s="170"/>
      <c r="E1204" s="534"/>
      <c r="F1204" s="137"/>
      <c r="G1204" s="137"/>
      <c r="H1204" s="137"/>
      <c r="I1204" s="137"/>
      <c r="J1204" s="137"/>
      <c r="K1204" s="137"/>
      <c r="L1204" s="137"/>
      <c r="M1204" s="137"/>
      <c r="N1204" s="137"/>
      <c r="O1204" s="137"/>
      <c r="P1204" s="137"/>
      <c r="Q1204" s="137"/>
      <c r="R1204" s="137"/>
      <c r="S1204" s="137"/>
      <c r="T1204" s="137"/>
      <c r="U1204" s="137"/>
      <c r="V1204" s="137"/>
      <c r="W1204" s="137"/>
      <c r="X1204" s="521"/>
      <c r="Y1204" s="137"/>
      <c r="Z1204" s="137"/>
    </row>
    <row r="1205" ht="20.25" customHeight="1" spans="1:26" x14ac:dyDescent="0.25">
      <c r="A1205" s="527"/>
      <c r="B1205" s="166" t="s">
        <v>1140</v>
      </c>
      <c r="C1205" s="534"/>
      <c r="D1205" s="170"/>
      <c r="E1205" s="534"/>
      <c r="F1205" s="137"/>
      <c r="G1205" s="137"/>
      <c r="H1205" s="137"/>
      <c r="I1205" s="137"/>
      <c r="J1205" s="137"/>
      <c r="K1205" s="137"/>
      <c r="L1205" s="137"/>
      <c r="M1205" s="137"/>
      <c r="N1205" s="137"/>
      <c r="O1205" s="137"/>
      <c r="P1205" s="137"/>
      <c r="Q1205" s="137"/>
      <c r="R1205" s="137"/>
      <c r="S1205" s="137"/>
      <c r="T1205" s="137"/>
      <c r="U1205" s="137"/>
      <c r="V1205" s="137"/>
      <c r="W1205" s="137"/>
      <c r="X1205" s="521"/>
      <c r="Y1205" s="137"/>
      <c r="Z1205" s="137"/>
    </row>
    <row r="1206" ht="20.25" customHeight="1" spans="1:26" x14ac:dyDescent="0.25">
      <c r="A1206" s="527"/>
      <c r="B1206" s="137" t="s">
        <v>1141</v>
      </c>
      <c r="C1206" s="137"/>
      <c r="D1206" s="137"/>
      <c r="E1206" s="137"/>
      <c r="F1206" s="137"/>
      <c r="G1206" s="137"/>
      <c r="H1206" s="137"/>
      <c r="I1206" s="137"/>
      <c r="J1206" s="137"/>
      <c r="K1206" s="137"/>
      <c r="L1206" s="137"/>
      <c r="M1206" s="137"/>
      <c r="N1206" s="137"/>
      <c r="O1206" s="137"/>
      <c r="P1206" s="137"/>
      <c r="Q1206" s="137"/>
      <c r="R1206" s="137"/>
      <c r="S1206" s="137"/>
      <c r="T1206" s="137"/>
      <c r="U1206" s="137"/>
      <c r="V1206" s="137"/>
      <c r="W1206" s="137"/>
      <c r="X1206" s="521"/>
      <c r="Y1206" s="137"/>
      <c r="Z1206" s="137"/>
    </row>
    <row r="1207" ht="20.25" customHeight="1" spans="1:26" x14ac:dyDescent="0.25">
      <c r="A1207" s="527"/>
      <c r="B1207" s="166" t="s">
        <v>1142</v>
      </c>
      <c r="C1207" s="534"/>
      <c r="D1207" s="170"/>
      <c r="E1207" s="534"/>
      <c r="F1207" s="137"/>
      <c r="G1207" s="137"/>
      <c r="H1207" s="137"/>
      <c r="I1207" s="137"/>
      <c r="J1207" s="137"/>
      <c r="K1207" s="137"/>
      <c r="L1207" s="137"/>
      <c r="M1207" s="137"/>
      <c r="N1207" s="137"/>
      <c r="O1207" s="137"/>
      <c r="P1207" s="137"/>
      <c r="Q1207" s="137"/>
      <c r="R1207" s="137"/>
      <c r="S1207" s="137"/>
      <c r="T1207" s="137"/>
      <c r="U1207" s="137"/>
      <c r="V1207" s="137"/>
      <c r="W1207" s="137"/>
      <c r="X1207" s="521"/>
      <c r="Y1207" s="137"/>
      <c r="Z1207" s="137"/>
    </row>
    <row r="1208" ht="20.25" customHeight="1" spans="1:26" x14ac:dyDescent="0.25">
      <c r="A1208" s="527"/>
      <c r="B1208" s="166"/>
      <c r="C1208" s="534"/>
      <c r="D1208" s="170"/>
      <c r="E1208" s="534"/>
      <c r="F1208" s="137"/>
      <c r="G1208" s="137"/>
      <c r="H1208" s="137"/>
      <c r="I1208" s="137"/>
      <c r="J1208" s="137"/>
      <c r="K1208" s="137"/>
      <c r="L1208" s="137"/>
      <c r="M1208" s="137"/>
      <c r="N1208" s="137"/>
      <c r="O1208" s="137"/>
      <c r="P1208" s="137"/>
      <c r="Q1208" s="137"/>
      <c r="R1208" s="137"/>
      <c r="S1208" s="137"/>
      <c r="T1208" s="137"/>
      <c r="U1208" s="137"/>
      <c r="V1208" s="137"/>
      <c r="W1208" s="137"/>
      <c r="X1208" s="521"/>
      <c r="Y1208" s="137"/>
      <c r="Z1208" s="137"/>
    </row>
    <row r="1209" ht="20.25" customHeight="1" spans="1:26" x14ac:dyDescent="0.25">
      <c r="A1209" s="527"/>
      <c r="B1209" s="166" t="s">
        <v>1143</v>
      </c>
      <c r="C1209" s="166"/>
      <c r="D1209" s="166"/>
      <c r="E1209" s="166"/>
      <c r="F1209" s="535"/>
      <c r="G1209" s="535"/>
      <c r="H1209" s="535"/>
      <c r="I1209" s="535"/>
      <c r="J1209" s="535"/>
      <c r="K1209" s="166"/>
      <c r="L1209" s="535"/>
      <c r="M1209" s="535"/>
      <c r="N1209" s="535"/>
      <c r="O1209" s="535"/>
      <c r="P1209" s="535"/>
      <c r="Q1209" s="535"/>
      <c r="R1209" s="137"/>
      <c r="S1209" s="137"/>
      <c r="T1209" s="137"/>
      <c r="U1209" s="137"/>
      <c r="V1209" s="137"/>
      <c r="W1209" s="137"/>
      <c r="X1209" s="521"/>
      <c r="Y1209" s="137"/>
      <c r="Z1209" s="137"/>
    </row>
    <row r="1210" ht="20.25" customHeight="1" spans="1:26" x14ac:dyDescent="0.25">
      <c r="A1210" s="527"/>
      <c r="B1210" s="166" t="s">
        <v>1144</v>
      </c>
      <c r="C1210" s="535"/>
      <c r="D1210" s="535"/>
      <c r="E1210" s="535"/>
      <c r="F1210" s="535"/>
      <c r="G1210" s="535"/>
      <c r="H1210" s="535"/>
      <c r="I1210" s="535"/>
      <c r="J1210" s="535"/>
      <c r="K1210" s="166"/>
      <c r="L1210" s="535"/>
      <c r="M1210" s="535"/>
      <c r="N1210" s="535"/>
      <c r="O1210" s="535"/>
      <c r="P1210" s="535"/>
      <c r="Q1210" s="535"/>
      <c r="R1210" s="137"/>
      <c r="S1210" s="137"/>
      <c r="T1210" s="137"/>
      <c r="U1210" s="137"/>
      <c r="V1210" s="137"/>
      <c r="W1210" s="137"/>
      <c r="X1210" s="521"/>
      <c r="Y1210" s="137"/>
      <c r="Z1210" s="137"/>
    </row>
    <row r="1211" ht="20.25" customHeight="1" spans="1:26" x14ac:dyDescent="0.25">
      <c r="A1211" s="527"/>
      <c r="B1211" s="166" t="s">
        <v>1145</v>
      </c>
      <c r="C1211" s="166"/>
      <c r="D1211" s="166"/>
      <c r="E1211" s="166"/>
      <c r="F1211" s="166"/>
      <c r="G1211" s="166"/>
      <c r="H1211" s="166"/>
      <c r="I1211" s="166"/>
      <c r="J1211" s="166"/>
      <c r="K1211" s="166"/>
      <c r="L1211" s="166"/>
      <c r="M1211" s="166"/>
      <c r="N1211" s="166"/>
      <c r="O1211" s="166"/>
      <c r="P1211" s="166"/>
      <c r="Q1211" s="166"/>
      <c r="R1211" s="535"/>
      <c r="S1211" s="535"/>
      <c r="T1211" s="137"/>
      <c r="U1211" s="137"/>
      <c r="V1211" s="137"/>
      <c r="W1211" s="137"/>
      <c r="X1211" s="521"/>
      <c r="Y1211" s="137"/>
      <c r="Z1211" s="137"/>
    </row>
    <row r="1212" ht="20.25" customHeight="1" spans="1:26" x14ac:dyDescent="0.25">
      <c r="A1212" s="527"/>
      <c r="B1212" s="137"/>
      <c r="C1212" s="535"/>
      <c r="D1212" s="535"/>
      <c r="E1212" s="535"/>
      <c r="F1212" s="535"/>
      <c r="G1212" s="535"/>
      <c r="H1212" s="535"/>
      <c r="I1212" s="535"/>
      <c r="J1212" s="535"/>
      <c r="K1212" s="535"/>
      <c r="L1212" s="535"/>
      <c r="M1212" s="535"/>
      <c r="N1212" s="535"/>
      <c r="O1212" s="535"/>
      <c r="P1212" s="535"/>
      <c r="Q1212" s="535"/>
      <c r="R1212" s="535"/>
      <c r="S1212" s="535"/>
      <c r="T1212" s="137"/>
      <c r="U1212" s="137"/>
      <c r="V1212" s="137"/>
      <c r="W1212" s="137"/>
      <c r="X1212" s="521"/>
      <c r="Y1212" s="137"/>
      <c r="Z1212" s="137"/>
    </row>
    <row r="1213" ht="20.25" customHeight="1" spans="1:26" x14ac:dyDescent="0.25">
      <c r="A1213" s="527"/>
      <c r="B1213" s="137" t="s">
        <v>1146</v>
      </c>
      <c r="C1213" s="535"/>
      <c r="D1213" s="535"/>
      <c r="E1213" s="535"/>
      <c r="F1213" s="535"/>
      <c r="G1213" s="535"/>
      <c r="H1213" s="535"/>
      <c r="I1213" s="535"/>
      <c r="J1213" s="535"/>
      <c r="K1213" s="535"/>
      <c r="L1213" s="535"/>
      <c r="M1213" s="535"/>
      <c r="N1213" s="535"/>
      <c r="O1213" s="535"/>
      <c r="P1213" s="535"/>
      <c r="Q1213" s="535"/>
      <c r="R1213" s="535"/>
      <c r="S1213" s="535"/>
      <c r="T1213" s="137"/>
      <c r="U1213" s="137"/>
      <c r="V1213" s="137"/>
      <c r="W1213" s="137"/>
      <c r="X1213" s="521"/>
      <c r="Y1213" s="137"/>
      <c r="Z1213" s="137"/>
    </row>
    <row r="1214" ht="20.25" customHeight="1" spans="1:26" x14ac:dyDescent="0.25">
      <c r="A1214" s="527"/>
      <c r="B1214" s="137" t="s">
        <v>1147</v>
      </c>
      <c r="C1214" s="535"/>
      <c r="D1214" s="535"/>
      <c r="E1214" s="535"/>
      <c r="F1214" s="535"/>
      <c r="G1214" s="535"/>
      <c r="H1214" s="535"/>
      <c r="I1214" s="535"/>
      <c r="J1214" s="535"/>
      <c r="K1214" s="535"/>
      <c r="L1214" s="535"/>
      <c r="M1214" s="535"/>
      <c r="N1214" s="535"/>
      <c r="O1214" s="535"/>
      <c r="P1214" s="535"/>
      <c r="Q1214" s="535"/>
      <c r="R1214" s="535"/>
      <c r="S1214" s="535"/>
      <c r="T1214" s="137"/>
      <c r="U1214" s="137"/>
      <c r="V1214" s="137"/>
      <c r="W1214" s="137"/>
      <c r="X1214" s="521"/>
      <c r="Y1214" s="137"/>
      <c r="Z1214" s="137"/>
    </row>
    <row r="1215" ht="20.25" customHeight="1" spans="1:26" x14ac:dyDescent="0.25">
      <c r="A1215" s="527"/>
      <c r="B1215" s="137"/>
      <c r="C1215" s="535"/>
      <c r="D1215" s="535"/>
      <c r="E1215" s="535"/>
      <c r="F1215" s="535"/>
      <c r="G1215" s="535"/>
      <c r="H1215" s="535"/>
      <c r="I1215" s="535"/>
      <c r="J1215" s="535"/>
      <c r="K1215" s="535"/>
      <c r="L1215" s="535"/>
      <c r="M1215" s="535"/>
      <c r="N1215" s="535"/>
      <c r="O1215" s="535"/>
      <c r="P1215" s="535"/>
      <c r="Q1215" s="535"/>
      <c r="R1215" s="535"/>
      <c r="S1215" s="535"/>
      <c r="T1215" s="137"/>
      <c r="U1215" s="137"/>
      <c r="V1215" s="137"/>
      <c r="W1215" s="137"/>
      <c r="X1215" s="521"/>
      <c r="Y1215" s="137"/>
      <c r="Z1215" s="137"/>
    </row>
    <row r="1216" ht="20.25" customHeight="1" spans="1:26" x14ac:dyDescent="0.25">
      <c r="A1216" s="527"/>
      <c r="B1216" s="137" t="s">
        <v>1148</v>
      </c>
      <c r="C1216" s="137"/>
      <c r="D1216" s="137"/>
      <c r="E1216" s="137"/>
      <c r="F1216" s="137"/>
      <c r="G1216" s="137"/>
      <c r="H1216" s="137"/>
      <c r="I1216" s="137"/>
      <c r="J1216" s="137"/>
      <c r="K1216" s="137"/>
      <c r="L1216" s="137"/>
      <c r="M1216" s="137"/>
      <c r="N1216" s="137"/>
      <c r="O1216" s="137"/>
      <c r="P1216" s="137"/>
      <c r="Q1216" s="137"/>
      <c r="R1216" s="137"/>
      <c r="S1216" s="137"/>
      <c r="T1216" s="137"/>
      <c r="U1216" s="137"/>
      <c r="V1216" s="137"/>
      <c r="W1216" s="137"/>
      <c r="X1216" s="521"/>
      <c r="Y1216" s="137"/>
      <c r="Z1216" s="137"/>
    </row>
    <row r="1217" ht="20.25" customHeight="1" spans="1:26" x14ac:dyDescent="0.25">
      <c r="A1217" s="527"/>
      <c r="B1217" s="137" t="s">
        <v>1149</v>
      </c>
      <c r="C1217" s="137"/>
      <c r="D1217" s="137"/>
      <c r="E1217" s="137"/>
      <c r="F1217" s="137"/>
      <c r="G1217" s="137"/>
      <c r="H1217" s="137"/>
      <c r="I1217" s="137"/>
      <c r="J1217" s="137"/>
      <c r="K1217" s="137"/>
      <c r="L1217" s="535"/>
      <c r="M1217" s="535"/>
      <c r="N1217" s="535"/>
      <c r="O1217" s="535"/>
      <c r="P1217" s="535"/>
      <c r="Q1217" s="535"/>
      <c r="R1217" s="535"/>
      <c r="S1217" s="535"/>
      <c r="T1217" s="137"/>
      <c r="U1217" s="137"/>
      <c r="V1217" s="137"/>
      <c r="W1217" s="137"/>
      <c r="X1217" s="521"/>
      <c r="Y1217" s="137"/>
      <c r="Z1217" s="137"/>
    </row>
    <row r="1218" ht="20.25" customHeight="1" spans="1:26" x14ac:dyDescent="0.25">
      <c r="A1218" s="527"/>
      <c r="B1218" s="137"/>
      <c r="C1218" s="137"/>
      <c r="D1218" s="137"/>
      <c r="E1218" s="137"/>
      <c r="F1218" s="137"/>
      <c r="G1218" s="137"/>
      <c r="H1218" s="137"/>
      <c r="I1218" s="137"/>
      <c r="J1218" s="137"/>
      <c r="K1218" s="137"/>
      <c r="L1218" s="535"/>
      <c r="M1218" s="535"/>
      <c r="N1218" s="535"/>
      <c r="O1218" s="535"/>
      <c r="P1218" s="535"/>
      <c r="Q1218" s="535"/>
      <c r="R1218" s="535"/>
      <c r="S1218" s="535"/>
      <c r="T1218" s="137"/>
      <c r="U1218" s="137"/>
      <c r="V1218" s="137"/>
      <c r="W1218" s="137"/>
      <c r="X1218" s="521"/>
      <c r="Y1218" s="137"/>
      <c r="Z1218" s="137"/>
    </row>
    <row r="1219" ht="20.25" customHeight="1" spans="1:26" x14ac:dyDescent="0.25">
      <c r="A1219" s="527"/>
      <c r="B1219" s="166"/>
      <c r="C1219" s="535"/>
      <c r="D1219" s="535"/>
      <c r="E1219" s="535"/>
      <c r="F1219" s="535"/>
      <c r="G1219" s="535"/>
      <c r="H1219" s="535"/>
      <c r="I1219" s="535"/>
      <c r="J1219" s="535"/>
      <c r="K1219" s="166"/>
      <c r="L1219" s="535"/>
      <c r="M1219" s="535"/>
      <c r="N1219" s="535"/>
      <c r="O1219" s="535"/>
      <c r="P1219" s="535"/>
      <c r="Q1219" s="535"/>
      <c r="R1219" s="360" t="s">
        <v>943</v>
      </c>
      <c r="S1219" s="360"/>
      <c r="T1219" s="137"/>
      <c r="U1219" s="137"/>
      <c r="V1219" s="137"/>
      <c r="W1219" s="137"/>
      <c r="X1219" s="521"/>
      <c r="Y1219" s="137"/>
      <c r="Z1219" s="137"/>
    </row>
    <row r="1220" ht="20.25" customHeight="1" spans="1:26" x14ac:dyDescent="0.25">
      <c r="A1220" s="527"/>
      <c r="B1220" s="536"/>
      <c r="C1220" s="536"/>
      <c r="D1220" s="536"/>
      <c r="E1220" s="536"/>
      <c r="F1220" s="536"/>
      <c r="G1220" s="536"/>
      <c r="H1220" s="536"/>
      <c r="I1220" s="536"/>
      <c r="J1220" s="536"/>
      <c r="K1220" s="537"/>
      <c r="L1220" s="537"/>
      <c r="M1220" s="538"/>
      <c r="N1220" s="538"/>
      <c r="O1220" s="538"/>
      <c r="P1220" s="538"/>
      <c r="Q1220" s="538"/>
      <c r="R1220" s="536"/>
      <c r="S1220" s="536"/>
      <c r="T1220" s="137"/>
      <c r="U1220" s="137"/>
      <c r="V1220" s="137"/>
      <c r="W1220" s="137"/>
      <c r="X1220" s="521"/>
      <c r="Y1220" s="137"/>
      <c r="Z1220" s="137"/>
    </row>
    <row r="1221" ht="20.25" customHeight="1" spans="1:26" x14ac:dyDescent="0.25">
      <c r="A1221" s="527"/>
      <c r="B1221" s="196" t="s">
        <v>1150</v>
      </c>
      <c r="C1221" s="196"/>
      <c r="D1221" s="196"/>
      <c r="E1221" s="196"/>
      <c r="F1221" s="196"/>
      <c r="G1221" s="196"/>
      <c r="H1221" s="536"/>
      <c r="I1221" s="536"/>
      <c r="J1221" s="536"/>
      <c r="K1221" s="311"/>
      <c r="L1221" s="539"/>
      <c r="M1221" s="538"/>
      <c r="N1221" s="538"/>
      <c r="O1221" s="538"/>
      <c r="P1221" s="538"/>
      <c r="Q1221" s="538"/>
      <c r="R1221" s="536"/>
      <c r="S1221" s="540"/>
      <c r="T1221" s="137"/>
      <c r="U1221" s="137"/>
      <c r="V1221" s="137"/>
      <c r="W1221" s="137"/>
      <c r="X1221" s="521"/>
      <c r="Y1221" s="137"/>
      <c r="Z1221" s="137"/>
    </row>
    <row r="1222" ht="20.25" customHeight="1" spans="1:26" x14ac:dyDescent="0.25">
      <c r="A1222" s="527"/>
      <c r="B1222" s="541"/>
      <c r="C1222" s="541"/>
      <c r="D1222" s="541"/>
      <c r="E1222" s="541"/>
      <c r="F1222" s="541"/>
      <c r="G1222" s="541"/>
      <c r="H1222" s="541"/>
      <c r="I1222" s="541"/>
      <c r="J1222" s="541"/>
      <c r="K1222" s="541"/>
      <c r="L1222" s="541"/>
      <c r="M1222" s="541"/>
      <c r="N1222" s="541"/>
      <c r="O1222" s="541"/>
      <c r="P1222" s="541"/>
      <c r="Q1222" s="538"/>
      <c r="R1222" s="536"/>
      <c r="S1222" s="540"/>
      <c r="T1222" s="137"/>
      <c r="U1222" s="137"/>
      <c r="V1222" s="137"/>
      <c r="W1222" s="137"/>
      <c r="X1222" s="521"/>
      <c r="Y1222" s="137"/>
      <c r="Z1222" s="137"/>
    </row>
    <row r="1223" ht="20.25" customHeight="1" spans="1:26" x14ac:dyDescent="0.25">
      <c r="A1223" s="527"/>
      <c r="B1223" s="541"/>
      <c r="C1223" s="541"/>
      <c r="D1223" s="541"/>
      <c r="E1223" s="541"/>
      <c r="F1223" s="541"/>
      <c r="G1223" s="541"/>
      <c r="H1223" s="541"/>
      <c r="I1223" s="541"/>
      <c r="J1223" s="541"/>
      <c r="K1223" s="541"/>
      <c r="L1223" s="541"/>
      <c r="M1223" s="541"/>
      <c r="N1223" s="541"/>
      <c r="O1223" s="541"/>
      <c r="P1223" s="541"/>
      <c r="Q1223" s="538"/>
      <c r="R1223" s="536"/>
      <c r="S1223" s="540"/>
      <c r="T1223" s="137"/>
      <c r="U1223" s="137"/>
      <c r="V1223" s="137"/>
      <c r="W1223" s="137"/>
      <c r="X1223" s="521"/>
      <c r="Y1223" s="137"/>
      <c r="Z1223" s="137"/>
    </row>
    <row r="1224" ht="20.25" customHeight="1" spans="1:26" x14ac:dyDescent="0.25">
      <c r="A1224" s="527"/>
      <c r="B1224" s="542"/>
      <c r="C1224" s="542"/>
      <c r="D1224" s="542"/>
      <c r="E1224" s="542"/>
      <c r="F1224" s="536"/>
      <c r="G1224" s="536"/>
      <c r="H1224" s="536"/>
      <c r="I1224" s="536"/>
      <c r="J1224" s="540" t="s">
        <v>1151</v>
      </c>
      <c r="K1224" s="540"/>
      <c r="L1224" s="540"/>
      <c r="M1224" s="538"/>
      <c r="N1224" s="538"/>
      <c r="O1224" s="538"/>
      <c r="P1224" s="538"/>
      <c r="Q1224" s="538"/>
      <c r="R1224" s="536"/>
      <c r="S1224" s="540"/>
      <c r="T1224" s="137"/>
      <c r="U1224" s="137"/>
      <c r="V1224" s="137"/>
      <c r="W1224" s="137"/>
      <c r="X1224" s="521"/>
      <c r="Y1224" s="137"/>
      <c r="Z1224" s="137"/>
    </row>
    <row r="1225" ht="20.25" customHeight="1" spans="1:26" x14ac:dyDescent="0.25">
      <c r="A1225" s="527"/>
      <c r="B1225" s="543" t="s">
        <v>1152</v>
      </c>
      <c r="C1225" s="543"/>
      <c r="D1225" s="544" t="s">
        <v>1153</v>
      </c>
      <c r="E1225" s="544"/>
      <c r="F1225" s="544"/>
      <c r="G1225" s="544"/>
      <c r="H1225" s="545"/>
      <c r="I1225" s="543"/>
      <c r="J1225" s="546"/>
      <c r="K1225" s="546"/>
      <c r="L1225" s="546"/>
      <c r="M1225" s="547" t="s">
        <v>1153</v>
      </c>
      <c r="N1225" s="547"/>
      <c r="O1225" s="547"/>
      <c r="P1225" s="547"/>
      <c r="Q1225" s="547"/>
      <c r="R1225" s="547"/>
      <c r="S1225" s="546"/>
      <c r="T1225" s="137"/>
      <c r="U1225" s="137"/>
      <c r="V1225" s="137"/>
      <c r="W1225" s="137"/>
      <c r="X1225" s="521"/>
      <c r="Y1225" s="137"/>
      <c r="Z1225" s="137"/>
    </row>
    <row r="1226" ht="20.25" customHeight="1" spans="1:26" x14ac:dyDescent="0.25">
      <c r="A1226" s="527"/>
      <c r="B1226" s="542"/>
      <c r="C1226" s="542"/>
      <c r="D1226" s="542"/>
      <c r="E1226" s="542"/>
      <c r="F1226" s="536"/>
      <c r="G1226" s="536"/>
      <c r="H1226" s="536"/>
      <c r="I1226" s="536"/>
      <c r="J1226" s="536"/>
      <c r="K1226" s="548"/>
      <c r="L1226" s="548"/>
      <c r="M1226" s="548"/>
      <c r="N1226" s="548"/>
      <c r="O1226" s="548"/>
      <c r="P1226" s="538"/>
      <c r="Q1226" s="538"/>
      <c r="R1226" s="536"/>
      <c r="S1226" s="540"/>
      <c r="T1226" s="137"/>
      <c r="U1226" s="137"/>
      <c r="V1226" s="137"/>
      <c r="W1226" s="137"/>
      <c r="X1226" s="521"/>
      <c r="Y1226" s="137"/>
      <c r="Z1226" s="137"/>
    </row>
    <row r="1227" ht="20.25" customHeight="1" spans="1:26" x14ac:dyDescent="0.25">
      <c r="A1227" s="527"/>
      <c r="B1227" s="536"/>
      <c r="C1227" s="536"/>
      <c r="D1227" s="536"/>
      <c r="E1227" s="536"/>
      <c r="F1227" s="536"/>
      <c r="G1227" s="536"/>
      <c r="H1227" s="536"/>
      <c r="I1227" s="536"/>
      <c r="J1227" s="536"/>
      <c r="K1227" s="166"/>
      <c r="L1227" s="535"/>
      <c r="M1227" s="536"/>
      <c r="N1227" s="536"/>
      <c r="O1227" s="536"/>
      <c r="P1227" s="536"/>
      <c r="Q1227" s="536"/>
      <c r="R1227" s="536"/>
      <c r="S1227" s="549"/>
      <c r="T1227" s="137"/>
      <c r="U1227" s="137"/>
      <c r="V1227" s="137"/>
      <c r="W1227" s="137"/>
      <c r="X1227" s="521"/>
      <c r="Y1227" s="137"/>
      <c r="Z1227" s="137"/>
    </row>
    <row r="1228" ht="20.25" customHeight="1" spans="1:26" x14ac:dyDescent="0.25">
      <c r="A1228" s="550"/>
      <c r="B1228" s="551"/>
      <c r="C1228" s="551"/>
      <c r="D1228" s="551"/>
      <c r="E1228" s="551"/>
      <c r="F1228" s="551"/>
      <c r="G1228" s="551"/>
      <c r="H1228" s="551"/>
      <c r="I1228" s="551"/>
      <c r="J1228" s="551"/>
      <c r="K1228" s="551"/>
      <c r="L1228" s="551"/>
      <c r="M1228" s="551"/>
      <c r="N1228" s="551"/>
      <c r="O1228" s="551"/>
      <c r="P1228" s="552"/>
      <c r="Q1228" s="551"/>
      <c r="R1228" s="552" t="s">
        <v>1154</v>
      </c>
      <c r="S1228" s="553"/>
      <c r="T1228" s="551"/>
      <c r="U1228" s="551"/>
      <c r="V1228" s="551"/>
      <c r="W1228" s="551"/>
      <c r="X1228" s="554"/>
      <c r="Y1228" s="137"/>
      <c r="Z1228" s="137"/>
    </row>
    <row r="1229" ht="20.25" customHeight="1" x14ac:dyDescent="0.25"/>
    <row r="1230" ht="20.25" customHeight="1" x14ac:dyDescent="0.25"/>
    <row r="1231" ht="20.25" customHeight="1" x14ac:dyDescent="0.25"/>
    <row r="1232" ht="20.25" customHeight="1" x14ac:dyDescent="0.25"/>
    <row r="1233" ht="20.25" customHeight="1" x14ac:dyDescent="0.25"/>
    <row r="1234" ht="20.25" customHeight="1" x14ac:dyDescent="0.25"/>
    <row r="1235" ht="20.25" customHeight="1" x14ac:dyDescent="0.25"/>
    <row r="1236" ht="20.25" customHeight="1" x14ac:dyDescent="0.25"/>
    <row r="1237" ht="20.25" customHeight="1" x14ac:dyDescent="0.25"/>
    <row r="1238" ht="20.25" customHeight="1" x14ac:dyDescent="0.25"/>
    <row r="1239" ht="20.25" customHeight="1" x14ac:dyDescent="0.25"/>
    <row r="1240" ht="20.25" customHeight="1" x14ac:dyDescent="0.25"/>
    <row r="1241" ht="20.25" customHeight="1" x14ac:dyDescent="0.25"/>
    <row r="1242" ht="20.25" customHeight="1" x14ac:dyDescent="0.25"/>
    <row r="1243" ht="20.25" customHeight="1" x14ac:dyDescent="0.25"/>
    <row r="1244" ht="20.25" customHeight="1" x14ac:dyDescent="0.25"/>
    <row r="1245" ht="20.25" customHeight="1" x14ac:dyDescent="0.25"/>
    <row r="1246" ht="20.25" customHeight="1" x14ac:dyDescent="0.25"/>
    <row r="1247" ht="20.25" customHeight="1" x14ac:dyDescent="0.25"/>
    <row r="1248" ht="20.25" customHeight="1" x14ac:dyDescent="0.25"/>
    <row r="1249" ht="20.25" customHeight="1" x14ac:dyDescent="0.25"/>
    <row r="1250" ht="20.25" customHeight="1" x14ac:dyDescent="0.25"/>
    <row r="1251" ht="20.25" customHeight="1" x14ac:dyDescent="0.25"/>
    <row r="1252" ht="20.25" customHeight="1" x14ac:dyDescent="0.25"/>
    <row r="1253" ht="20.25" customHeight="1" x14ac:dyDescent="0.25"/>
    <row r="1254" ht="20.25" customHeight="1" x14ac:dyDescent="0.25"/>
    <row r="1255" ht="20.25" customHeight="1" x14ac:dyDescent="0.25"/>
    <row r="1256" ht="20.25" customHeight="1" x14ac:dyDescent="0.25"/>
    <row r="1257" ht="20.25" customHeight="1" x14ac:dyDescent="0.25"/>
    <row r="1258" ht="20.25" customHeight="1" x14ac:dyDescent="0.25"/>
    <row r="1259" ht="20.25" customHeight="1" x14ac:dyDescent="0.25"/>
    <row r="1260" ht="20.25" customHeight="1" x14ac:dyDescent="0.25"/>
    <row r="1261" ht="20.25" customHeight="1" x14ac:dyDescent="0.25"/>
    <row r="1262" ht="20.25" customHeight="1" x14ac:dyDescent="0.25"/>
    <row r="1263" ht="20.25" customHeight="1" x14ac:dyDescent="0.25"/>
    <row r="1264" ht="20.25" customHeight="1" x14ac:dyDescent="0.25"/>
    <row r="1265" ht="20.25" customHeight="1" x14ac:dyDescent="0.25"/>
    <row r="1266" ht="20.25" customHeight="1" x14ac:dyDescent="0.25"/>
    <row r="1267" ht="20.25" customHeight="1" x14ac:dyDescent="0.25"/>
    <row r="1268" ht="20.25" customHeight="1" x14ac:dyDescent="0.25"/>
    <row r="1269" ht="20.25" customHeight="1" x14ac:dyDescent="0.25"/>
    <row r="1270" ht="20.25" customHeight="1" x14ac:dyDescent="0.25"/>
    <row r="1271" ht="20.25" customHeight="1" x14ac:dyDescent="0.25"/>
    <row r="1272" ht="20.25" customHeight="1" x14ac:dyDescent="0.25"/>
    <row r="1273" ht="20.25" customHeight="1" x14ac:dyDescent="0.25"/>
    <row r="1274" ht="20.25" customHeight="1" x14ac:dyDescent="0.25"/>
    <row r="1275" ht="20.25" customHeight="1" x14ac:dyDescent="0.25"/>
    <row r="1276" ht="20.25" customHeight="1" x14ac:dyDescent="0.25"/>
    <row r="1277" ht="20.25" customHeight="1" x14ac:dyDescent="0.25"/>
    <row r="1278" ht="20.25" customHeight="1" x14ac:dyDescent="0.25"/>
    <row r="1279" ht="20.25" customHeight="1" x14ac:dyDescent="0.25"/>
    <row r="1280" ht="20.25" customHeight="1" x14ac:dyDescent="0.25"/>
    <row r="1281" ht="20.25" customHeight="1" x14ac:dyDescent="0.25"/>
    <row r="1282" ht="20.25" customHeight="1" x14ac:dyDescent="0.25"/>
    <row r="1283" ht="20.25" customHeight="1" x14ac:dyDescent="0.25"/>
    <row r="1284" ht="20.25" customHeight="1" x14ac:dyDescent="0.25"/>
    <row r="1285" ht="20.25" customHeight="1" x14ac:dyDescent="0.25"/>
    <row r="1286" ht="20.25" customHeight="1" x14ac:dyDescent="0.25"/>
    <row r="1287" ht="20.25" customHeight="1" x14ac:dyDescent="0.25"/>
    <row r="1288" ht="20.25" customHeight="1" x14ac:dyDescent="0.25"/>
    <row r="1289" ht="20.25" customHeight="1" x14ac:dyDescent="0.25"/>
    <row r="1290" ht="20.25" customHeight="1" x14ac:dyDescent="0.25"/>
    <row r="1291" ht="20.25" customHeight="1" x14ac:dyDescent="0.25"/>
    <row r="1292" ht="20.25" customHeight="1" x14ac:dyDescent="0.25"/>
    <row r="1293" ht="20.25" customHeight="1" x14ac:dyDescent="0.25"/>
    <row r="1294" ht="20.25" customHeight="1" x14ac:dyDescent="0.25"/>
    <row r="1295" ht="20.25" customHeight="1" x14ac:dyDescent="0.25"/>
    <row r="1296" ht="20.25" customHeight="1" x14ac:dyDescent="0.25"/>
    <row r="1297" ht="20.25" customHeight="1" x14ac:dyDescent="0.25"/>
    <row r="1298" ht="20.25" customHeight="1" x14ac:dyDescent="0.25"/>
    <row r="1299" ht="20.25" customHeight="1" x14ac:dyDescent="0.25"/>
    <row r="1300" ht="20.25" customHeight="1" x14ac:dyDescent="0.25"/>
    <row r="1301" ht="20.25" customHeight="1" x14ac:dyDescent="0.25"/>
    <row r="1302" ht="20.25" customHeight="1" x14ac:dyDescent="0.25"/>
    <row r="1303" ht="20.25" customHeight="1" x14ac:dyDescent="0.25"/>
    <row r="1304" ht="20.25" customHeight="1" x14ac:dyDescent="0.25"/>
    <row r="1305" ht="20.25" customHeight="1" x14ac:dyDescent="0.25"/>
    <row r="1306" ht="20.25" customHeight="1" x14ac:dyDescent="0.25"/>
    <row r="1307" ht="20.25" customHeight="1" x14ac:dyDescent="0.25"/>
    <row r="1308" ht="20.25" customHeight="1" x14ac:dyDescent="0.25"/>
    <row r="1309" ht="20.25" customHeight="1" x14ac:dyDescent="0.25"/>
    <row r="1310" ht="20.25" customHeight="1" x14ac:dyDescent="0.25"/>
    <row r="1311" ht="20.25" customHeight="1" x14ac:dyDescent="0.25"/>
    <row r="1312" ht="20.25" customHeight="1" x14ac:dyDescent="0.25"/>
    <row r="1313" ht="20.25" customHeight="1" x14ac:dyDescent="0.25"/>
    <row r="1314" ht="20.25" customHeight="1" x14ac:dyDescent="0.25"/>
    <row r="1315" ht="20.25" customHeight="1" x14ac:dyDescent="0.25"/>
    <row r="1316" ht="20.25" customHeight="1" x14ac:dyDescent="0.25"/>
    <row r="1317" ht="20.25" customHeight="1" x14ac:dyDescent="0.25"/>
    <row r="1318" ht="20.25" customHeight="1" x14ac:dyDescent="0.25"/>
    <row r="1319" ht="20.25" customHeight="1" x14ac:dyDescent="0.25"/>
    <row r="1320" ht="20.25" customHeight="1" x14ac:dyDescent="0.25"/>
    <row r="1321" ht="20.25" customHeight="1" x14ac:dyDescent="0.25"/>
    <row r="1322" ht="20.25" customHeight="1" x14ac:dyDescent="0.25"/>
    <row r="1323" ht="20.25" customHeight="1" x14ac:dyDescent="0.25"/>
    <row r="1324" ht="20.25" customHeight="1" x14ac:dyDescent="0.25"/>
    <row r="1325" ht="20.25" customHeight="1" x14ac:dyDescent="0.25"/>
    <row r="1326" ht="20.25" customHeight="1" x14ac:dyDescent="0.25"/>
    <row r="1327" ht="20.25" customHeight="1" x14ac:dyDescent="0.25"/>
    <row r="1328" ht="20.25" customHeight="1" x14ac:dyDescent="0.25"/>
    <row r="1329" ht="20.25" customHeight="1" x14ac:dyDescent="0.25"/>
    <row r="1330" ht="20.25" customHeight="1" x14ac:dyDescent="0.25"/>
    <row r="1331" ht="20.25" customHeight="1" x14ac:dyDescent="0.25"/>
    <row r="1332" ht="20.25" customHeight="1" x14ac:dyDescent="0.25"/>
    <row r="1333" ht="20.25" customHeight="1" x14ac:dyDescent="0.25"/>
    <row r="1334" ht="20.25" customHeight="1" x14ac:dyDescent="0.25"/>
    <row r="1335" ht="20.25" customHeight="1" x14ac:dyDescent="0.25"/>
    <row r="1336" ht="20.25" customHeight="1" x14ac:dyDescent="0.25"/>
    <row r="1337" ht="20.25" customHeight="1" x14ac:dyDescent="0.25"/>
    <row r="1338" ht="20.25" customHeight="1" x14ac:dyDescent="0.25"/>
    <row r="1339" ht="20.25" customHeight="1" x14ac:dyDescent="0.25"/>
    <row r="1340" ht="20.25" customHeight="1" x14ac:dyDescent="0.25"/>
    <row r="1341" ht="20.25" customHeight="1" x14ac:dyDescent="0.25"/>
    <row r="1342" ht="20.25" customHeight="1" x14ac:dyDescent="0.25"/>
    <row r="1343" ht="20.25" customHeight="1" x14ac:dyDescent="0.25"/>
    <row r="1344" ht="20.25" customHeight="1" x14ac:dyDescent="0.25"/>
    <row r="1345" ht="20.25" customHeight="1" x14ac:dyDescent="0.25"/>
    <row r="1346" ht="20.25" customHeight="1" x14ac:dyDescent="0.25"/>
    <row r="1347" ht="20.25" customHeight="1" x14ac:dyDescent="0.25"/>
    <row r="1348" ht="20.25" customHeight="1" x14ac:dyDescent="0.25"/>
    <row r="1349" ht="20.25" customHeight="1" x14ac:dyDescent="0.25"/>
    <row r="1350" ht="20.25" customHeight="1" x14ac:dyDescent="0.25"/>
    <row r="1351" ht="20.25" customHeight="1" x14ac:dyDescent="0.25"/>
    <row r="1352" ht="20.25" customHeight="1" x14ac:dyDescent="0.25"/>
    <row r="1353" ht="20.25" customHeight="1" x14ac:dyDescent="0.25"/>
    <row r="1354" ht="20.25" customHeight="1" x14ac:dyDescent="0.25"/>
    <row r="1355" ht="20.25" customHeight="1" x14ac:dyDescent="0.25"/>
    <row r="1356" ht="20.25" customHeight="1" x14ac:dyDescent="0.25"/>
    <row r="1357" ht="20.25" customHeight="1" x14ac:dyDescent="0.25"/>
    <row r="1358" ht="20.25" customHeight="1" x14ac:dyDescent="0.25"/>
    <row r="1359" ht="20.25" customHeight="1" x14ac:dyDescent="0.25"/>
    <row r="1360" ht="20.25" customHeight="1" x14ac:dyDescent="0.25"/>
    <row r="1361" ht="20.25" customHeight="1" x14ac:dyDescent="0.25"/>
    <row r="1362" ht="20.25" customHeight="1" x14ac:dyDescent="0.25"/>
    <row r="1363" ht="20.25" customHeight="1" x14ac:dyDescent="0.25"/>
    <row r="1364" ht="20.25" customHeight="1" x14ac:dyDescent="0.25"/>
    <row r="1365" ht="20.25" customHeight="1" x14ac:dyDescent="0.25"/>
    <row r="1366" ht="20.25" customHeight="1" x14ac:dyDescent="0.25"/>
    <row r="1367" ht="20.25" customHeight="1" x14ac:dyDescent="0.25"/>
    <row r="1368" ht="20.25" customHeight="1" x14ac:dyDescent="0.25"/>
    <row r="1369" ht="20.25" customHeight="1" x14ac:dyDescent="0.25"/>
    <row r="1370" ht="20.25" customHeight="1" x14ac:dyDescent="0.25"/>
    <row r="1371" ht="20.25" customHeight="1" x14ac:dyDescent="0.25"/>
    <row r="1372" ht="20.25" customHeight="1" x14ac:dyDescent="0.25"/>
    <row r="1373" ht="20.25" customHeight="1" x14ac:dyDescent="0.25"/>
    <row r="1374" ht="20.25" customHeight="1" x14ac:dyDescent="0.25"/>
    <row r="1375" ht="20.25" customHeight="1" x14ac:dyDescent="0.25"/>
    <row r="1376" ht="20.25" customHeight="1" x14ac:dyDescent="0.25"/>
  </sheetData>
  <mergeCells count="353">
    <mergeCell ref="C2:D2"/>
    <mergeCell ref="A10:Z10"/>
    <mergeCell ref="A14:X14"/>
    <mergeCell ref="D53:T53"/>
    <mergeCell ref="R54:S54"/>
    <mergeCell ref="R55:S55"/>
    <mergeCell ref="S56:U56"/>
    <mergeCell ref="D59:Q59"/>
    <mergeCell ref="D63:G63"/>
    <mergeCell ref="I63:L63"/>
    <mergeCell ref="D65:K65"/>
    <mergeCell ref="D67:M67"/>
    <mergeCell ref="K79:L79"/>
    <mergeCell ref="N79:O79"/>
    <mergeCell ref="Q79:R79"/>
    <mergeCell ref="D82:P82"/>
    <mergeCell ref="D84:P84"/>
    <mergeCell ref="D86:P86"/>
    <mergeCell ref="D88:P88"/>
    <mergeCell ref="A96:C97"/>
    <mergeCell ref="D96:J97"/>
    <mergeCell ref="K96:M96"/>
    <mergeCell ref="K97:M97"/>
    <mergeCell ref="P97:T97"/>
    <mergeCell ref="A98:C99"/>
    <mergeCell ref="D98:T99"/>
    <mergeCell ref="A100:C101"/>
    <mergeCell ref="D100:H101"/>
    <mergeCell ref="J100:L101"/>
    <mergeCell ref="P100:S101"/>
    <mergeCell ref="I100:I101"/>
    <mergeCell ref="M100:M101"/>
    <mergeCell ref="T100:T101"/>
    <mergeCell ref="B103:D104"/>
    <mergeCell ref="F103:H104"/>
    <mergeCell ref="I103:J103"/>
    <mergeCell ref="K103:T103"/>
    <mergeCell ref="A103:A104"/>
    <mergeCell ref="E103:E104"/>
    <mergeCell ref="I104:J104"/>
    <mergeCell ref="K104:T104"/>
    <mergeCell ref="B105:D106"/>
    <mergeCell ref="F105:H106"/>
    <mergeCell ref="I105:J105"/>
    <mergeCell ref="K105:T105"/>
    <mergeCell ref="A105:A106"/>
    <mergeCell ref="E105:E106"/>
    <mergeCell ref="I106:J106"/>
    <mergeCell ref="K106:T106"/>
    <mergeCell ref="B107:D108"/>
    <mergeCell ref="F107:H108"/>
    <mergeCell ref="I107:J107"/>
    <mergeCell ref="K107:T107"/>
    <mergeCell ref="A107:A108"/>
    <mergeCell ref="E107:E108"/>
    <mergeCell ref="I108:J108"/>
    <mergeCell ref="K108:T108"/>
    <mergeCell ref="B109:D110"/>
    <mergeCell ref="F109:H110"/>
    <mergeCell ref="I109:J109"/>
    <mergeCell ref="K109:T109"/>
    <mergeCell ref="A109:A110"/>
    <mergeCell ref="E109:E110"/>
    <mergeCell ref="I110:J110"/>
    <mergeCell ref="K110:T110"/>
    <mergeCell ref="B111:D112"/>
    <mergeCell ref="F111:H112"/>
    <mergeCell ref="I111:J111"/>
    <mergeCell ref="K111:T111"/>
    <mergeCell ref="A111:A112"/>
    <mergeCell ref="E111:E112"/>
    <mergeCell ref="I112:J112"/>
    <mergeCell ref="K112:T112"/>
    <mergeCell ref="A114:E114"/>
    <mergeCell ref="I114:K114"/>
    <mergeCell ref="M114:T114"/>
    <mergeCell ref="A115:E115"/>
    <mergeCell ref="I115:K115"/>
    <mergeCell ref="M115:T115"/>
    <mergeCell ref="A116:E116"/>
    <mergeCell ref="I116:K116"/>
    <mergeCell ref="M116:T116"/>
    <mergeCell ref="A118:C118"/>
    <mergeCell ref="D118:F118"/>
    <mergeCell ref="G118:L118"/>
    <mergeCell ref="M118:T118"/>
    <mergeCell ref="B119:C119"/>
    <mergeCell ref="D119:F119"/>
    <mergeCell ref="I119:K119"/>
    <mergeCell ref="M119:T119"/>
    <mergeCell ref="A119:A125"/>
    <mergeCell ref="B120:C120"/>
    <mergeCell ref="D120:F120"/>
    <mergeCell ref="I120:K120"/>
    <mergeCell ref="M120:T120"/>
    <mergeCell ref="B121:C121"/>
    <mergeCell ref="D121:F121"/>
    <mergeCell ref="I121:K121"/>
    <mergeCell ref="M121:T121"/>
    <mergeCell ref="B122:C122"/>
    <mergeCell ref="D122:F122"/>
    <mergeCell ref="I122:K122"/>
    <mergeCell ref="M122:T122"/>
    <mergeCell ref="B123:C123"/>
    <mergeCell ref="D123:F123"/>
    <mergeCell ref="I123:K123"/>
    <mergeCell ref="M123:T123"/>
    <mergeCell ref="B124:C124"/>
    <mergeCell ref="D124:F124"/>
    <mergeCell ref="G124:L124"/>
    <mergeCell ref="M124:T124"/>
    <mergeCell ref="B125:F125"/>
    <mergeCell ref="G142:I142"/>
    <mergeCell ref="P142:S142"/>
    <mergeCell ref="G143:T143"/>
    <mergeCell ref="C156:Q157"/>
    <mergeCell ref="C566:W566"/>
    <mergeCell ref="A569:X569"/>
    <mergeCell ref="A570:X570"/>
    <mergeCell ref="A571:X571"/>
    <mergeCell ref="C614:Q615"/>
    <mergeCell ref="A635:E635"/>
    <mergeCell ref="F635:J635"/>
    <mergeCell ref="K635:R635"/>
    <mergeCell ref="S635:T635"/>
    <mergeCell ref="B636:E638"/>
    <mergeCell ref="F636:J638"/>
    <mergeCell ref="K636:R638"/>
    <mergeCell ref="S636:T662"/>
    <mergeCell ref="A636:A651"/>
    <mergeCell ref="B639:E641"/>
    <mergeCell ref="F639:J641"/>
    <mergeCell ref="K639:R641"/>
    <mergeCell ref="B642:E644"/>
    <mergeCell ref="F642:J644"/>
    <mergeCell ref="K642:R644"/>
    <mergeCell ref="B645:E647"/>
    <mergeCell ref="F645:J647"/>
    <mergeCell ref="K645:R647"/>
    <mergeCell ref="B648:E651"/>
    <mergeCell ref="F648:J651"/>
    <mergeCell ref="K648:R651"/>
    <mergeCell ref="B652:E654"/>
    <mergeCell ref="F652:J662"/>
    <mergeCell ref="K652:R662"/>
    <mergeCell ref="A652:A662"/>
    <mergeCell ref="B655:E658"/>
    <mergeCell ref="B659:E662"/>
    <mergeCell ref="A665:E665"/>
    <mergeCell ref="F665:J665"/>
    <mergeCell ref="K665:R665"/>
    <mergeCell ref="S665:T665"/>
    <mergeCell ref="B666:C668"/>
    <mergeCell ref="D666:E668"/>
    <mergeCell ref="F666:J668"/>
    <mergeCell ref="K666:R668"/>
    <mergeCell ref="S666:T678"/>
    <mergeCell ref="A666:A715"/>
    <mergeCell ref="B669:C678"/>
    <mergeCell ref="D669:E678"/>
    <mergeCell ref="F669:J678"/>
    <mergeCell ref="K669:R678"/>
    <mergeCell ref="B679:C682"/>
    <mergeCell ref="D679:E682"/>
    <mergeCell ref="F679:J682"/>
    <mergeCell ref="K679:R682"/>
    <mergeCell ref="S679:T724"/>
    <mergeCell ref="B683:C686"/>
    <mergeCell ref="D683:E686"/>
    <mergeCell ref="F683:J686"/>
    <mergeCell ref="K683:R686"/>
    <mergeCell ref="B687:C693"/>
    <mergeCell ref="D687:E693"/>
    <mergeCell ref="F687:J693"/>
    <mergeCell ref="K687:R693"/>
    <mergeCell ref="B694:C698"/>
    <mergeCell ref="D694:E698"/>
    <mergeCell ref="F694:J698"/>
    <mergeCell ref="K694:R698"/>
    <mergeCell ref="B699:C704"/>
    <mergeCell ref="F699:J704"/>
    <mergeCell ref="K699:R704"/>
    <mergeCell ref="B705:C706"/>
    <mergeCell ref="D705:E706"/>
    <mergeCell ref="F705:J706"/>
    <mergeCell ref="K705:R706"/>
    <mergeCell ref="B707:C710"/>
    <mergeCell ref="D707:E710"/>
    <mergeCell ref="F707:J710"/>
    <mergeCell ref="K707:R710"/>
    <mergeCell ref="B711:C715"/>
    <mergeCell ref="D711:E715"/>
    <mergeCell ref="F711:J715"/>
    <mergeCell ref="K711:R715"/>
    <mergeCell ref="B716:E719"/>
    <mergeCell ref="F716:J719"/>
    <mergeCell ref="K716:R719"/>
    <mergeCell ref="A716:A719"/>
    <mergeCell ref="B720:E724"/>
    <mergeCell ref="F720:J724"/>
    <mergeCell ref="K720:R724"/>
    <mergeCell ref="A720:A724"/>
    <mergeCell ref="A726:E726"/>
    <mergeCell ref="F726:J726"/>
    <mergeCell ref="K726:R726"/>
    <mergeCell ref="S726:T726"/>
    <mergeCell ref="B727:C730"/>
    <mergeCell ref="D727:E729"/>
    <mergeCell ref="F727:J729"/>
    <mergeCell ref="K727:R735"/>
    <mergeCell ref="S727:T755"/>
    <mergeCell ref="A727:A755"/>
    <mergeCell ref="B731:C731"/>
    <mergeCell ref="B732:C732"/>
    <mergeCell ref="B734:C734"/>
    <mergeCell ref="B735:C735"/>
    <mergeCell ref="B736:C745"/>
    <mergeCell ref="K736:R743"/>
    <mergeCell ref="K744:R745"/>
    <mergeCell ref="B746:C748"/>
    <mergeCell ref="F746:J747"/>
    <mergeCell ref="K746:R747"/>
    <mergeCell ref="F748:J748"/>
    <mergeCell ref="K748:R748"/>
    <mergeCell ref="B749:C751"/>
    <mergeCell ref="F749:J749"/>
    <mergeCell ref="K749:R749"/>
    <mergeCell ref="F750:J751"/>
    <mergeCell ref="K750:R751"/>
    <mergeCell ref="B752:C755"/>
    <mergeCell ref="F752:J752"/>
    <mergeCell ref="K752:R752"/>
    <mergeCell ref="F753:J755"/>
    <mergeCell ref="K753:R755"/>
    <mergeCell ref="A774:E774"/>
    <mergeCell ref="F774:J774"/>
    <mergeCell ref="K774:R774"/>
    <mergeCell ref="S774:T774"/>
    <mergeCell ref="B775:C781"/>
    <mergeCell ref="D775:E777"/>
    <mergeCell ref="F775:J777"/>
    <mergeCell ref="K775:R777"/>
    <mergeCell ref="S775:T795"/>
    <mergeCell ref="A775:A795"/>
    <mergeCell ref="D778:E778"/>
    <mergeCell ref="F778:J778"/>
    <mergeCell ref="K778:R778"/>
    <mergeCell ref="D779:E779"/>
    <mergeCell ref="F779:J779"/>
    <mergeCell ref="K779:R779"/>
    <mergeCell ref="D780:E780"/>
    <mergeCell ref="F780:J780"/>
    <mergeCell ref="K780:R780"/>
    <mergeCell ref="D781:E781"/>
    <mergeCell ref="F781:J781"/>
    <mergeCell ref="K781:R781"/>
    <mergeCell ref="B782:C790"/>
    <mergeCell ref="D782:E784"/>
    <mergeCell ref="F782:J784"/>
    <mergeCell ref="K782:R784"/>
    <mergeCell ref="D785:E787"/>
    <mergeCell ref="F785:J787"/>
    <mergeCell ref="K785:R787"/>
    <mergeCell ref="D788:E790"/>
    <mergeCell ref="F788:J790"/>
    <mergeCell ref="K788:R790"/>
    <mergeCell ref="B791:C793"/>
    <mergeCell ref="D791:E791"/>
    <mergeCell ref="F791:J791"/>
    <mergeCell ref="K791:R791"/>
    <mergeCell ref="D792:E792"/>
    <mergeCell ref="F792:J792"/>
    <mergeCell ref="K792:R792"/>
    <mergeCell ref="D793:E793"/>
    <mergeCell ref="F793:J793"/>
    <mergeCell ref="K793:R793"/>
    <mergeCell ref="B794:C795"/>
    <mergeCell ref="D794:E794"/>
    <mergeCell ref="F794:J794"/>
    <mergeCell ref="K794:R794"/>
    <mergeCell ref="D795:E795"/>
    <mergeCell ref="F795:J795"/>
    <mergeCell ref="K795:R795"/>
    <mergeCell ref="A798:E798"/>
    <mergeCell ref="F798:J798"/>
    <mergeCell ref="K798:R798"/>
    <mergeCell ref="S798:T803"/>
    <mergeCell ref="B799:C800"/>
    <mergeCell ref="D799:E800"/>
    <mergeCell ref="F799:J800"/>
    <mergeCell ref="K799:R800"/>
    <mergeCell ref="A799:A803"/>
    <mergeCell ref="B801:C803"/>
    <mergeCell ref="D801:E803"/>
    <mergeCell ref="F801:J803"/>
    <mergeCell ref="K801:R803"/>
    <mergeCell ref="A882:T883"/>
    <mergeCell ref="A948:T949"/>
    <mergeCell ref="D951:G951"/>
    <mergeCell ref="H951:U951"/>
    <mergeCell ref="D953:G953"/>
    <mergeCell ref="H953:U953"/>
    <mergeCell ref="A955:B955"/>
    <mergeCell ref="J965:K965"/>
    <mergeCell ref="P965:Q965"/>
    <mergeCell ref="H967:T967"/>
    <mergeCell ref="H969:T969"/>
    <mergeCell ref="A992:T992"/>
    <mergeCell ref="C994:H994"/>
    <mergeCell ref="P996:Q996"/>
    <mergeCell ref="C1027:D1027"/>
    <mergeCell ref="D1029:G1029"/>
    <mergeCell ref="I1029:R1029"/>
    <mergeCell ref="D1031:G1031"/>
    <mergeCell ref="I1031:R1031"/>
    <mergeCell ref="D1033:G1033"/>
    <mergeCell ref="I1033:R1033"/>
    <mergeCell ref="D1035:G1035"/>
    <mergeCell ref="I1035:R1035"/>
    <mergeCell ref="D1037:G1037"/>
    <mergeCell ref="I1037:R1037"/>
    <mergeCell ref="D1039:G1039"/>
    <mergeCell ref="I1039:R1039"/>
    <mergeCell ref="D1042:R1043"/>
    <mergeCell ref="A1046:F1046"/>
    <mergeCell ref="C1076:D1076"/>
    <mergeCell ref="O1076:P1076"/>
    <mergeCell ref="R1076:S1076"/>
    <mergeCell ref="I1078:U1078"/>
    <mergeCell ref="I1080:U1080"/>
    <mergeCell ref="I1082:U1082"/>
    <mergeCell ref="I1084:U1084"/>
    <mergeCell ref="A1137:T1138"/>
    <mergeCell ref="B1141:T1143"/>
    <mergeCell ref="E1149:R1150"/>
    <mergeCell ref="E1156:R1157"/>
    <mergeCell ref="E1163:R1164"/>
    <mergeCell ref="E1170:R1171"/>
    <mergeCell ref="E1172:R1173"/>
    <mergeCell ref="E1174:R1175"/>
    <mergeCell ref="E1186:R1188"/>
    <mergeCell ref="E1190:P1190"/>
    <mergeCell ref="B1195:E1195"/>
    <mergeCell ref="F1195:G1195"/>
    <mergeCell ref="H1195:P1195"/>
    <mergeCell ref="B1211:Q1211"/>
    <mergeCell ref="R1219:S1219"/>
    <mergeCell ref="B1222:P1222"/>
    <mergeCell ref="J1224:L1225"/>
    <mergeCell ref="B1225:C1225"/>
    <mergeCell ref="D1225:G1225"/>
    <mergeCell ref="M1225:R1225"/>
    <mergeCell ref="K1226:M1226"/>
  </mergeCells>
  <pageMargins left="1.3779527559055118" right="0" top="0.7874015748031497" bottom="0.3937007874015748" header="0" footer="0"/>
  <pageSetup paperSize="9" orientation="portrait" horizontalDpi="4294967295" verticalDpi="4294967295" scale="75"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pageSetUpPr fitToPage="1"/>
  </sheetPr>
  <dimension ref="A1:AN1000"/>
  <sheetViews>
    <sheetView workbookViewId="0" zoomScale="60" zoomScaleNormal="100" view="pageBreakPreview">
      <selection activeCell="D1" sqref="D1"/>
    </sheetView>
  </sheetViews>
  <sheetFormatPr defaultRowHeight="15" outlineLevelRow="0" outlineLevelCol="0" x14ac:dyDescent="0" defaultColWidth="14.42578125"/>
  <cols>
    <col min="1" max="13" width="2.5703125" style="1" customWidth="1"/>
    <col min="14" max="14" width="5.42578125" style="1" customWidth="1"/>
    <col min="15" max="15" width="2.5703125" style="1" customWidth="1"/>
    <col min="16" max="16" width="4" style="1" customWidth="1"/>
    <col min="17" max="32" width="2.5703125" style="1" customWidth="1"/>
    <col min="33" max="33" width="5.42578125" style="1" customWidth="1"/>
    <col min="34" max="34" width="2.5703125" style="1" customWidth="1"/>
    <col min="35" max="16384" width="14.42578125" style="1" customWidth="1"/>
  </cols>
  <sheetData>
    <row r="1" ht="13.5" customHeight="1" spans="1:34" x14ac:dyDescent="0.2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row>
    <row r="2" ht="13.5" customHeight="1" spans="1:34" x14ac:dyDescent="0.25">
      <c r="A2" s="81"/>
      <c r="B2" s="81"/>
      <c r="C2" s="81"/>
      <c r="D2" s="81"/>
      <c r="E2" s="81"/>
      <c r="F2" s="81"/>
      <c r="G2" s="81"/>
      <c r="H2" s="81"/>
      <c r="I2" s="81"/>
      <c r="J2" s="81"/>
      <c r="K2" s="81"/>
      <c r="L2" s="81"/>
      <c r="M2" s="81"/>
      <c r="N2" s="81"/>
      <c r="O2" s="81"/>
      <c r="P2" s="81"/>
      <c r="Q2" s="81"/>
      <c r="R2" s="81"/>
      <c r="S2" s="81"/>
      <c r="T2" s="81"/>
      <c r="U2" s="81"/>
      <c r="V2" s="81"/>
      <c r="W2" s="81"/>
      <c r="X2" s="81"/>
      <c r="Y2" s="81"/>
      <c r="Z2" s="81"/>
      <c r="AA2" s="1020"/>
      <c r="AB2" s="1021">
        <f>TODAY()</f>
        <v>46026</v>
      </c>
      <c r="AC2" s="1022"/>
      <c r="AD2" s="1022"/>
      <c r="AE2" s="1022"/>
      <c r="AF2" s="1022"/>
      <c r="AG2" s="1022"/>
      <c r="AH2" s="81"/>
    </row>
    <row r="3" ht="13.5" customHeight="1" spans="1:34" x14ac:dyDescent="0.25">
      <c r="A3" s="81"/>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row>
    <row r="4" ht="13.5" customHeight="1" spans="1:34" x14ac:dyDescent="0.25">
      <c r="A4" s="81"/>
      <c r="B4" s="814" t="str">
        <f>初期入力!B4&amp;"様　　"&amp;初期入力!B6</f>
        <v>様　　</v>
      </c>
      <c r="C4" s="1"/>
      <c r="D4" s="1"/>
      <c r="E4" s="1"/>
      <c r="F4" s="1"/>
      <c r="G4" s="1"/>
      <c r="H4" s="1"/>
      <c r="I4" s="1"/>
      <c r="J4" s="1"/>
      <c r="K4" s="1"/>
      <c r="L4" s="1"/>
      <c r="M4" s="1"/>
      <c r="N4" s="1"/>
      <c r="O4" s="814" t="s">
        <v>12</v>
      </c>
      <c r="P4" s="1"/>
      <c r="Q4" s="81"/>
      <c r="R4" s="81"/>
      <c r="S4" s="81"/>
      <c r="T4" s="81"/>
      <c r="U4" s="81"/>
      <c r="V4" s="81"/>
      <c r="W4" s="81"/>
      <c r="X4" s="81"/>
      <c r="Y4" s="81"/>
      <c r="Z4" s="81"/>
      <c r="AA4" s="81"/>
      <c r="AB4" s="81"/>
      <c r="AC4" s="81"/>
      <c r="AD4" s="81"/>
      <c r="AE4" s="81"/>
      <c r="AF4" s="81"/>
      <c r="AG4" s="81"/>
      <c r="AH4" s="81"/>
    </row>
    <row r="5" ht="13.5" customHeight="1" spans="1:34" x14ac:dyDescent="0.25">
      <c r="A5" s="81"/>
      <c r="B5" s="221"/>
      <c r="C5" s="221"/>
      <c r="D5" s="221"/>
      <c r="E5" s="221"/>
      <c r="F5" s="221"/>
      <c r="G5" s="221"/>
      <c r="H5" s="221"/>
      <c r="I5" s="221"/>
      <c r="J5" s="221"/>
      <c r="K5" s="221"/>
      <c r="L5" s="221"/>
      <c r="M5" s="221"/>
      <c r="N5" s="221"/>
      <c r="O5" s="1022"/>
      <c r="P5" s="1022"/>
      <c r="Q5" s="814"/>
      <c r="R5" s="814"/>
      <c r="S5" s="814"/>
      <c r="T5" s="814"/>
      <c r="U5" s="81"/>
      <c r="V5" s="81"/>
      <c r="W5" s="81"/>
      <c r="X5" s="81"/>
      <c r="Y5" s="81"/>
      <c r="Z5" s="81"/>
      <c r="AA5" s="81"/>
      <c r="AB5" s="81"/>
      <c r="AC5" s="81"/>
      <c r="AD5" s="81"/>
      <c r="AE5" s="81"/>
      <c r="AF5" s="81"/>
      <c r="AG5" s="81"/>
      <c r="AH5" s="81"/>
    </row>
    <row r="6" ht="13.5" customHeight="1" spans="1:34" x14ac:dyDescent="0.25">
      <c r="A6" s="81"/>
      <c r="B6" s="81"/>
      <c r="C6" s="81"/>
      <c r="D6" s="81"/>
      <c r="E6" s="81"/>
      <c r="F6" s="814"/>
      <c r="G6" s="814"/>
      <c r="H6" s="814"/>
      <c r="I6" s="814"/>
      <c r="J6" s="814"/>
      <c r="K6" s="814"/>
      <c r="L6" s="814"/>
      <c r="M6" s="814"/>
      <c r="N6" s="814"/>
      <c r="O6" s="814"/>
      <c r="P6" s="814"/>
      <c r="Q6" s="814"/>
      <c r="R6" s="814"/>
      <c r="S6" s="814"/>
      <c r="T6" s="814"/>
      <c r="U6" s="81"/>
      <c r="V6" s="81"/>
      <c r="W6" s="81"/>
      <c r="X6" s="81"/>
      <c r="Y6" s="814" t="s">
        <v>1911</v>
      </c>
      <c r="Z6" s="1"/>
      <c r="AA6" s="1"/>
      <c r="AB6" s="1"/>
      <c r="AC6" s="1"/>
      <c r="AD6" s="1"/>
      <c r="AE6" s="1"/>
      <c r="AF6" s="1"/>
      <c r="AG6" s="1"/>
      <c r="AH6" s="81"/>
    </row>
    <row r="7" ht="13.5" customHeight="1" spans="1:34" x14ac:dyDescent="0.25">
      <c r="A7" s="81"/>
      <c r="B7" s="81"/>
      <c r="C7" s="81"/>
      <c r="D7" s="81"/>
      <c r="E7" s="81"/>
      <c r="F7" s="81"/>
      <c r="G7" s="81"/>
      <c r="H7" s="81"/>
      <c r="I7" s="81"/>
      <c r="J7" s="81"/>
      <c r="K7" s="81"/>
      <c r="L7" s="81"/>
      <c r="M7" s="81"/>
      <c r="N7" s="81"/>
      <c r="O7" s="81"/>
      <c r="P7" s="81"/>
      <c r="Q7" s="81"/>
      <c r="R7" s="81"/>
      <c r="S7" s="81"/>
      <c r="T7" s="81"/>
      <c r="U7" s="1023"/>
      <c r="V7" s="1024"/>
      <c r="W7" s="1"/>
      <c r="X7" s="1"/>
      <c r="Y7" s="1025"/>
      <c r="Z7" s="1025"/>
      <c r="AA7" s="1025"/>
      <c r="AB7" s="1025"/>
      <c r="AC7" s="1025"/>
      <c r="AD7" s="1025"/>
      <c r="AE7" s="1025"/>
      <c r="AF7" s="1025"/>
      <c r="AG7" s="1025"/>
      <c r="AH7" s="1025"/>
    </row>
    <row r="8" ht="16.5" customHeight="1" spans="1:34" x14ac:dyDescent="0.25">
      <c r="A8" s="81"/>
      <c r="B8" s="81"/>
      <c r="C8" s="81"/>
      <c r="D8" s="81"/>
      <c r="E8" s="81"/>
      <c r="F8" s="81"/>
      <c r="G8" s="81"/>
      <c r="H8" s="81"/>
      <c r="I8" s="81"/>
      <c r="J8" s="81"/>
      <c r="K8" s="81"/>
      <c r="L8" s="81"/>
      <c r="M8" s="81"/>
      <c r="N8" s="81"/>
      <c r="O8" s="81"/>
      <c r="P8" s="81"/>
      <c r="Q8" s="81"/>
      <c r="R8" s="81"/>
      <c r="S8" s="81"/>
      <c r="T8" s="81"/>
      <c r="U8" s="1023" t="s">
        <v>119</v>
      </c>
      <c r="V8" s="1"/>
      <c r="W8" s="1"/>
      <c r="X8" s="1"/>
      <c r="Y8" s="1"/>
      <c r="Z8" s="1"/>
      <c r="AA8" s="1"/>
      <c r="AB8" s="1"/>
      <c r="AC8" s="1"/>
      <c r="AD8" s="1"/>
      <c r="AE8" s="1"/>
      <c r="AF8" s="1"/>
      <c r="AG8" s="1"/>
      <c r="AH8" s="1025"/>
    </row>
    <row r="9" ht="16.5" customHeight="1" spans="1:34" x14ac:dyDescent="0.25">
      <c r="A9" s="81"/>
      <c r="B9" s="81"/>
      <c r="C9" s="81"/>
      <c r="D9" s="81"/>
      <c r="E9" s="81"/>
      <c r="F9" s="81"/>
      <c r="G9" s="81"/>
      <c r="H9" s="81"/>
      <c r="I9" s="81"/>
      <c r="J9" s="81"/>
      <c r="K9" s="81"/>
      <c r="L9" s="81"/>
      <c r="M9" s="81"/>
      <c r="N9" s="81"/>
      <c r="O9" s="81"/>
      <c r="P9" s="81"/>
      <c r="Q9" s="81"/>
      <c r="R9" s="81"/>
      <c r="S9" s="81"/>
      <c r="T9" s="81"/>
      <c r="U9" s="1026" t="s">
        <v>1912</v>
      </c>
      <c r="V9" s="1026"/>
      <c r="W9" s="1026"/>
      <c r="X9" s="1026"/>
      <c r="Y9" s="1027" t="str">
        <f>初期入力!B12</f>
        <v>田畑　美香</v>
      </c>
      <c r="Z9" s="1028"/>
      <c r="AA9" s="1028"/>
      <c r="AB9" s="1028"/>
      <c r="AC9" s="1028"/>
      <c r="AD9" s="1028"/>
      <c r="AE9" s="1028"/>
      <c r="AF9" s="1028"/>
      <c r="AG9" s="1028"/>
      <c r="AH9" s="714"/>
    </row>
    <row r="10" ht="16.5" customHeight="1" spans="1:34" x14ac:dyDescent="0.25">
      <c r="A10" s="81"/>
      <c r="B10" s="81"/>
      <c r="C10" s="81"/>
      <c r="D10" s="81"/>
      <c r="E10" s="81"/>
      <c r="F10" s="81"/>
      <c r="G10" s="814"/>
      <c r="H10" s="814"/>
      <c r="I10" s="814"/>
      <c r="J10" s="814"/>
      <c r="K10" s="814"/>
      <c r="L10" s="814"/>
      <c r="M10" s="814"/>
      <c r="N10" s="814"/>
      <c r="O10" s="814"/>
      <c r="P10" s="814"/>
      <c r="Q10" s="814"/>
      <c r="R10" s="814"/>
      <c r="S10" s="814"/>
      <c r="T10" s="814"/>
      <c r="U10" s="1029"/>
      <c r="V10" s="1029"/>
      <c r="W10" s="1029"/>
      <c r="X10" s="1029"/>
      <c r="Y10" s="1030"/>
      <c r="Z10" s="1031"/>
      <c r="AA10" s="1031"/>
      <c r="AB10" s="1031"/>
      <c r="AC10" s="1031"/>
      <c r="AD10" s="1031"/>
      <c r="AE10" s="1031"/>
      <c r="AF10" s="1031"/>
      <c r="AG10" s="1031"/>
      <c r="AH10" s="81"/>
    </row>
    <row r="11" ht="13.5" customHeight="1" spans="1:34" x14ac:dyDescent="0.25">
      <c r="A11" s="1032" t="s">
        <v>1913</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ht="13.5" customHeight="1" spans="1:34"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3.5" customHeight="1" spans="1:34" x14ac:dyDescent="0.25">
      <c r="A13" s="81"/>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81"/>
      <c r="AF13" s="81"/>
      <c r="AG13" s="81"/>
      <c r="AH13" s="81"/>
    </row>
    <row r="14" ht="13.5" customHeight="1" spans="1:34" x14ac:dyDescent="0.25">
      <c r="A14" s="81"/>
      <c r="B14" s="3" t="s">
        <v>1914</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81"/>
      <c r="AF14" s="81"/>
      <c r="AG14" s="81"/>
      <c r="AH14" s="81"/>
    </row>
    <row r="15" ht="13.5" customHeight="1" spans="1:34" x14ac:dyDescent="0.25">
      <c r="A15" s="81"/>
      <c r="B15" s="1033" t="s">
        <v>1915</v>
      </c>
      <c r="C15" s="1033"/>
      <c r="D15" s="1033"/>
      <c r="E15" s="1033"/>
      <c r="F15" s="1033"/>
      <c r="G15" s="1033"/>
      <c r="H15" s="1033"/>
      <c r="I15" s="1033"/>
      <c r="J15" s="1033"/>
      <c r="K15" s="1033"/>
      <c r="L15" s="1033"/>
      <c r="M15" s="1033"/>
      <c r="N15" s="1033"/>
      <c r="O15" s="1033"/>
      <c r="P15" s="1033"/>
      <c r="Q15" s="1033"/>
      <c r="R15" s="1033"/>
      <c r="S15" s="1033"/>
      <c r="T15" s="1033"/>
      <c r="U15" s="1033"/>
      <c r="V15" s="1033"/>
      <c r="W15" s="1033"/>
      <c r="X15" s="1033"/>
      <c r="Y15" s="1033"/>
      <c r="Z15" s="1033"/>
      <c r="AA15" s="1033"/>
      <c r="AB15" s="1033"/>
      <c r="AC15" s="1033"/>
      <c r="AD15" s="1033"/>
      <c r="AE15" s="1034"/>
      <c r="AF15" s="1034"/>
      <c r="AG15" s="1034"/>
      <c r="AH15" s="81"/>
    </row>
    <row r="16" ht="13.5" customHeight="1" spans="1:34" x14ac:dyDescent="0.25">
      <c r="A16" s="81"/>
      <c r="B16" s="1035"/>
      <c r="C16" s="1035"/>
      <c r="D16" s="1035"/>
      <c r="E16" s="1035"/>
      <c r="F16" s="1035"/>
      <c r="G16" s="1035"/>
      <c r="H16" s="1035"/>
      <c r="I16" s="1035"/>
      <c r="J16" s="1035"/>
      <c r="K16" s="1035"/>
      <c r="L16" s="1035"/>
      <c r="M16" s="1035"/>
      <c r="N16" s="1035"/>
      <c r="O16" s="1035"/>
      <c r="P16" s="1035"/>
      <c r="Q16" s="1035"/>
      <c r="R16" s="1035"/>
      <c r="S16" s="1035"/>
      <c r="T16" s="1035"/>
      <c r="U16" s="1035"/>
      <c r="V16" s="1035"/>
      <c r="W16" s="1035"/>
      <c r="X16" s="1035"/>
      <c r="Y16" s="1035"/>
      <c r="Z16" s="1035"/>
      <c r="AA16" s="1035"/>
      <c r="AB16" s="1035"/>
      <c r="AC16" s="1035"/>
      <c r="AD16" s="1035"/>
      <c r="AE16" s="1035"/>
      <c r="AF16" s="1035"/>
      <c r="AG16" s="1035"/>
      <c r="AH16" s="738"/>
    </row>
    <row r="17" ht="13.5" customHeight="1" spans="1:34" x14ac:dyDescent="0.25">
      <c r="A17" s="81"/>
      <c r="B17" s="1035" t="s">
        <v>1916</v>
      </c>
      <c r="C17" s="1036"/>
      <c r="D17" s="1036"/>
      <c r="E17" s="1036"/>
      <c r="F17" s="1036"/>
      <c r="G17" s="1036"/>
      <c r="H17" s="1036"/>
      <c r="I17" s="1036"/>
      <c r="J17" s="1036"/>
      <c r="K17" s="1036"/>
      <c r="L17" s="1036"/>
      <c r="M17" s="1036"/>
      <c r="N17" s="1036"/>
      <c r="O17" s="1037">
        <f>初期入力!B37+7</f>
        <v>45383</v>
      </c>
      <c r="P17" s="1037"/>
      <c r="Q17" s="1037"/>
      <c r="R17" s="1037"/>
      <c r="S17" s="1037"/>
      <c r="T17" s="1037"/>
      <c r="U17" s="1037"/>
      <c r="V17" s="1037"/>
      <c r="W17" s="1038" t="s">
        <v>1917</v>
      </c>
      <c r="X17" s="1034"/>
      <c r="Y17" s="1033"/>
      <c r="Z17" s="1033"/>
      <c r="AA17" s="1033"/>
      <c r="AB17" s="1033"/>
      <c r="AC17" s="1033"/>
      <c r="AD17" s="1033"/>
      <c r="AE17" s="1033"/>
      <c r="AF17" s="1033"/>
      <c r="AG17" s="1033"/>
      <c r="AH17" s="81"/>
    </row>
    <row r="18" ht="13.5" customHeight="1" spans="1:34" x14ac:dyDescent="0.25">
      <c r="A18" s="81"/>
      <c r="B18" s="1039" t="s">
        <v>1918</v>
      </c>
      <c r="C18" s="1036"/>
      <c r="D18" s="1036"/>
      <c r="E18" s="1036"/>
      <c r="F18" s="1036"/>
      <c r="G18" s="1036"/>
      <c r="H18" s="1036"/>
      <c r="I18" s="1036"/>
      <c r="J18" s="1036"/>
      <c r="K18" s="1036"/>
      <c r="L18" s="1036"/>
      <c r="M18" s="1036"/>
      <c r="N18" s="1036"/>
      <c r="O18" s="1036"/>
      <c r="P18" s="1036"/>
      <c r="Q18" s="1036"/>
      <c r="R18" s="1036"/>
      <c r="S18" s="1036"/>
      <c r="T18" s="1036"/>
      <c r="U18" s="1036"/>
      <c r="V18" s="1036"/>
      <c r="W18" s="1036"/>
      <c r="X18" s="1036"/>
      <c r="Y18" s="1036"/>
      <c r="Z18" s="1036"/>
      <c r="AA18" s="1036"/>
      <c r="AB18" s="1036"/>
      <c r="AC18" s="1036"/>
      <c r="AD18" s="1036"/>
      <c r="AE18" s="1036"/>
      <c r="AF18" s="1036"/>
      <c r="AG18" s="1036"/>
      <c r="AH18" s="3"/>
    </row>
    <row r="19" ht="13.5" customHeight="1" spans="1:34" x14ac:dyDescent="0.25">
      <c r="A19" s="81"/>
      <c r="B19" s="1033"/>
      <c r="C19" s="1033"/>
      <c r="D19" s="1033"/>
      <c r="E19" s="1033"/>
      <c r="F19" s="1033"/>
      <c r="G19" s="1033"/>
      <c r="H19" s="1033"/>
      <c r="I19" s="1033"/>
      <c r="J19" s="1033"/>
      <c r="K19" s="1033"/>
      <c r="L19" s="1033"/>
      <c r="M19" s="1033"/>
      <c r="N19" s="1033"/>
      <c r="O19" s="1033"/>
      <c r="P19" s="1033"/>
      <c r="Q19" s="1033"/>
      <c r="R19" s="1033"/>
      <c r="S19" s="1033"/>
      <c r="T19" s="1033"/>
      <c r="U19" s="1033"/>
      <c r="V19" s="1033"/>
      <c r="W19" s="1033"/>
      <c r="X19" s="1033"/>
      <c r="Y19" s="1033"/>
      <c r="Z19" s="1033"/>
      <c r="AA19" s="1033"/>
      <c r="AB19" s="1033"/>
      <c r="AC19" s="1033"/>
      <c r="AD19" s="1033"/>
      <c r="AE19" s="1034"/>
      <c r="AF19" s="1034"/>
      <c r="AG19" s="1034"/>
      <c r="AH19" s="81"/>
    </row>
    <row r="20" ht="13.5" customHeight="1" spans="1:34" x14ac:dyDescent="0.25">
      <c r="A20" s="81"/>
      <c r="B20" s="1040" t="s">
        <v>1919</v>
      </c>
      <c r="C20" s="1036"/>
      <c r="D20" s="1036"/>
      <c r="E20" s="1036"/>
      <c r="F20" s="1036"/>
      <c r="G20" s="1036"/>
      <c r="H20" s="1036"/>
      <c r="I20" s="1036"/>
      <c r="J20" s="1036"/>
      <c r="K20" s="1036"/>
      <c r="L20" s="1036"/>
      <c r="M20" s="1036"/>
      <c r="N20" s="1036"/>
      <c r="O20" s="1036"/>
      <c r="P20" s="1036"/>
      <c r="Q20" s="1036"/>
      <c r="R20" s="1036"/>
      <c r="S20" s="1036"/>
      <c r="T20" s="1036"/>
      <c r="U20" s="1036"/>
      <c r="V20" s="1036"/>
      <c r="W20" s="1036"/>
      <c r="X20" s="1036"/>
      <c r="Y20" s="1036"/>
      <c r="Z20" s="1036"/>
      <c r="AA20" s="1036"/>
      <c r="AB20" s="1036"/>
      <c r="AC20" s="1036"/>
      <c r="AD20" s="1036"/>
      <c r="AE20" s="1036"/>
      <c r="AF20" s="1036"/>
      <c r="AG20" s="1036"/>
      <c r="AH20" s="81"/>
    </row>
    <row r="21" ht="13.5" customHeight="1" spans="1:34" x14ac:dyDescent="0.25">
      <c r="A21" s="81"/>
      <c r="B21" s="1033" t="s">
        <v>1920</v>
      </c>
      <c r="C21" s="1034"/>
      <c r="D21" s="1034"/>
      <c r="E21" s="1034"/>
      <c r="F21" s="1034"/>
      <c r="G21" s="1034"/>
      <c r="H21" s="1034"/>
      <c r="I21" s="1034"/>
      <c r="J21" s="1034"/>
      <c r="K21" s="1034"/>
      <c r="L21" s="1034"/>
      <c r="M21" s="1034"/>
      <c r="N21" s="1034"/>
      <c r="O21" s="1034"/>
      <c r="P21" s="1034"/>
      <c r="Q21" s="1034"/>
      <c r="R21" s="1034"/>
      <c r="S21" s="1034"/>
      <c r="T21" s="1034"/>
      <c r="U21" s="1034"/>
      <c r="V21" s="1034"/>
      <c r="W21" s="1034"/>
      <c r="X21" s="1034"/>
      <c r="Y21" s="1041"/>
      <c r="Z21" s="1041"/>
      <c r="AA21" s="1041"/>
      <c r="AB21" s="1041"/>
      <c r="AC21" s="1041"/>
      <c r="AD21" s="1041"/>
      <c r="AE21" s="1041"/>
      <c r="AF21" s="1041"/>
      <c r="AG21" s="1041" t="s">
        <v>1921</v>
      </c>
      <c r="AH21" s="81"/>
    </row>
    <row r="22" ht="13.5" customHeight="1" spans="1:40" x14ac:dyDescent="0.25">
      <c r="A22" s="81"/>
      <c r="B22" s="1034"/>
      <c r="C22" s="1034"/>
      <c r="D22" s="1034"/>
      <c r="E22" s="1034"/>
      <c r="F22" s="1034"/>
      <c r="G22" s="1034"/>
      <c r="H22" s="1034"/>
      <c r="I22" s="1034"/>
      <c r="J22" s="1034"/>
      <c r="K22" s="1034"/>
      <c r="L22" s="1034"/>
      <c r="M22" s="1034"/>
      <c r="N22" s="1034"/>
      <c r="O22" s="1042" t="s">
        <v>1073</v>
      </c>
      <c r="P22" s="1036"/>
      <c r="Q22" s="1034"/>
      <c r="R22" s="1034"/>
      <c r="S22" s="1034"/>
      <c r="T22" s="1034"/>
      <c r="U22" s="1034"/>
      <c r="V22" s="1034"/>
      <c r="W22" s="1034"/>
      <c r="X22" s="1034"/>
      <c r="Y22" s="1034"/>
      <c r="Z22" s="1034"/>
      <c r="AA22" s="1034"/>
      <c r="AB22" s="1034"/>
      <c r="AC22" s="1034"/>
      <c r="AD22" s="1034"/>
      <c r="AE22" s="1034"/>
      <c r="AF22" s="1034"/>
      <c r="AG22" s="1034"/>
      <c r="AH22" s="81"/>
      <c r="AN22" s="1002"/>
    </row>
    <row r="23" ht="13.5" customHeight="1" spans="1:34" x14ac:dyDescent="0.25">
      <c r="A23" s="81"/>
      <c r="B23" s="1034"/>
      <c r="C23" s="1034"/>
      <c r="D23" s="1034"/>
      <c r="E23" s="1034"/>
      <c r="F23" s="1034"/>
      <c r="G23" s="1034"/>
      <c r="H23" s="1034"/>
      <c r="I23" s="1034"/>
      <c r="J23" s="1034"/>
      <c r="K23" s="1034"/>
      <c r="L23" s="1034"/>
      <c r="M23" s="1034"/>
      <c r="N23" s="1034"/>
      <c r="O23" s="1034"/>
      <c r="P23" s="1034"/>
      <c r="Q23" s="1034"/>
      <c r="R23" s="1034"/>
      <c r="S23" s="1034"/>
      <c r="T23" s="1034"/>
      <c r="U23" s="1034"/>
      <c r="V23" s="1034"/>
      <c r="W23" s="1034"/>
      <c r="X23" s="1034"/>
      <c r="Y23" s="1034"/>
      <c r="Z23" s="1034"/>
      <c r="AA23" s="1034"/>
      <c r="AB23" s="1034"/>
      <c r="AC23" s="1034"/>
      <c r="AD23" s="1034"/>
      <c r="AE23" s="1034"/>
      <c r="AF23" s="1034"/>
      <c r="AG23" s="1034"/>
      <c r="AH23" s="81"/>
    </row>
    <row r="24" ht="21" customHeight="1" spans="1:34" x14ac:dyDescent="0.25">
      <c r="A24" s="81"/>
      <c r="B24" s="1043" t="s">
        <v>1922</v>
      </c>
      <c r="C24" s="1044"/>
      <c r="D24" s="1044"/>
      <c r="E24" s="1044"/>
      <c r="F24" s="1044"/>
      <c r="G24" s="1044"/>
      <c r="H24" s="1044"/>
      <c r="I24" s="1044"/>
      <c r="J24" s="1044"/>
      <c r="K24" s="1044"/>
      <c r="L24" s="1044"/>
      <c r="M24" s="1045"/>
      <c r="N24" s="1046" t="s">
        <v>1622</v>
      </c>
      <c r="O24" s="1044"/>
      <c r="P24" s="1044"/>
      <c r="Q24" s="1044"/>
      <c r="R24" s="1044"/>
      <c r="S24" s="1044"/>
      <c r="T24" s="1044"/>
      <c r="U24" s="1044"/>
      <c r="V24" s="1044"/>
      <c r="W24" s="1047"/>
      <c r="X24" s="1048" t="s">
        <v>1923</v>
      </c>
      <c r="Y24" s="1044"/>
      <c r="Z24" s="1044"/>
      <c r="AA24" s="1044"/>
      <c r="AB24" s="1044"/>
      <c r="AC24" s="1044"/>
      <c r="AD24" s="1044"/>
      <c r="AE24" s="1044"/>
      <c r="AF24" s="1044"/>
      <c r="AG24" s="1047"/>
      <c r="AH24" s="81"/>
    </row>
    <row r="25" ht="21" customHeight="1" spans="1:34" x14ac:dyDescent="0.25">
      <c r="A25" s="81"/>
      <c r="B25" s="1049" t="s">
        <v>1924</v>
      </c>
      <c r="C25" s="1050"/>
      <c r="D25" s="1050"/>
      <c r="E25" s="1050"/>
      <c r="F25" s="1050"/>
      <c r="G25" s="1050"/>
      <c r="H25" s="1050"/>
      <c r="I25" s="1050"/>
      <c r="J25" s="1050"/>
      <c r="K25" s="1050"/>
      <c r="L25" s="1050"/>
      <c r="M25" s="1050"/>
      <c r="N25" s="1051">
        <f>初期入力!B36</f>
        <v>1000000</v>
      </c>
      <c r="O25" s="1052"/>
      <c r="P25" s="1052"/>
      <c r="Q25" s="1052"/>
      <c r="R25" s="1052"/>
      <c r="S25" s="1052"/>
      <c r="T25" s="1052"/>
      <c r="U25" s="1052"/>
      <c r="V25" s="1052"/>
      <c r="W25" s="1053" t="s">
        <v>1616</v>
      </c>
      <c r="X25" s="1054">
        <f>初期入力!B37+7</f>
        <v>45383</v>
      </c>
      <c r="Y25" s="1050"/>
      <c r="Z25" s="1050"/>
      <c r="AA25" s="1050"/>
      <c r="AB25" s="1050"/>
      <c r="AC25" s="1050"/>
      <c r="AD25" s="1050"/>
      <c r="AE25" s="1050"/>
      <c r="AF25" s="1050"/>
      <c r="AG25" s="1055"/>
      <c r="AH25" s="81"/>
    </row>
    <row r="26" ht="21" customHeight="1" spans="1:34" x14ac:dyDescent="0.25">
      <c r="A26" s="81"/>
      <c r="B26" s="1056"/>
      <c r="C26" s="1057"/>
      <c r="D26" s="1057"/>
      <c r="E26" s="1057"/>
      <c r="F26" s="1057"/>
      <c r="G26" s="1057"/>
      <c r="H26" s="1057"/>
      <c r="I26" s="1057"/>
      <c r="J26" s="1057"/>
      <c r="K26" s="1057"/>
      <c r="L26" s="1057"/>
      <c r="M26" s="1057"/>
      <c r="N26" s="1058"/>
      <c r="O26" s="1057"/>
      <c r="P26" s="1057"/>
      <c r="Q26" s="1057"/>
      <c r="R26" s="1057"/>
      <c r="S26" s="1057"/>
      <c r="T26" s="1057"/>
      <c r="U26" s="1057"/>
      <c r="V26" s="1057"/>
      <c r="W26" s="1059" t="s">
        <v>1616</v>
      </c>
      <c r="X26" s="1054"/>
      <c r="Y26" s="1050"/>
      <c r="Z26" s="1050"/>
      <c r="AA26" s="1050"/>
      <c r="AB26" s="1050"/>
      <c r="AC26" s="1050"/>
      <c r="AD26" s="1050"/>
      <c r="AE26" s="1050"/>
      <c r="AF26" s="1050"/>
      <c r="AG26" s="1055"/>
      <c r="AH26" s="81"/>
    </row>
    <row r="27" ht="21" customHeight="1" spans="1:34" x14ac:dyDescent="0.25">
      <c r="A27" s="81"/>
      <c r="B27" s="1056"/>
      <c r="C27" s="1057"/>
      <c r="D27" s="1057"/>
      <c r="E27" s="1057"/>
      <c r="F27" s="1057"/>
      <c r="G27" s="1057"/>
      <c r="H27" s="1057"/>
      <c r="I27" s="1057"/>
      <c r="J27" s="1057"/>
      <c r="K27" s="1057"/>
      <c r="L27" s="1057"/>
      <c r="M27" s="1057"/>
      <c r="N27" s="1058"/>
      <c r="O27" s="1057"/>
      <c r="P27" s="1057"/>
      <c r="Q27" s="1057"/>
      <c r="R27" s="1057"/>
      <c r="S27" s="1057"/>
      <c r="T27" s="1057"/>
      <c r="U27" s="1057"/>
      <c r="V27" s="1057"/>
      <c r="W27" s="1059" t="s">
        <v>1616</v>
      </c>
      <c r="X27" s="1060"/>
      <c r="Y27" s="1050"/>
      <c r="Z27" s="1050"/>
      <c r="AA27" s="1050"/>
      <c r="AB27" s="1050"/>
      <c r="AC27" s="1050"/>
      <c r="AD27" s="1050"/>
      <c r="AE27" s="1050"/>
      <c r="AF27" s="1050"/>
      <c r="AG27" s="1055"/>
      <c r="AH27" s="81"/>
    </row>
    <row r="28" ht="21" customHeight="1" spans="1:34" x14ac:dyDescent="0.25">
      <c r="A28" s="81"/>
      <c r="B28" s="1056"/>
      <c r="C28" s="1057"/>
      <c r="D28" s="1057"/>
      <c r="E28" s="1057"/>
      <c r="F28" s="1057"/>
      <c r="G28" s="1057"/>
      <c r="H28" s="1057"/>
      <c r="I28" s="1057"/>
      <c r="J28" s="1057"/>
      <c r="K28" s="1057"/>
      <c r="L28" s="1057"/>
      <c r="M28" s="1057"/>
      <c r="N28" s="1058"/>
      <c r="O28" s="1057"/>
      <c r="P28" s="1057"/>
      <c r="Q28" s="1057"/>
      <c r="R28" s="1057"/>
      <c r="S28" s="1057"/>
      <c r="T28" s="1057"/>
      <c r="U28" s="1057"/>
      <c r="V28" s="1057"/>
      <c r="W28" s="1059" t="s">
        <v>1616</v>
      </c>
      <c r="X28" s="1060"/>
      <c r="Y28" s="1050"/>
      <c r="Z28" s="1050"/>
      <c r="AA28" s="1050"/>
      <c r="AB28" s="1050"/>
      <c r="AC28" s="1050"/>
      <c r="AD28" s="1050"/>
      <c r="AE28" s="1050"/>
      <c r="AF28" s="1050"/>
      <c r="AG28" s="1055"/>
      <c r="AH28" s="81"/>
    </row>
    <row r="29" ht="21" customHeight="1" spans="1:34" x14ac:dyDescent="0.25">
      <c r="A29" s="81"/>
      <c r="B29" s="1056"/>
      <c r="C29" s="1057"/>
      <c r="D29" s="1057"/>
      <c r="E29" s="1057"/>
      <c r="F29" s="1057"/>
      <c r="G29" s="1057"/>
      <c r="H29" s="1057"/>
      <c r="I29" s="1057"/>
      <c r="J29" s="1057"/>
      <c r="K29" s="1057"/>
      <c r="L29" s="1057"/>
      <c r="M29" s="1057"/>
      <c r="N29" s="1058"/>
      <c r="O29" s="1057"/>
      <c r="P29" s="1057"/>
      <c r="Q29" s="1057"/>
      <c r="R29" s="1057"/>
      <c r="S29" s="1057"/>
      <c r="T29" s="1057"/>
      <c r="U29" s="1057"/>
      <c r="V29" s="1057"/>
      <c r="W29" s="1059" t="s">
        <v>1616</v>
      </c>
      <c r="X29" s="1060"/>
      <c r="Y29" s="1050"/>
      <c r="Z29" s="1050"/>
      <c r="AA29" s="1050"/>
      <c r="AB29" s="1050"/>
      <c r="AC29" s="1050"/>
      <c r="AD29" s="1050"/>
      <c r="AE29" s="1050"/>
      <c r="AF29" s="1050"/>
      <c r="AG29" s="1055"/>
      <c r="AH29" s="81"/>
    </row>
    <row r="30" ht="21" customHeight="1" spans="1:34" x14ac:dyDescent="0.25">
      <c r="A30" s="81"/>
      <c r="B30" s="1061"/>
      <c r="C30" s="1062"/>
      <c r="D30" s="1062"/>
      <c r="E30" s="1062"/>
      <c r="F30" s="1062"/>
      <c r="G30" s="1062"/>
      <c r="H30" s="1062"/>
      <c r="I30" s="1062"/>
      <c r="J30" s="1062"/>
      <c r="K30" s="1062"/>
      <c r="L30" s="1062"/>
      <c r="M30" s="1062"/>
      <c r="N30" s="1063"/>
      <c r="O30" s="1062"/>
      <c r="P30" s="1062"/>
      <c r="Q30" s="1062"/>
      <c r="R30" s="1062"/>
      <c r="S30" s="1062"/>
      <c r="T30" s="1062"/>
      <c r="U30" s="1062"/>
      <c r="V30" s="1062"/>
      <c r="W30" s="1064" t="s">
        <v>1616</v>
      </c>
      <c r="X30" s="1065"/>
      <c r="Y30" s="1062"/>
      <c r="Z30" s="1062"/>
      <c r="AA30" s="1062"/>
      <c r="AB30" s="1062"/>
      <c r="AC30" s="1062"/>
      <c r="AD30" s="1062"/>
      <c r="AE30" s="1062"/>
      <c r="AF30" s="1062"/>
      <c r="AG30" s="1066"/>
      <c r="AH30" s="81"/>
    </row>
    <row r="31" ht="21" customHeight="1" spans="1:34" x14ac:dyDescent="0.25">
      <c r="A31" s="81"/>
      <c r="B31" s="1067"/>
      <c r="C31" s="1067"/>
      <c r="D31" s="1067"/>
      <c r="E31" s="1067"/>
      <c r="F31" s="1067"/>
      <c r="G31" s="1067"/>
      <c r="H31" s="1067"/>
      <c r="I31" s="1067"/>
      <c r="J31" s="1067"/>
      <c r="K31" s="1067"/>
      <c r="L31" s="1067"/>
      <c r="M31" s="1067"/>
      <c r="N31" s="1067"/>
      <c r="O31" s="1067"/>
      <c r="P31" s="1067"/>
      <c r="Q31" s="1067"/>
      <c r="R31" s="1067"/>
      <c r="S31" s="1067"/>
      <c r="T31" s="1067"/>
      <c r="U31" s="1067"/>
      <c r="V31" s="1067"/>
      <c r="W31" s="1067"/>
      <c r="X31" s="1067"/>
      <c r="Y31" s="1067"/>
      <c r="Z31" s="1067"/>
      <c r="AA31" s="1067"/>
      <c r="AB31" s="1067"/>
      <c r="AC31" s="1067"/>
      <c r="AD31" s="1067"/>
      <c r="AE31" s="1042"/>
      <c r="AF31" s="1042"/>
      <c r="AG31" s="1042"/>
      <c r="AH31" s="81"/>
    </row>
    <row r="32" ht="25.5" customHeight="1" spans="1:34" x14ac:dyDescent="0.25">
      <c r="A32" s="81"/>
      <c r="B32" s="1068" t="s">
        <v>1925</v>
      </c>
      <c r="C32" s="14"/>
      <c r="D32" s="14"/>
      <c r="E32" s="14"/>
      <c r="F32" s="14"/>
      <c r="G32" s="14"/>
      <c r="H32" s="14"/>
      <c r="I32" s="14"/>
      <c r="J32" s="14"/>
      <c r="K32" s="14"/>
      <c r="L32" s="14"/>
      <c r="M32" s="15"/>
      <c r="N32" s="1069">
        <f>SUM(N25:V30)</f>
        <v>1000000</v>
      </c>
      <c r="O32" s="14"/>
      <c r="P32" s="14"/>
      <c r="Q32" s="14"/>
      <c r="R32" s="14"/>
      <c r="S32" s="14"/>
      <c r="T32" s="14"/>
      <c r="U32" s="14"/>
      <c r="V32" s="14"/>
      <c r="W32" s="14"/>
      <c r="X32" s="14"/>
      <c r="Y32" s="14"/>
      <c r="Z32" s="14"/>
      <c r="AA32" s="14"/>
      <c r="AB32" s="14"/>
      <c r="AC32" s="14"/>
      <c r="AD32" s="14"/>
      <c r="AE32" s="14"/>
      <c r="AF32" s="14"/>
      <c r="AG32" s="1070" t="s">
        <v>1616</v>
      </c>
      <c r="AH32" s="81"/>
    </row>
    <row r="33" ht="9.75" customHeight="1" spans="1:34" x14ac:dyDescent="0.25">
      <c r="A33" s="81"/>
      <c r="B33" s="814"/>
      <c r="C33" s="814"/>
      <c r="D33" s="814"/>
      <c r="E33" s="814"/>
      <c r="F33" s="814"/>
      <c r="G33" s="814"/>
      <c r="H33" s="814"/>
      <c r="I33" s="814"/>
      <c r="J33" s="814"/>
      <c r="K33" s="814"/>
      <c r="L33" s="814"/>
      <c r="M33" s="814"/>
      <c r="N33" s="1071"/>
      <c r="O33" s="1071"/>
      <c r="P33" s="1071"/>
      <c r="Q33" s="1071"/>
      <c r="R33" s="1071"/>
      <c r="S33" s="1071"/>
      <c r="T33" s="1071"/>
      <c r="U33" s="1071"/>
      <c r="V33" s="1071"/>
      <c r="W33" s="1071"/>
      <c r="X33" s="1071"/>
      <c r="Y33" s="1071"/>
      <c r="Z33" s="1071"/>
      <c r="AA33" s="1071"/>
      <c r="AB33" s="1071"/>
      <c r="AC33" s="1071"/>
      <c r="AD33" s="1071"/>
      <c r="AE33" s="1071"/>
      <c r="AF33" s="1071"/>
      <c r="AG33" s="1072"/>
      <c r="AH33" s="81"/>
    </row>
    <row r="34" ht="13.5" customHeight="1" spans="1:34" x14ac:dyDescent="0.25">
      <c r="A34" s="81"/>
      <c r="B34" s="81" t="s">
        <v>1926</v>
      </c>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row>
    <row r="35" ht="16.5" customHeight="1" spans="1:34" x14ac:dyDescent="0.25">
      <c r="A35" s="81"/>
      <c r="B35" s="1068" t="s">
        <v>1927</v>
      </c>
      <c r="C35" s="14"/>
      <c r="D35" s="14"/>
      <c r="E35" s="14"/>
      <c r="F35" s="14"/>
      <c r="G35" s="14"/>
      <c r="H35" s="14"/>
      <c r="I35" s="14"/>
      <c r="J35" s="14"/>
      <c r="K35" s="14"/>
      <c r="L35" s="14"/>
      <c r="M35" s="15"/>
      <c r="N35" s="1068" t="s">
        <v>1928</v>
      </c>
      <c r="O35" s="14"/>
      <c r="P35" s="14"/>
      <c r="Q35" s="14"/>
      <c r="R35" s="14"/>
      <c r="S35" s="14"/>
      <c r="T35" s="14"/>
      <c r="U35" s="14"/>
      <c r="V35" s="14"/>
      <c r="W35" s="15"/>
      <c r="X35" s="1068" t="s">
        <v>1929</v>
      </c>
      <c r="Y35" s="14"/>
      <c r="Z35" s="14"/>
      <c r="AA35" s="14"/>
      <c r="AB35" s="14"/>
      <c r="AC35" s="14"/>
      <c r="AD35" s="14"/>
      <c r="AE35" s="14"/>
      <c r="AF35" s="14"/>
      <c r="AG35" s="15"/>
      <c r="AH35" s="81"/>
    </row>
    <row r="36" ht="13.5" customHeight="1" spans="1:34" x14ac:dyDescent="0.25">
      <c r="A36" s="81"/>
      <c r="B36" s="1073" t="s">
        <v>1930</v>
      </c>
      <c r="C36" s="28"/>
      <c r="D36" s="28"/>
      <c r="E36" s="28"/>
      <c r="F36" s="28"/>
      <c r="G36" s="28"/>
      <c r="H36" s="28"/>
      <c r="I36" s="28"/>
      <c r="J36" s="28"/>
      <c r="K36" s="28"/>
      <c r="L36" s="28"/>
      <c r="M36" s="29"/>
      <c r="N36" s="1073" t="s">
        <v>1931</v>
      </c>
      <c r="O36" s="28"/>
      <c r="P36" s="28"/>
      <c r="Q36" s="28"/>
      <c r="R36" s="28"/>
      <c r="S36" s="28"/>
      <c r="T36" s="28"/>
      <c r="U36" s="28"/>
      <c r="V36" s="28"/>
      <c r="W36" s="29"/>
      <c r="X36" s="1074" t="s">
        <v>1068</v>
      </c>
      <c r="Y36" s="28"/>
      <c r="Z36" s="28"/>
      <c r="AA36" s="28"/>
      <c r="AB36" s="28"/>
      <c r="AC36" s="28"/>
      <c r="AD36" s="28"/>
      <c r="AE36" s="28"/>
      <c r="AF36" s="28"/>
      <c r="AG36" s="29"/>
      <c r="AH36" s="81"/>
    </row>
    <row r="37" ht="20.25" customHeight="1" spans="1:34" x14ac:dyDescent="0.25">
      <c r="A37" s="81"/>
      <c r="B37" s="197"/>
      <c r="C37" s="9"/>
      <c r="D37" s="9"/>
      <c r="E37" s="9"/>
      <c r="F37" s="9"/>
      <c r="G37" s="9"/>
      <c r="H37" s="9"/>
      <c r="I37" s="9"/>
      <c r="J37" s="9"/>
      <c r="K37" s="9"/>
      <c r="L37" s="9"/>
      <c r="M37" s="10"/>
      <c r="N37" s="197"/>
      <c r="O37" s="9"/>
      <c r="P37" s="9"/>
      <c r="Q37" s="9"/>
      <c r="R37" s="9"/>
      <c r="S37" s="9"/>
      <c r="T37" s="9"/>
      <c r="U37" s="9"/>
      <c r="V37" s="9"/>
      <c r="W37" s="10"/>
      <c r="X37" s="197"/>
      <c r="Y37" s="9"/>
      <c r="Z37" s="9"/>
      <c r="AA37" s="9"/>
      <c r="AB37" s="9"/>
      <c r="AC37" s="9"/>
      <c r="AD37" s="9"/>
      <c r="AE37" s="9"/>
      <c r="AF37" s="9"/>
      <c r="AG37" s="10"/>
      <c r="AH37" s="81"/>
    </row>
    <row r="38" ht="11.25" customHeight="1" spans="1:34" x14ac:dyDescent="0.25">
      <c r="A38" s="81"/>
      <c r="B38" s="814"/>
      <c r="C38" s="814"/>
      <c r="D38" s="814"/>
      <c r="E38" s="814"/>
      <c r="F38" s="814"/>
      <c r="G38" s="814"/>
      <c r="H38" s="814"/>
      <c r="I38" s="814"/>
      <c r="J38" s="814"/>
      <c r="K38" s="814"/>
      <c r="L38" s="814"/>
      <c r="M38" s="814"/>
      <c r="N38" s="814"/>
      <c r="O38" s="814"/>
      <c r="P38" s="814"/>
      <c r="Q38" s="814"/>
      <c r="R38" s="814"/>
      <c r="S38" s="814"/>
      <c r="T38" s="814"/>
      <c r="U38" s="814"/>
      <c r="V38" s="814"/>
      <c r="W38" s="814"/>
      <c r="X38" s="814"/>
      <c r="Y38" s="814"/>
      <c r="Z38" s="814"/>
      <c r="AA38" s="814"/>
      <c r="AB38" s="814"/>
      <c r="AC38" s="814"/>
      <c r="AD38" s="814"/>
      <c r="AE38" s="814"/>
      <c r="AF38" s="814"/>
      <c r="AG38" s="814"/>
      <c r="AH38" s="81"/>
    </row>
    <row r="39" ht="20.25" customHeight="1" spans="1:34" x14ac:dyDescent="0.25">
      <c r="A39" s="81" t="s">
        <v>1932</v>
      </c>
      <c r="B39" s="814"/>
      <c r="C39" s="814"/>
      <c r="D39" s="814"/>
      <c r="E39" s="814"/>
      <c r="F39" s="814"/>
      <c r="G39" s="814"/>
      <c r="H39" s="814"/>
      <c r="I39" s="814"/>
      <c r="J39" s="814"/>
      <c r="K39" s="814"/>
      <c r="L39" s="814"/>
      <c r="M39" s="814"/>
      <c r="N39" s="814"/>
      <c r="O39" s="814"/>
      <c r="P39" s="814"/>
      <c r="Q39" s="814"/>
      <c r="R39" s="814"/>
      <c r="S39" s="814"/>
      <c r="T39" s="814"/>
      <c r="U39" s="814"/>
      <c r="V39" s="814"/>
      <c r="W39" s="814"/>
      <c r="X39" s="814"/>
      <c r="Y39" s="814"/>
      <c r="Z39" s="814"/>
      <c r="AA39" s="814"/>
      <c r="AB39" s="814"/>
      <c r="AC39" s="814"/>
      <c r="AD39" s="814"/>
      <c r="AE39" s="814"/>
      <c r="AF39" s="814"/>
      <c r="AG39" s="814"/>
      <c r="AH39" s="81"/>
    </row>
    <row r="40" ht="19.5" customHeight="1" spans="1:34" x14ac:dyDescent="0.25">
      <c r="A40" s="1075" t="s">
        <v>1933</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ht="20.1" customHeight="1" spans="1:34" x14ac:dyDescent="0.25">
      <c r="A41" s="1075" t="s">
        <v>1934</v>
      </c>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ht="17.1" customHeight="1" spans="1:34" x14ac:dyDescent="0.25">
      <c r="A42" s="680" t="s">
        <v>1935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ht="13.5" customHeight="1" spans="1:34" x14ac:dyDescent="0.25">
      <c r="A43" s="68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ht="13.5" customHeight="1" spans="1:34" x14ac:dyDescent="0.25">
      <c r="A44" s="68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ht="13.5" customHeight="1" spans="1:34" x14ac:dyDescent="0.25">
      <c r="A45" s="68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ht="13.5" customHeight="1" spans="1:34" x14ac:dyDescent="0.25">
      <c r="A46" s="1076"/>
      <c r="B46" s="1076"/>
      <c r="C46" s="81"/>
      <c r="D46" s="81"/>
      <c r="E46" s="81"/>
      <c r="F46" s="81"/>
      <c r="G46" s="1076"/>
      <c r="H46" s="81"/>
      <c r="I46" s="81"/>
      <c r="J46" s="81"/>
      <c r="K46" s="81"/>
      <c r="L46" s="81"/>
      <c r="M46" s="81"/>
      <c r="N46" s="81"/>
      <c r="O46" s="81"/>
      <c r="P46" s="81"/>
      <c r="Q46" s="81"/>
      <c r="R46" s="81"/>
      <c r="S46" s="81"/>
      <c r="T46" s="81"/>
      <c r="U46" s="81"/>
      <c r="V46" s="81"/>
      <c r="W46" s="81"/>
      <c r="X46" s="81"/>
      <c r="Y46" s="81"/>
      <c r="Z46" s="81"/>
      <c r="AA46" s="81"/>
      <c r="AB46" s="81"/>
      <c r="AC46" s="81"/>
      <c r="AD46" s="1020"/>
      <c r="AE46" s="1"/>
      <c r="AF46" s="1"/>
      <c r="AG46" s="1"/>
      <c r="AH46" s="81"/>
    </row>
    <row r="47" ht="19.5" customHeight="1" spans="1:34" x14ac:dyDescent="0.25">
      <c r="A47" s="1076"/>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ht="19.5" customHeight="1" spans="1:34"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ht="19.5" customHeight="1" spans="1:34"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ht="19.5" customHeight="1" spans="1:34"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ht="19.5" customHeight="1" spans="1:34" x14ac:dyDescent="0.25">
      <c r="A51" s="1076"/>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ht="19.5" customHeight="1" spans="1:34"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ht="19.5" customHeight="1" spans="1:34"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ht="19.5" customHeight="1" spans="1:34"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ht="19.5" customHeight="1" spans="1:34"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ht="19.5" customHeight="1" spans="1:34"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ht="19.5" customHeight="1" spans="1:34" x14ac:dyDescent="0.25">
      <c r="A57" s="1076"/>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ht="19.5" customHeight="1" spans="1:34"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ht="19.5" customHeight="1" spans="1:34"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ht="19.5" customHeight="1" spans="1:34"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ht="19.5" customHeight="1" spans="1:34"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ht="19.5" customHeight="1" spans="1:34"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ht="19.5" customHeight="1" spans="1:34"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ht="19.5" customHeight="1" spans="1:34" x14ac:dyDescent="0.25">
      <c r="A64" s="1076"/>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ht="19.5" customHeight="1" spans="1:34"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ht="19.5" customHeight="1" spans="1:34"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ht="19.5" customHeight="1" spans="1:34"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ht="19.5" customHeight="1" spans="1:34"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ht="19.5" customHeight="1" spans="1:34"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ht="19.5" customHeight="1" spans="1:34"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ht="19.5" customHeight="1" spans="1:34"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ht="19.5" customHeight="1" spans="1:34"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ht="20.25" customHeight="1" spans="1:34" x14ac:dyDescent="0.25">
      <c r="A73" s="1076"/>
      <c r="B73" s="1076"/>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ht="20.25" customHeight="1" spans="1:34"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ht="20.25" customHeight="1" spans="1:34"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ht="20.25" customHeight="1" spans="1:34"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ht="20.25" customHeight="1" spans="1:34"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ht="20.25" customHeight="1" spans="1:34"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ht="20.25" customHeight="1" spans="1:34"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ht="20.25" customHeight="1" spans="1:34"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ht="20.25" customHeight="1" spans="1:34"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ht="20.25" customHeight="1" spans="1:34" x14ac:dyDescent="0.25">
      <c r="A82" s="1076"/>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ht="20.25" customHeight="1" spans="1:34"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ht="20.25" customHeight="1" spans="1:34"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ht="20.25" customHeight="1" spans="1:34"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ht="20.25" customHeight="1" spans="1:34"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ht="20.25" customHeight="1" spans="1:34"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ht="20.25" customHeight="1" spans="1:34"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ht="20.25" customHeight="1" spans="1:34"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ht="20.25" customHeight="1" spans="1:34"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ht="20.25" customHeight="1" spans="1:34"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ht="20.25" customHeight="1" spans="1:34"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ht="20.25" customHeight="1" spans="1:34"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ht="20.25" customHeight="1" spans="1:34"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ht="20.25" customHeight="1" spans="1:34"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ht="20.25" customHeight="1" spans="1:34"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ht="20.25" customHeight="1" spans="1:34"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ht="20.25" customHeight="1" spans="1:3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ht="20.25" customHeight="1" spans="1:34"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ht="20.25" customHeight="1" spans="1:34" x14ac:dyDescent="0.25">
      <c r="A100" s="1076"/>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ht="20.25" customHeight="1" spans="1:34"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ht="20.25" customHeight="1" spans="1:34"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ht="20.25" customHeight="1" spans="1:34"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ht="20.25" customHeight="1" spans="1:34"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ht="20.25" customHeight="1" spans="1:34"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ht="20.25" customHeight="1" spans="1:34"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ht="20.25" customHeight="1" spans="1:34"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ht="20.25" customHeight="1" spans="1:34"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ht="20.25" customHeight="1" spans="1:34"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ht="20.25" customHeight="1" spans="1:34"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ht="20.25" customHeight="1" spans="1:34"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ht="20.25" customHeight="1" spans="1:34"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ht="20.25" customHeight="1" spans="1:34"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ht="20.25" customHeight="1" spans="1:34"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ht="20.25" customHeight="1" spans="1:34"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ht="20.25" customHeight="1" spans="1:34"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ht="20.25" customHeight="1" spans="1:34"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ht="20.25" customHeight="1" spans="1:34"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ht="20.25" customHeight="1" spans="1:34"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ht="20.25" customHeight="1" spans="1:34"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ht="20.25" customHeight="1" spans="1:34"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ht="20.25" customHeight="1" spans="1:34"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ht="20.25" customHeight="1" spans="1:34"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ht="20.25" customHeight="1" spans="1:34"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ht="20.25" customHeight="1" spans="1:34"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ht="20.25" customHeight="1" spans="1:34"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ht="20.25" customHeight="1" spans="1:34"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ht="20.25" customHeight="1" spans="1:34"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ht="20.25" customHeight="1" spans="1:3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ht="20.25" customHeight="1" spans="1:34"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ht="20.25" customHeight="1" spans="1:34"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ht="20.25" customHeight="1" spans="1:34"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ht="20.25" customHeight="1" spans="1:34"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ht="20.25" customHeight="1" spans="1:34"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ht="20.25" customHeight="1" spans="1:34"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ht="20.25" customHeight="1" spans="1:34"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ht="12.75" customHeight="1" spans="1:34"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ht="12.75" customHeight="1" spans="1:34"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ht="12.75" customHeight="1" spans="1:34"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ht="12.75" customHeight="1" spans="1:34"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ht="12.75" customHeight="1" spans="1:34"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ht="12.75" customHeight="1" spans="1:34"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ht="12.75" customHeight="1" spans="1:34"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ht="12.75" customHeight="1" spans="1:3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ht="12.75" customHeight="1" spans="1:34"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ht="12.75" customHeight="1" spans="1:34"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ht="12.75" customHeight="1" spans="1:34"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ht="12.75" customHeight="1" spans="1:34"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ht="12.75" customHeight="1" spans="1:34"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ht="12.75" customHeight="1" spans="1:34"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ht="12.75" customHeight="1" spans="1:34"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ht="12.75" customHeight="1" spans="1:3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ht="12.75" customHeight="1" spans="1:34"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ht="12.75" customHeight="1" spans="1:34"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ht="12.75" customHeight="1" spans="1:3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ht="12.75" customHeight="1" spans="1:3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ht="12.75" customHeight="1" spans="1:34"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ht="12.75" customHeight="1" spans="1:34"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ht="12.75" customHeight="1" spans="1:34"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ht="12.75" customHeight="1" spans="1:34"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ht="12.75" customHeight="1" spans="1:34"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ht="12.75" customHeight="1" spans="1:34"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ht="12.75" customHeight="1" spans="1:34"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ht="12.75" customHeight="1" spans="1:34"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ht="12.75" customHeight="1" spans="1:34"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ht="12.75" customHeight="1" spans="1:34"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ht="12.75" customHeight="1" spans="1:34"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ht="12.75" customHeight="1" spans="1:34"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ht="12.75" customHeight="1" spans="1:34"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ht="12.75" customHeight="1" spans="1:34"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ht="12.75" customHeight="1" spans="1:34"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ht="12.75" customHeight="1" spans="1:34"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ht="12.75" customHeight="1" spans="1:34"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ht="12.75" customHeight="1" spans="1:34"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ht="12.75" customHeight="1" spans="1:34"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ht="12.75" customHeight="1" spans="1:34"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ht="12.75" customHeight="1" spans="1:34"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ht="12.75" customHeight="1" spans="1:34"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ht="12.75" customHeight="1" spans="1:34"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ht="12.75" customHeight="1" spans="1:34"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ht="12.75" customHeight="1" spans="1:34"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ht="12.75" customHeight="1" spans="1:34"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ht="12.75" customHeight="1" spans="1:34"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ht="12.75" customHeight="1" spans="1:34"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ht="12.75" customHeight="1" spans="1:34"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ht="12.75" customHeight="1" spans="1:34"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ht="12.75" customHeight="1" spans="1:34"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ht="12.75" customHeight="1" spans="1:34"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ht="12.75" customHeight="1" spans="1:34"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ht="12.75" customHeight="1" spans="1:34"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ht="12.75" customHeight="1" spans="1:34"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ht="12.75" customHeight="1" spans="1:34"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ht="12.75" customHeight="1" spans="1:34"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ht="12.75" customHeight="1" spans="1:34"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ht="12.75" customHeight="1" spans="1:34"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ht="12.75" customHeight="1" spans="1:34"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ht="12.75" customHeight="1" spans="1:34"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ht="12.75" customHeight="1" spans="1:34"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ht="12.75" customHeight="1" spans="1:34"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ht="12.75" customHeight="1" spans="1:34"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ht="12.75" customHeight="1" spans="1:34"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row r="202" ht="12.75" customHeight="1" spans="1:34"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row>
    <row r="203" ht="12.75" customHeight="1" spans="1:34"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row>
    <row r="204" ht="12.75" customHeight="1" spans="1:34"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row>
    <row r="205" ht="12.75" customHeight="1" spans="1:34"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row>
    <row r="206" ht="12.75" customHeight="1" spans="1:34"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row>
    <row r="207" ht="12.75" customHeight="1" spans="1:34"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row>
    <row r="208" ht="12.75" customHeight="1" spans="1:34"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row>
    <row r="209" ht="12.75" customHeight="1" spans="1:34"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row>
    <row r="210" ht="12.75" customHeight="1" spans="1:3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row>
    <row r="211" ht="12.75" customHeight="1" spans="1:34"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row>
    <row r="212" ht="12.75" customHeight="1" spans="1:34"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row>
    <row r="213" ht="12.75" customHeight="1" spans="1:34"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row>
    <row r="214" ht="12.75" customHeight="1" spans="1:34"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row>
    <row r="215" ht="12.75" customHeight="1" spans="1:34"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row>
    <row r="216" ht="12.75" customHeight="1" spans="1:34"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row>
    <row r="217" ht="12.75" customHeight="1" spans="1:3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row>
    <row r="218" ht="12.75" customHeight="1" spans="1:34"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row>
    <row r="219" ht="12.75" customHeight="1" spans="1:34"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row>
    <row r="220" ht="12.75" customHeight="1" spans="1:34"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ht="12.75" customHeight="1" spans="1:3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row>
    <row r="222" ht="12.75" customHeight="1" spans="1:3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row>
    <row r="223" ht="12.75" customHeight="1" spans="1:3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row>
    <row r="224" ht="12.75" customHeight="1" spans="1:3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ht="12.75" customHeight="1" spans="1:3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row r="226" ht="12.75" customHeight="1" spans="1:3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row>
    <row r="227" ht="12.75" customHeight="1" spans="1:3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row>
    <row r="228" ht="12.75" customHeight="1" spans="1:3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row>
    <row r="229" ht="12.75" customHeight="1" spans="1:3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row>
    <row r="230" ht="12.75" customHeight="1" spans="1:3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row>
    <row r="231" ht="12.75" customHeight="1" spans="1:34"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row>
    <row r="232" ht="12.75" customHeight="1" spans="1:34"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row>
    <row r="233" ht="12.75" customHeight="1" spans="1:3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row>
    <row r="234" ht="12.75" customHeight="1" spans="1:3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row>
    <row r="235" ht="12.75" customHeight="1" spans="1:3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row>
    <row r="236" ht="12.75" customHeight="1" spans="1:34"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row>
    <row r="237" ht="12.75" customHeight="1" spans="1:34"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row>
    <row r="238" ht="12.75" customHeight="1" spans="1:34"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row>
    <row r="239" ht="12.75" customHeight="1" spans="1:34"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row>
    <row r="240" ht="12.75" customHeight="1" spans="1:34"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row>
    <row r="241" ht="12.75" customHeight="1" spans="1:34"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row>
    <row r="242" ht="12.75" customHeight="1" spans="1:34"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row>
    <row r="243" ht="12.75" customHeight="1" spans="1:34"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row>
    <row r="244" ht="12.75" customHeight="1" spans="1:34"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row>
    <row r="245" ht="12.75" customHeight="1" spans="1:34"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row>
    <row r="246" ht="12.75" customHeight="1" spans="1:34"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row>
    <row r="247" ht="12.75" customHeight="1" spans="1:34"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row>
    <row r="248" ht="12.75" customHeight="1" spans="1:34"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row>
    <row r="249" ht="12.75" customHeight="1" spans="1:34"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row>
    <row r="250" ht="12.75" customHeight="1" spans="1:34"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row>
    <row r="251" ht="12.75" customHeight="1" spans="1:34"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row>
    <row r="252" ht="12.75" customHeight="1" spans="1:34"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row>
    <row r="253" ht="12.75" customHeight="1" spans="1:34"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row>
    <row r="254" ht="12.75" customHeight="1" spans="1:34"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row>
    <row r="255" ht="12.75" customHeight="1" spans="1:34"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row>
    <row r="256" ht="12.75" customHeight="1" spans="1:34"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row>
    <row r="257" ht="12.75" customHeight="1" spans="1:34"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row>
    <row r="258" ht="12.75" customHeight="1" spans="1:34"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row>
    <row r="259" ht="12.75" customHeight="1" spans="1:34"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row>
    <row r="260" ht="12.75" customHeight="1" spans="1:34"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row>
    <row r="261" ht="12.75" customHeight="1" spans="1:34"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row>
    <row r="262" ht="12.75" customHeight="1" spans="1:34"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row>
    <row r="263" ht="12.75" customHeight="1" spans="1:34"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row>
    <row r="264" ht="12.75" customHeight="1" spans="1:34"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row>
    <row r="265" ht="12.75" customHeight="1" spans="1:34"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row>
    <row r="266" ht="12.75" customHeight="1" spans="1:34"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row>
    <row r="267" ht="12.75" customHeight="1" spans="1:34"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row>
    <row r="268" ht="12.75" customHeight="1" spans="1:34"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row>
    <row r="269" ht="12.75" customHeight="1" spans="1:34"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row>
    <row r="270" ht="12.75" customHeight="1" spans="1:34"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row>
    <row r="271" ht="12.75" customHeight="1" spans="1:34"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row>
    <row r="272" ht="12.75" customHeight="1" spans="1:34"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row>
    <row r="273" ht="12.75" customHeight="1" spans="1:34"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row>
    <row r="274" ht="12.75" customHeight="1" spans="1:3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row>
    <row r="275" ht="12.75" customHeight="1" spans="1:34"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row>
    <row r="276" ht="12.75" customHeight="1" spans="1:34"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row>
    <row r="277" ht="12.75" customHeight="1" spans="1:34"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row>
    <row r="278" ht="12.75" customHeight="1" spans="1:34"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row>
    <row r="279" ht="12.75" customHeight="1" spans="1:34"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row>
    <row r="280" ht="12.75" customHeight="1" spans="1:3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row>
    <row r="281" ht="12.75" customHeight="1" spans="1:34"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row>
    <row r="282" ht="12.75" customHeight="1" spans="1:34"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row>
    <row r="283" ht="12.75" customHeight="1" spans="1:3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row>
    <row r="284" ht="12.75" customHeight="1" spans="1:34"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row>
    <row r="285" ht="12.75" customHeight="1" spans="1:34"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row>
    <row r="286" ht="12.75" customHeight="1" spans="1:34"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row>
    <row r="287" ht="12.75" customHeight="1" spans="1:34"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row>
    <row r="288" ht="12.75" customHeight="1" spans="1:3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row>
    <row r="289" ht="12.75" customHeight="1" spans="1:3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row>
    <row r="290" ht="12.75" customHeight="1" spans="1:3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row>
    <row r="291" ht="12.75" customHeight="1" spans="1:3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row>
    <row r="292" ht="12.75" customHeight="1" spans="1:3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row>
    <row r="293" ht="12.75" customHeight="1" spans="1:3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row>
    <row r="294" ht="12.75" customHeight="1" spans="1:3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row>
    <row r="295" ht="12.75" customHeight="1" spans="1:3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row>
    <row r="296" ht="12.75" customHeight="1" spans="1:3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row>
    <row r="297" ht="12.75" customHeight="1" spans="1:3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row>
    <row r="298" ht="12.75" customHeight="1" spans="1:3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row>
    <row r="299" ht="12.75" customHeight="1" spans="1:3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row>
    <row r="300" ht="12.75" customHeight="1" spans="1:3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row>
    <row r="301" ht="12.75" customHeight="1" spans="1:3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row>
    <row r="302" ht="12.75" customHeight="1" spans="1:3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row>
    <row r="303" ht="12.75" customHeight="1" spans="1:3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row>
    <row r="304" ht="12.75" customHeight="1" spans="1:3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row>
    <row r="305" ht="12.75" customHeight="1" spans="1:3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row>
    <row r="306" ht="12.75" customHeight="1" spans="1:3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row>
    <row r="307" ht="12.75" customHeight="1" spans="1:3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row>
    <row r="308" ht="12.75" customHeight="1" spans="1:3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row>
    <row r="309" ht="12.75" customHeight="1" spans="1:3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row>
    <row r="310" ht="12.75" customHeight="1" spans="1:3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row>
    <row r="311" ht="12.75" customHeight="1" spans="1:3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row>
    <row r="312" ht="12.75" customHeight="1" spans="1:3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row>
    <row r="313" ht="12.75" customHeight="1" spans="1:3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row>
    <row r="314" ht="12.75" customHeight="1" spans="1:3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row>
    <row r="315" ht="12.75" customHeight="1" spans="1:3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row>
    <row r="316" ht="12.75" customHeight="1" spans="1:3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row>
    <row r="317" ht="12.75" customHeight="1" spans="1:3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row>
    <row r="318" ht="12.75" customHeight="1" spans="1:3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ht="12.75" customHeight="1" spans="1:3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ht="12.75" customHeight="1" spans="1:3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row>
    <row r="321" ht="12.75" customHeight="1" spans="1:3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row>
    <row r="322" ht="12.75" customHeight="1" spans="1:3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row>
    <row r="323" ht="12.75" customHeight="1" spans="1:3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row>
    <row r="324" ht="12.75" customHeight="1" spans="1:3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row>
    <row r="325" ht="12.75" customHeight="1" spans="1:3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row>
    <row r="326" ht="12.75" customHeight="1" spans="1:3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row>
    <row r="327" ht="12.75" customHeight="1" spans="1:3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row>
    <row r="328" ht="12.75" customHeight="1" spans="1:3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row>
    <row r="329" ht="12.75" customHeight="1" spans="1:3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row>
    <row r="330" ht="12.75" customHeight="1" spans="1:3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row>
    <row r="331" ht="12.75" customHeight="1" spans="1:3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row>
    <row r="332" ht="12.75" customHeight="1" spans="1:3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row>
    <row r="333" ht="12.75" customHeight="1" spans="1:3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row>
    <row r="334" ht="12.75" customHeight="1" spans="1:3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row>
    <row r="335" ht="12.75" customHeight="1" spans="1:3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row>
    <row r="336" ht="12.75" customHeight="1" spans="1:3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row>
    <row r="337" ht="12.75" customHeight="1" spans="1:3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row>
    <row r="338" ht="12.75" customHeight="1" spans="1:3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row>
    <row r="339" ht="12.75" customHeight="1" spans="1:3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row>
    <row r="340" ht="12.75" customHeight="1" spans="1:3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row>
    <row r="341" ht="12.75" customHeight="1" spans="1:3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row>
    <row r="342" ht="12.75" customHeight="1" spans="1:3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row>
    <row r="343" ht="12.75" customHeight="1" spans="1:3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row>
    <row r="344" ht="12.75" customHeight="1" spans="1:3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row>
    <row r="345" ht="12.75" customHeight="1" spans="1:3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row>
    <row r="346" ht="12.75" customHeight="1" spans="1:3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row>
    <row r="347" ht="12.75" customHeight="1" spans="1:3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row>
    <row r="348" ht="12.75" customHeight="1" spans="1:3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row>
    <row r="349" ht="12.75" customHeight="1" spans="1:3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row>
    <row r="350" ht="12.75" customHeight="1" spans="1:3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row>
    <row r="351" ht="12.75" customHeight="1" spans="1:3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row>
    <row r="352" ht="12.75" customHeight="1" spans="1:3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row>
    <row r="353" ht="12.75" customHeight="1" spans="1:3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row>
    <row r="354" ht="12.75" customHeight="1" spans="1:3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row>
    <row r="355" ht="12.75" customHeight="1" spans="1:3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row>
    <row r="356" ht="12.75" customHeight="1" spans="1:3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row>
    <row r="357" ht="12.75" customHeight="1" spans="1:3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row>
    <row r="358" ht="12.75" customHeight="1" spans="1:3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row>
    <row r="359" ht="12.75" customHeight="1" spans="1:3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row>
    <row r="360" ht="12.75" customHeight="1" spans="1:3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row>
    <row r="361" ht="12.75" customHeight="1" spans="1:3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row>
    <row r="362" ht="12.75" customHeight="1" spans="1:3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row>
    <row r="363" ht="12.75" customHeight="1" spans="1:3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row>
    <row r="364" ht="12.75" customHeight="1" spans="1:3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row>
    <row r="365" ht="12.75" customHeight="1" spans="1:3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row>
    <row r="366" ht="12.75" customHeight="1" spans="1:3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row>
    <row r="367" ht="12.75" customHeight="1" spans="1:3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row>
    <row r="368" ht="12.75" customHeight="1" spans="1:3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row>
    <row r="369" ht="12.75" customHeight="1" spans="1:3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row>
    <row r="370" ht="12.75" customHeight="1" spans="1:3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row>
    <row r="371" ht="12.75" customHeight="1" spans="1:3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row>
    <row r="372" ht="12.75" customHeight="1" spans="1:3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row>
    <row r="373" ht="12.75" customHeight="1" spans="1:3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row>
    <row r="374" ht="12.75" customHeight="1" spans="1:3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row>
    <row r="375" ht="12.75" customHeight="1" spans="1:3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row>
    <row r="376" ht="12.75" customHeight="1" spans="1:3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row>
    <row r="377" ht="12.75" customHeight="1" spans="1:3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row>
    <row r="378" ht="12.75" customHeight="1" spans="1:3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row>
    <row r="379" ht="12.75" customHeight="1" spans="1:3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row>
    <row r="380" ht="12.75" customHeight="1" spans="1:3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row>
    <row r="381" ht="12.75" customHeight="1" spans="1:3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row>
    <row r="382" ht="12.75" customHeight="1" spans="1:3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row>
    <row r="383" ht="12.75" customHeight="1" spans="1:3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row>
    <row r="384" ht="12.75" customHeight="1" spans="1:3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row>
    <row r="385" ht="12.75" customHeight="1" spans="1:3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row>
    <row r="386" ht="12.75" customHeight="1" spans="1:3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row>
    <row r="387" ht="12.75" customHeight="1" spans="1:3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row>
    <row r="388" ht="12.75" customHeight="1" spans="1:3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row>
    <row r="389" ht="12.75" customHeight="1" spans="1:3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row>
    <row r="390" ht="12.75" customHeight="1" spans="1:3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row>
    <row r="391" ht="12.75" customHeight="1" spans="1:3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row>
    <row r="392" ht="12.75" customHeight="1" spans="1:3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row>
    <row r="393" ht="12.75" customHeight="1" spans="1:3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row>
    <row r="394" ht="12.75" customHeight="1" spans="1:3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row>
    <row r="395" ht="12.75" customHeight="1" spans="1:3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row>
    <row r="396" ht="12.75" customHeight="1" spans="1:3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row>
    <row r="397" ht="12.75" customHeight="1" spans="1:3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row>
    <row r="398" ht="12.75" customHeight="1" spans="1:3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row>
    <row r="399" ht="12.75" customHeight="1" spans="1:3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row>
    <row r="400" ht="12.75" customHeight="1" spans="1:3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row>
    <row r="401" ht="12.75" customHeight="1" spans="1:3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row>
    <row r="402" ht="12.75" customHeight="1" spans="1:3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row>
    <row r="403" ht="12.75" customHeight="1" spans="1:3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row>
    <row r="404" ht="12.75" customHeight="1" spans="1:3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row>
    <row r="405" ht="12.75" customHeight="1" spans="1:3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row>
    <row r="406" ht="12.75" customHeight="1" spans="1:3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row>
    <row r="407" ht="12.75" customHeight="1" spans="1:3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row>
    <row r="408" ht="12.75" customHeight="1" spans="1:3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row>
    <row r="409" ht="12.75" customHeight="1" spans="1:3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row>
    <row r="410" ht="12.75" customHeight="1" spans="1:3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row>
    <row r="411" ht="12.75" customHeight="1" spans="1:3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row>
    <row r="412" ht="12.75" customHeight="1" spans="1:3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row>
    <row r="413" ht="12.75" customHeight="1" spans="1:3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row>
    <row r="414" ht="12.75" customHeight="1" spans="1:3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row>
    <row r="415" ht="12.75" customHeight="1" spans="1:3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row>
    <row r="416" ht="12.75" customHeight="1" spans="1:3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row>
    <row r="417" ht="12.75" customHeight="1" spans="1:3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row>
    <row r="418" ht="12.75" customHeight="1" spans="1:3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row>
    <row r="419" ht="12.75" customHeight="1" spans="1:3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row>
    <row r="420" ht="12.75" customHeight="1" spans="1:3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row>
    <row r="421" ht="12.75" customHeight="1" spans="1:3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row>
    <row r="422" ht="12.75" customHeight="1" spans="1:3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row>
    <row r="423" ht="12.75" customHeight="1" spans="1:3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row>
    <row r="424" ht="12.75" customHeight="1" spans="1:3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row>
    <row r="425" ht="12.75" customHeight="1" spans="1:3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row>
    <row r="426" ht="12.75" customHeight="1" spans="1:3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row>
    <row r="427" ht="12.75" customHeight="1" spans="1:3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row>
    <row r="428" ht="12.75" customHeight="1" spans="1:3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row>
    <row r="429" ht="12.75" customHeight="1" spans="1:3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row>
    <row r="430" ht="12.75" customHeight="1" spans="1:3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row>
    <row r="431" ht="12.75" customHeight="1" spans="1:3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row>
    <row r="432" ht="12.75" customHeight="1" spans="1:3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row>
    <row r="433" ht="12.75" customHeight="1" spans="1:3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row>
    <row r="434" ht="12.75" customHeight="1" spans="1:3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row>
    <row r="435" ht="12.75" customHeight="1" spans="1:3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row>
    <row r="436" ht="12.75" customHeight="1" spans="1:3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row>
    <row r="437" ht="12.75" customHeight="1" spans="1:3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row>
    <row r="438" ht="12.75" customHeight="1" spans="1:3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row>
    <row r="439" ht="12.75" customHeight="1" spans="1:3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row>
    <row r="440" ht="12.75" customHeight="1" spans="1:3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row>
    <row r="441" ht="12.75" customHeight="1" spans="1:3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row>
    <row r="442" ht="12.75" customHeight="1" spans="1:3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row>
    <row r="443" ht="12.75" customHeight="1" spans="1:3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row>
    <row r="444" ht="12.75" customHeight="1" spans="1:3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row>
    <row r="445" ht="12.75" customHeight="1" spans="1:3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row>
    <row r="446" ht="12.75" customHeight="1" spans="1:3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row>
    <row r="447" ht="12.75" customHeight="1" spans="1:3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row>
    <row r="448" ht="12.75" customHeight="1" spans="1:3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row>
    <row r="449" ht="12.75" customHeight="1" spans="1:3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row>
    <row r="450" ht="12.75" customHeight="1" spans="1:3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row>
    <row r="451" ht="12.75" customHeight="1" spans="1:3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row>
    <row r="452" ht="12.75" customHeight="1" spans="1:3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row>
    <row r="453" ht="12.75" customHeight="1" spans="1:3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row>
    <row r="454" ht="12.75" customHeight="1" spans="1:3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row>
    <row r="455" ht="12.75" customHeight="1" spans="1:3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row>
    <row r="456" ht="12.75" customHeight="1" spans="1:3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row>
    <row r="457" ht="12.75" customHeight="1" spans="1:3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row>
    <row r="458" ht="12.75" customHeight="1" spans="1:3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row>
    <row r="459" ht="12.75" customHeight="1" spans="1:3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row>
    <row r="460" ht="12.75" customHeight="1" spans="1:3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row>
    <row r="461" ht="12.75" customHeight="1" spans="1:3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row>
    <row r="462" ht="12.75" customHeight="1" spans="1:3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row>
    <row r="463" ht="12.75" customHeight="1" spans="1:3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row>
    <row r="464" ht="12.75" customHeight="1" spans="1:3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row>
    <row r="465" ht="12.75" customHeight="1" spans="1:3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row>
    <row r="466" ht="12.75" customHeight="1" spans="1:3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row>
    <row r="467" ht="12.75" customHeight="1" spans="1:3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row>
    <row r="468" ht="12.75" customHeight="1" spans="1:3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row>
    <row r="469" ht="12.75" customHeight="1" spans="1:3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row>
    <row r="470" ht="12.75" customHeight="1" spans="1:3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row>
    <row r="471" ht="12.75" customHeight="1" spans="1:3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row>
    <row r="472" ht="12.75" customHeight="1" spans="1:3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row>
    <row r="473" ht="12.75" customHeight="1" spans="1:3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row>
    <row r="474" ht="12.75" customHeight="1" spans="1:3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row>
    <row r="475" ht="12.75" customHeight="1" spans="1:3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row>
    <row r="476" ht="12.75" customHeight="1" spans="1:3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row>
    <row r="477" ht="12.75" customHeight="1" spans="1:3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row>
    <row r="478" ht="12.75" customHeight="1" spans="1:3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row>
    <row r="479" ht="12.75" customHeight="1" spans="1:3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row>
    <row r="480" ht="12.75" customHeight="1" spans="1:3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row>
    <row r="481" ht="12.75" customHeight="1" spans="1:3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row>
    <row r="482" ht="12.75" customHeight="1" spans="1:3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row>
    <row r="483" ht="12.75" customHeight="1" spans="1:3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row>
    <row r="484" ht="12.75" customHeight="1" spans="1:3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row>
    <row r="485" ht="12.75" customHeight="1" spans="1:3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row>
    <row r="486" ht="12.75" customHeight="1" spans="1:3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row>
    <row r="487" ht="12.75" customHeight="1" spans="1:3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row>
    <row r="488" ht="12.75" customHeight="1" spans="1:3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row>
    <row r="489" ht="12.75" customHeight="1" spans="1:3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row>
    <row r="490" ht="12.75" customHeight="1" spans="1:3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row>
    <row r="491" ht="12.75" customHeight="1" spans="1:3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row>
    <row r="492" ht="12.75" customHeight="1" spans="1:3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row>
    <row r="493" ht="12.75" customHeight="1" spans="1:3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row>
    <row r="494" ht="12.75" customHeight="1" spans="1:3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row>
    <row r="495" ht="12.75" customHeight="1" spans="1:3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row>
    <row r="496" ht="12.75" customHeight="1" spans="1:3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row>
    <row r="497" ht="12.75" customHeight="1" spans="1:3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row>
    <row r="498" ht="12.75" customHeight="1" spans="1:3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row>
    <row r="499" ht="12.75" customHeight="1" spans="1:3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row>
    <row r="500" ht="12.75" customHeight="1" spans="1:3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row>
    <row r="501" ht="12.75" customHeight="1" spans="1:3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row>
    <row r="502" ht="12.75" customHeight="1" spans="1:3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row>
    <row r="503" ht="12.75" customHeight="1" spans="1:3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row>
    <row r="504" ht="12.75" customHeight="1" spans="1:3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row>
    <row r="505" ht="12.75" customHeight="1" spans="1:3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row>
    <row r="506" ht="12.75" customHeight="1" spans="1:3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row>
    <row r="507" ht="12.75" customHeight="1" spans="1:3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row>
    <row r="508" ht="12.75" customHeight="1" spans="1:3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row>
    <row r="509" ht="12.75" customHeight="1" spans="1:3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row>
    <row r="510" ht="12.75" customHeight="1" spans="1:3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row>
    <row r="511" ht="12.75" customHeight="1" spans="1:3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row>
    <row r="512" ht="12.75" customHeight="1" spans="1:3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row>
    <row r="513" ht="12.75" customHeight="1" spans="1:3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row>
    <row r="514" ht="12.75" customHeight="1" spans="1:3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row>
    <row r="515" ht="12.75" customHeight="1" spans="1:3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row>
    <row r="516" ht="12.75" customHeight="1" spans="1:3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row>
    <row r="517" ht="12.75" customHeight="1" spans="1:3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row>
    <row r="518" ht="12.75" customHeight="1" spans="1:3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row>
    <row r="519" ht="12.75" customHeight="1" spans="1:3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row>
    <row r="520" ht="12.75" customHeight="1" spans="1:3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row>
    <row r="521" ht="12.75" customHeight="1" spans="1:3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row>
    <row r="522" ht="12.75" customHeight="1" spans="1:3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row>
    <row r="523" ht="12.75" customHeight="1" spans="1:3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row>
    <row r="524" ht="12.75" customHeight="1" spans="1:3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row>
    <row r="525" ht="12.75" customHeight="1" spans="1:3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row>
    <row r="526" ht="12.75" customHeight="1" spans="1:3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row>
    <row r="527" ht="12.75" customHeight="1" spans="1:3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row>
    <row r="528" ht="12.75" customHeight="1" spans="1:3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row>
    <row r="529" ht="12.75" customHeight="1" spans="1:3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row>
    <row r="530" ht="12.75" customHeight="1" spans="1:3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row>
    <row r="531" ht="12.75" customHeight="1" spans="1:3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row>
    <row r="532" ht="12.75" customHeight="1" spans="1:3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row>
    <row r="533" ht="12.75" customHeight="1" spans="1:3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row>
    <row r="534" ht="12.75" customHeight="1" spans="1:3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row>
    <row r="535" ht="12.75" customHeight="1" spans="1:3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row>
    <row r="536" ht="12.75" customHeight="1" spans="1:3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row>
    <row r="537" ht="12.75" customHeight="1" spans="1:3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row>
    <row r="538" ht="12.75" customHeight="1" spans="1:3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row>
    <row r="539" ht="12.75" customHeight="1" spans="1:3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row>
    <row r="540" ht="12.75" customHeight="1" spans="1:3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row>
    <row r="541" ht="12.75" customHeight="1" spans="1:3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row>
    <row r="542" ht="12.75" customHeight="1" spans="1:3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row>
    <row r="543" ht="12.75" customHeight="1" spans="1:3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row>
    <row r="544" ht="12.75" customHeight="1" spans="1:3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row>
    <row r="545" ht="12.75" customHeight="1" spans="1:3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row>
    <row r="546" ht="12.75" customHeight="1" spans="1:3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row>
    <row r="547" ht="12.75" customHeight="1" spans="1:3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row>
    <row r="548" ht="12.75" customHeight="1" spans="1:3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row>
    <row r="549" ht="12.75" customHeight="1" spans="1:3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row>
    <row r="550" ht="12.75" customHeight="1" spans="1:3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row>
    <row r="551" ht="12.75" customHeight="1" spans="1:3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row>
    <row r="552" ht="12.75" customHeight="1" spans="1:3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row>
    <row r="553" ht="12.75" customHeight="1" spans="1:3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row>
    <row r="554" ht="12.75" customHeight="1" spans="1:3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row>
    <row r="555" ht="12.75" customHeight="1" spans="1:3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row>
    <row r="556" ht="12.75" customHeight="1" spans="1:3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row>
    <row r="557" ht="12.75" customHeight="1" spans="1:3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row>
    <row r="558" ht="12.75" customHeight="1" spans="1:3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row>
    <row r="559" ht="12.75" customHeight="1" spans="1:3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row>
    <row r="560" ht="12.75" customHeight="1" spans="1:3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row>
    <row r="561" ht="12.75" customHeight="1" spans="1:3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row>
    <row r="562" ht="12.75" customHeight="1" spans="1:3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row>
    <row r="563" ht="12.75" customHeight="1" spans="1:3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row>
    <row r="564" ht="12.75" customHeight="1" spans="1:3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row>
    <row r="565" ht="12.75" customHeight="1" spans="1:3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row>
    <row r="566" ht="12.75" customHeight="1" spans="1:3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row>
    <row r="567" ht="12.75" customHeight="1" spans="1:3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row>
    <row r="568" ht="12.75" customHeight="1" spans="1:3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row>
    <row r="569" ht="12.75" customHeight="1" spans="1:3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row>
    <row r="570" ht="12.75" customHeight="1" spans="1:3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row>
    <row r="571" ht="12.75" customHeight="1" spans="1:3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row>
    <row r="572" ht="12.75" customHeight="1" spans="1:3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row>
    <row r="573" ht="12.75" customHeight="1" spans="1:3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row>
    <row r="574" ht="12.75" customHeight="1" spans="1:3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row>
    <row r="575" ht="12.75" customHeight="1" spans="1:3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row>
    <row r="576" ht="12.75" customHeight="1" spans="1:3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row>
    <row r="577" ht="12.75" customHeight="1" spans="1:3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row>
    <row r="578" ht="12.75" customHeight="1" spans="1:3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row>
    <row r="579" ht="12.75" customHeight="1" spans="1:3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row>
    <row r="580" ht="12.75" customHeight="1" spans="1:3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row>
    <row r="581" ht="12.75" customHeight="1" spans="1:3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row>
    <row r="582" ht="12.75" customHeight="1" spans="1:3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row>
    <row r="583" ht="12.75" customHeight="1" spans="1:3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row>
    <row r="584" ht="12.75" customHeight="1" spans="1:3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row>
    <row r="585" ht="12.75" customHeight="1" spans="1:3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row>
    <row r="586" ht="12.75" customHeight="1" spans="1:3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row>
    <row r="587" ht="12.75" customHeight="1" spans="1:3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row>
    <row r="588" ht="12.75" customHeight="1" spans="1:3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row>
    <row r="589" ht="12.75" customHeight="1" spans="1:3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row>
    <row r="590" ht="12.75" customHeight="1" spans="1:3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row>
    <row r="591" ht="12.75" customHeight="1" spans="1:3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row>
    <row r="592" ht="12.75" customHeight="1" spans="1:3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row>
    <row r="593" ht="12.75" customHeight="1" spans="1:3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row>
    <row r="594" ht="12.75" customHeight="1" spans="1:3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row>
    <row r="595" ht="12.75" customHeight="1" spans="1:3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row>
    <row r="596" ht="12.75" customHeight="1" spans="1:3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row>
    <row r="597" ht="12.75" customHeight="1" spans="1:3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row>
    <row r="598" ht="12.75" customHeight="1" spans="1:3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row>
    <row r="599" ht="12.75" customHeight="1" spans="1:3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row>
    <row r="600" ht="12.75" customHeight="1" spans="1:3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row>
    <row r="601" ht="12.75" customHeight="1" spans="1:3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row>
    <row r="602" ht="12.75" customHeight="1" spans="1:3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row>
    <row r="603" ht="12.75" customHeight="1" spans="1:3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row>
    <row r="604" ht="12.75" customHeight="1" spans="1:3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row>
    <row r="605" ht="12.75" customHeight="1" spans="1:3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row>
    <row r="606" ht="12.75" customHeight="1" spans="1:3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row>
    <row r="607" ht="12.75" customHeight="1" spans="1:3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row>
    <row r="608" ht="12.75" customHeight="1" spans="1:3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row>
    <row r="609" ht="12.75" customHeight="1" spans="1:3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row>
    <row r="610" ht="12.75" customHeight="1" spans="1:3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row>
    <row r="611" ht="12.75" customHeight="1" spans="1:3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row>
    <row r="612" ht="12.75" customHeight="1" spans="1:3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row>
    <row r="613" ht="12.75" customHeight="1" spans="1:3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row>
    <row r="614" ht="12.75" customHeight="1" spans="1:3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row>
    <row r="615" ht="12.75" customHeight="1" spans="1:3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row>
    <row r="616" ht="12.75" customHeight="1" spans="1:3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row>
    <row r="617" ht="12.75" customHeight="1" spans="1:3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row>
    <row r="618" ht="12.75" customHeight="1" spans="1:3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row>
    <row r="619" ht="12.75" customHeight="1" spans="1:3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row>
    <row r="620" ht="12.75" customHeight="1" spans="1:3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row>
    <row r="621" ht="12.75" customHeight="1" spans="1:3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row>
    <row r="622" ht="12.75" customHeight="1" spans="1:3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row>
    <row r="623" ht="12.75" customHeight="1" spans="1:3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row>
    <row r="624" ht="12.75" customHeight="1" spans="1:3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row>
    <row r="625" ht="12.75" customHeight="1" spans="1:3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row>
    <row r="626" ht="12.75" customHeight="1" spans="1:3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row>
    <row r="627" ht="12.75" customHeight="1" spans="1:3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row>
    <row r="628" ht="12.75" customHeight="1" spans="1:3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row>
    <row r="629" ht="12.75" customHeight="1" spans="1:3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row>
    <row r="630" ht="12.75" customHeight="1" spans="1:3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row>
    <row r="631" ht="12.75" customHeight="1" spans="1:3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row>
    <row r="632" ht="12.75" customHeight="1" spans="1:3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row>
    <row r="633" ht="12.75" customHeight="1" spans="1:3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row>
    <row r="634" ht="12.75" customHeight="1" spans="1:3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row>
    <row r="635" ht="12.75" customHeight="1" spans="1:3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row>
    <row r="636" ht="12.75" customHeight="1" spans="1:3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row>
    <row r="637" ht="12.75" customHeight="1" spans="1:3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row>
    <row r="638" ht="12.75" customHeight="1" spans="1:3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row>
    <row r="639" ht="12.75" customHeight="1" spans="1:3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row>
    <row r="640" ht="12.75" customHeight="1" spans="1:3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row>
    <row r="641" ht="12.75" customHeight="1" spans="1:3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row>
    <row r="642" ht="12.75" customHeight="1" spans="1:3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row>
    <row r="643" ht="12.75" customHeight="1" spans="1:3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row>
    <row r="644" ht="12.75" customHeight="1" spans="1:3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row>
    <row r="645" ht="12.75" customHeight="1" spans="1:3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row>
    <row r="646" ht="12.75" customHeight="1" spans="1:3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row>
    <row r="647" ht="12.75" customHeight="1" spans="1:3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row>
    <row r="648" ht="12.75" customHeight="1" spans="1:3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row>
    <row r="649" ht="12.75" customHeight="1" spans="1:3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row>
    <row r="650" ht="12.75" customHeight="1" spans="1:3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row>
    <row r="651" ht="12.75" customHeight="1" spans="1:3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row>
    <row r="652" ht="12.75" customHeight="1" spans="1:3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row>
    <row r="653" ht="12.75" customHeight="1" spans="1:3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row>
    <row r="654" ht="12.75" customHeight="1" spans="1:3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row>
    <row r="655" ht="12.75" customHeight="1" spans="1:3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row>
    <row r="656" ht="12.75" customHeight="1" spans="1:3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row>
    <row r="657" ht="12.75" customHeight="1" spans="1:3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row>
    <row r="658" ht="12.75" customHeight="1" spans="1:3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row>
    <row r="659" ht="12.75" customHeight="1" spans="1:3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row>
    <row r="660" ht="12.75" customHeight="1" spans="1:3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row>
    <row r="661" ht="12.75" customHeight="1" spans="1:3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row>
    <row r="662" ht="12.75" customHeight="1" spans="1:3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row>
    <row r="663" ht="12.75" customHeight="1" spans="1:3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row>
    <row r="664" ht="12.75" customHeight="1" spans="1:3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row>
    <row r="665" ht="12.75" customHeight="1" spans="1:3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row>
    <row r="666" ht="12.75" customHeight="1" spans="1:3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row>
    <row r="667" ht="12.75" customHeight="1" spans="1:3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row>
    <row r="668" ht="12.75" customHeight="1" spans="1:3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row>
    <row r="669" ht="12.75" customHeight="1" spans="1:3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row>
    <row r="670" ht="12.75" customHeight="1" spans="1:3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row>
    <row r="671" ht="12.75" customHeight="1" spans="1:3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row>
    <row r="672" ht="12.75" customHeight="1" spans="1:3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row>
    <row r="673" ht="12.75" customHeight="1" spans="1:3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row>
    <row r="674" ht="12.75" customHeight="1" spans="1:3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row>
    <row r="675" ht="12.75" customHeight="1" spans="1:3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row>
    <row r="676" ht="12.75" customHeight="1" spans="1:3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row>
    <row r="677" ht="12.75" customHeight="1" spans="1:3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row>
    <row r="678" ht="12.75" customHeight="1" spans="1:3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row>
    <row r="679" ht="12.75" customHeight="1" spans="1:3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row>
    <row r="680" ht="12.75" customHeight="1" spans="1:3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row>
    <row r="681" ht="12.75" customHeight="1" spans="1:3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row>
    <row r="682" ht="12.75" customHeight="1" spans="1:3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row>
    <row r="683" ht="12.75" customHeight="1" spans="1:3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row>
    <row r="684" ht="12.75" customHeight="1" spans="1:3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row>
    <row r="685" ht="12.75" customHeight="1" spans="1:3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row>
    <row r="686" ht="12.75" customHeight="1" spans="1:3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row>
    <row r="687" ht="12.75" customHeight="1" spans="1:3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row>
    <row r="688" ht="12.75" customHeight="1" spans="1:3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row>
    <row r="689" ht="12.75" customHeight="1" spans="1:3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row>
    <row r="690" ht="12.75" customHeight="1" spans="1:3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row>
    <row r="691" ht="12.75" customHeight="1" spans="1:3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row>
    <row r="692" ht="12.75" customHeight="1" spans="1:3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row>
    <row r="693" ht="12.75" customHeight="1" spans="1:3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row>
    <row r="694" ht="12.75" customHeight="1" spans="1:3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row>
    <row r="695" ht="12.75" customHeight="1" spans="1:3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row>
    <row r="696" ht="12.75" customHeight="1" spans="1:3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row>
    <row r="697" ht="12.75" customHeight="1" spans="1:3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row>
    <row r="698" ht="12.75" customHeight="1" spans="1:3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row>
    <row r="699" ht="12.75" customHeight="1" spans="1:3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row>
    <row r="700" ht="12.75" customHeight="1" spans="1:3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row>
    <row r="701" ht="12.75" customHeight="1" spans="1:3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row>
    <row r="702" ht="12.75" customHeight="1" spans="1:3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row>
    <row r="703" ht="12.75" customHeight="1" spans="1:3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row>
    <row r="704" ht="12.75" customHeight="1" spans="1:3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row>
    <row r="705" ht="12.75" customHeight="1" spans="1:3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row>
    <row r="706" ht="12.75" customHeight="1" spans="1:3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row>
    <row r="707" ht="12.75" customHeight="1" spans="1:3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row>
    <row r="708" ht="12.75" customHeight="1" spans="1:3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row>
    <row r="709" ht="12.75" customHeight="1" spans="1:3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row>
    <row r="710" ht="12.75" customHeight="1" spans="1:3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row>
    <row r="711" ht="12.75" customHeight="1" spans="1:3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row>
    <row r="712" ht="12.75" customHeight="1" spans="1:3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row>
    <row r="713" ht="12.75" customHeight="1" spans="1:3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row>
    <row r="714" ht="12.75" customHeight="1" spans="1:3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row>
    <row r="715" ht="12.75" customHeight="1" spans="1:3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row>
    <row r="716" ht="12.75" customHeight="1" spans="1:3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row>
    <row r="717" ht="12.75" customHeight="1" spans="1:3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row>
    <row r="718" ht="12.75" customHeight="1" spans="1:3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row>
    <row r="719" ht="12.75" customHeight="1" spans="1:3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row>
    <row r="720" ht="12.75" customHeight="1" spans="1:3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row>
    <row r="721" ht="12.75" customHeight="1" spans="1:3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row>
    <row r="722" ht="12.75" customHeight="1" spans="1:3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row>
    <row r="723" ht="12.75" customHeight="1" spans="1:3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row>
    <row r="724" ht="12.75" customHeight="1" spans="1:3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row>
    <row r="725" ht="12.75" customHeight="1" spans="1:3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row>
    <row r="726" ht="12.75" customHeight="1" spans="1:3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row>
    <row r="727" ht="12.75" customHeight="1" spans="1:3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row>
    <row r="728" ht="12.75" customHeight="1" spans="1:3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row>
    <row r="729" ht="12.75" customHeight="1" spans="1:3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row>
    <row r="730" ht="12.75" customHeight="1" spans="1:3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row>
    <row r="731" ht="12.75" customHeight="1" spans="1:3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row>
    <row r="732" ht="12.75" customHeight="1" spans="1:3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row>
    <row r="733" ht="12.75" customHeight="1" spans="1:3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row>
    <row r="734" ht="12.75" customHeight="1" spans="1:3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row>
    <row r="735" ht="12.75" customHeight="1" spans="1:3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row>
    <row r="736" ht="12.75" customHeight="1" spans="1:3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row>
    <row r="737" ht="12.75" customHeight="1" spans="1:3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row>
    <row r="738" ht="12.75" customHeight="1" spans="1:3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row>
    <row r="739" ht="12.75" customHeight="1" spans="1:3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row>
    <row r="740" ht="12.75" customHeight="1" spans="1:3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row>
    <row r="741" ht="12.75" customHeight="1" spans="1:3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row>
    <row r="742" ht="12.75" customHeight="1" spans="1:3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row>
    <row r="743" ht="12.75" customHeight="1" spans="1:3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row>
    <row r="744" ht="12.75" customHeight="1" spans="1:3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row>
    <row r="745" ht="12.75" customHeight="1" spans="1:3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row>
    <row r="746" ht="12.75" customHeight="1" spans="1:3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row>
    <row r="747" ht="12.75" customHeight="1" spans="1:3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row>
    <row r="748" ht="12.75" customHeight="1" spans="1:3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row>
    <row r="749" ht="12.75" customHeight="1" spans="1:3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row>
    <row r="750" ht="12.75" customHeight="1" spans="1:3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row>
    <row r="751" ht="12.75" customHeight="1" spans="1:3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row>
    <row r="752" ht="12.75" customHeight="1" spans="1:3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row>
    <row r="753" ht="12.75" customHeight="1" spans="1:3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row>
    <row r="754" ht="12.75" customHeight="1" spans="1:3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row>
    <row r="755" ht="12.75" customHeight="1" spans="1:3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row>
    <row r="756" ht="12.75" customHeight="1" spans="1:3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row>
    <row r="757" ht="12.75" customHeight="1" spans="1:3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row>
    <row r="758" ht="12.75" customHeight="1" spans="1:3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row>
    <row r="759" ht="12.75" customHeight="1" spans="1:3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row>
    <row r="760" ht="12.75" customHeight="1" spans="1:3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row>
    <row r="761" ht="12.75" customHeight="1" spans="1:3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row>
    <row r="762" ht="12.75" customHeight="1" spans="1:3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row>
    <row r="763" ht="12.75" customHeight="1" spans="1:3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row>
    <row r="764" ht="12.75" customHeight="1" spans="1:3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row>
    <row r="765" ht="12.75" customHeight="1" spans="1:3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row>
    <row r="766" ht="12.75" customHeight="1" spans="1:3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row>
    <row r="767" ht="12.75" customHeight="1" spans="1:3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row>
    <row r="768" ht="12.75" customHeight="1" spans="1:3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row>
    <row r="769" ht="12.75" customHeight="1" spans="1:3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row>
    <row r="770" ht="12.75" customHeight="1" spans="1:3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row>
    <row r="771" ht="12.75" customHeight="1" spans="1:3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row>
    <row r="772" ht="12.75" customHeight="1" spans="1:3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row>
    <row r="773" ht="12.75" customHeight="1" spans="1:3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row>
    <row r="774" ht="12.75" customHeight="1" spans="1:3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row>
    <row r="775" ht="12.75" customHeight="1" spans="1:3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row>
    <row r="776" ht="12.75" customHeight="1" spans="1:3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row>
    <row r="777" ht="12.75" customHeight="1" spans="1:3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row>
    <row r="778" ht="12.75" customHeight="1" spans="1:3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row>
    <row r="779" ht="12.75" customHeight="1" spans="1:3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row>
    <row r="780" ht="12.75" customHeight="1" spans="1:3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row>
    <row r="781" ht="12.75" customHeight="1" spans="1:3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row>
    <row r="782" ht="12.75" customHeight="1" spans="1:3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row>
    <row r="783" ht="12.75" customHeight="1" spans="1:3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row>
    <row r="784" ht="12.75" customHeight="1" spans="1:3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row>
    <row r="785" ht="12.75" customHeight="1" spans="1:3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row>
    <row r="786" ht="12.75" customHeight="1" spans="1:3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row>
    <row r="787" ht="12.75" customHeight="1" spans="1:3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row>
    <row r="788" ht="12.75" customHeight="1" spans="1:3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row>
    <row r="789" ht="12.75" customHeight="1" spans="1:3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row>
    <row r="790" ht="12.75" customHeight="1" spans="1:3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row>
    <row r="791" ht="12.75" customHeight="1" spans="1:3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row>
    <row r="792" ht="12.75" customHeight="1" spans="1:3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row>
    <row r="793" ht="12.75" customHeight="1" spans="1:3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row>
    <row r="794" ht="12.75" customHeight="1" spans="1:3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row>
    <row r="795" ht="12.75" customHeight="1" spans="1:3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row>
    <row r="796" ht="12.75" customHeight="1" spans="1:3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row>
    <row r="797" ht="12.75" customHeight="1" spans="1:3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row>
    <row r="798" ht="12.75" customHeight="1" spans="1:3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row>
    <row r="799" ht="12.75" customHeight="1" spans="1:3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row>
    <row r="800" ht="12.75" customHeight="1" spans="1:3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row>
    <row r="801" ht="12.75" customHeight="1" spans="1:3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row>
    <row r="802" ht="12.75" customHeight="1" spans="1:3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row>
    <row r="803" ht="12.75" customHeight="1" spans="1:3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row>
    <row r="804" ht="12.75" customHeight="1" spans="1:3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row>
    <row r="805" ht="12.75" customHeight="1" spans="1:3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row>
    <row r="806" ht="12.75" customHeight="1" spans="1:3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row>
    <row r="807" ht="12.75" customHeight="1" spans="1:3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row>
    <row r="808" ht="12.75" customHeight="1" spans="1:3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row>
    <row r="809" ht="12.75" customHeight="1" spans="1:3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row>
    <row r="810" ht="12.75" customHeight="1" spans="1:3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row>
    <row r="811" ht="12.75" customHeight="1" spans="1:3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row>
    <row r="812" ht="12.75" customHeight="1" spans="1:3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row>
    <row r="813" ht="12.75" customHeight="1" spans="1:3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row>
    <row r="814" ht="12.75" customHeight="1" spans="1:3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row>
    <row r="815" ht="12.75" customHeight="1" spans="1:3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row>
    <row r="816" ht="12.75" customHeight="1" spans="1:3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row>
    <row r="817" ht="12.75" customHeight="1" spans="1:3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row>
    <row r="818" ht="12.75" customHeight="1" spans="1:3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row>
    <row r="819" ht="12.75" customHeight="1" spans="1:3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row>
    <row r="820" ht="12.75" customHeight="1" spans="1:3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row>
    <row r="821" ht="12.75" customHeight="1" spans="1:3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row>
    <row r="822" ht="12.75" customHeight="1" spans="1:3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row>
    <row r="823" ht="12.75" customHeight="1" spans="1:3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row>
    <row r="824" ht="12.75" customHeight="1" spans="1:3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row>
    <row r="825" ht="12.75" customHeight="1" spans="1:3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row>
    <row r="826" ht="12.75" customHeight="1" spans="1:3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row>
    <row r="827" ht="12.75" customHeight="1" spans="1:3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row>
    <row r="828" ht="12.75" customHeight="1" spans="1:3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row>
    <row r="829" ht="12.75" customHeight="1" spans="1:3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row>
    <row r="830" ht="12.75" customHeight="1" spans="1:3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row>
    <row r="831" ht="12.75" customHeight="1" spans="1:3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row>
    <row r="832" ht="12.75" customHeight="1" spans="1:3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row>
    <row r="833" ht="12.75" customHeight="1" spans="1:3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row>
    <row r="834" ht="12.75" customHeight="1" spans="1:3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row>
    <row r="835" ht="12.75" customHeight="1" spans="1:3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row>
    <row r="836" ht="12.75" customHeight="1" spans="1:3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row>
    <row r="837" ht="12.75" customHeight="1" spans="1:3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row>
    <row r="838" ht="12.75" customHeight="1" spans="1:3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row>
    <row r="839" ht="12.75" customHeight="1" spans="1:3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row>
    <row r="840" ht="12.75" customHeight="1" spans="1:3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row>
    <row r="841" ht="12.75" customHeight="1" spans="1:3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row>
    <row r="842" ht="12.75" customHeight="1" spans="1:3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row>
    <row r="843" ht="12.75" customHeight="1" spans="1:3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row>
    <row r="844" ht="12.75" customHeight="1" spans="1:3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row>
    <row r="845" ht="12.75" customHeight="1" spans="1:3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row>
    <row r="846" ht="12.75" customHeight="1" spans="1:3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row>
    <row r="847" ht="12.75" customHeight="1" spans="1:3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row>
    <row r="848" ht="12.75" customHeight="1" spans="1:3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row>
    <row r="849" ht="12.75" customHeight="1" spans="1:3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row>
    <row r="850" ht="12.75" customHeight="1" spans="1:3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row>
    <row r="851" ht="12.75" customHeight="1" spans="1:3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row>
    <row r="852" ht="12.75" customHeight="1" spans="1:3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row>
    <row r="853" ht="12.75" customHeight="1" spans="1:3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row>
    <row r="854" ht="12.75" customHeight="1" spans="1:3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row>
    <row r="855" ht="12.75" customHeight="1" spans="1:3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row>
    <row r="856" ht="12.75" customHeight="1" spans="1:3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row>
    <row r="857" ht="12.75" customHeight="1" spans="1:3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row>
    <row r="858" ht="12.75" customHeight="1" spans="1:3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row>
    <row r="859" ht="12.75" customHeight="1" spans="1:3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row>
    <row r="860" ht="12.75" customHeight="1" spans="1:3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row>
    <row r="861" ht="12.75" customHeight="1" spans="1:3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row>
    <row r="862" ht="12.75" customHeight="1" spans="1:3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row>
    <row r="863" ht="12.75" customHeight="1" spans="1:3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row>
    <row r="864" ht="12.75" customHeight="1" spans="1:3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row>
    <row r="865" ht="12.75" customHeight="1" spans="1:3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row>
    <row r="866" ht="12.75" customHeight="1" spans="1:3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row>
    <row r="867" ht="12.75" customHeight="1" spans="1:3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row>
    <row r="868" ht="12.75" customHeight="1" spans="1:3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row>
    <row r="869" ht="12.75" customHeight="1" spans="1:3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row>
    <row r="870" ht="12.75" customHeight="1" spans="1:3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row>
    <row r="871" ht="12.75" customHeight="1" spans="1:3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row>
    <row r="872" ht="12.75" customHeight="1" spans="1:3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row>
    <row r="873" ht="12.75" customHeight="1" spans="1:3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row>
    <row r="874" ht="12.75" customHeight="1" spans="1:3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row>
    <row r="875" ht="12.75" customHeight="1" spans="1:3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row>
    <row r="876" ht="12.75" customHeight="1" spans="1:3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row>
    <row r="877" ht="12.75" customHeight="1" spans="1:3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row>
    <row r="878" ht="12.75" customHeight="1" spans="1:3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row>
    <row r="879" ht="12.75" customHeight="1" spans="1:3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row>
    <row r="880" ht="12.75" customHeight="1" spans="1:3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row>
    <row r="881" ht="12.75" customHeight="1" spans="1:3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row>
    <row r="882" ht="12.75" customHeight="1" spans="1:3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row>
    <row r="883" ht="12.75" customHeight="1" spans="1:3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row>
    <row r="884" ht="12.75" customHeight="1" spans="1:3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row>
    <row r="885" ht="12.75" customHeight="1" spans="1:3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row>
    <row r="886" ht="12.75" customHeight="1" spans="1:3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row>
    <row r="887" ht="12.75" customHeight="1" spans="1:3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row>
    <row r="888" ht="12.75" customHeight="1" spans="1:3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row>
    <row r="889" ht="12.75" customHeight="1" spans="1:3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row>
    <row r="890" ht="12.75" customHeight="1" spans="1:3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row>
    <row r="891" ht="12.75" customHeight="1" spans="1:3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row>
    <row r="892" ht="12.75" customHeight="1" spans="1:3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row>
    <row r="893" ht="12.75" customHeight="1" spans="1:3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row>
    <row r="894" ht="12.75" customHeight="1" spans="1:3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row>
    <row r="895" ht="12.75" customHeight="1" spans="1:3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row>
    <row r="896" ht="12.75" customHeight="1" spans="1:3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row>
    <row r="897" ht="12.75" customHeight="1" spans="1:3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row>
    <row r="898" ht="12.75" customHeight="1" spans="1:3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row>
    <row r="899" ht="12.75" customHeight="1" spans="1:3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row>
    <row r="900" ht="12.75" customHeight="1" spans="1:3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row>
    <row r="901" ht="12.75" customHeight="1" spans="1:3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row>
    <row r="902" ht="12.75" customHeight="1" spans="1:3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row>
    <row r="903" ht="12.75" customHeight="1" spans="1:3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row>
    <row r="904" ht="12.75" customHeight="1" spans="1:3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row>
    <row r="905" ht="12.75" customHeight="1" spans="1:34"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row>
    <row r="906" ht="12.75" customHeight="1" spans="1:34"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row>
    <row r="907" ht="12.75" customHeight="1" spans="1:34"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row>
    <row r="908" ht="12.75" customHeight="1" spans="1:34"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row>
    <row r="909" ht="12.75" customHeight="1" spans="1:34"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row>
    <row r="910" ht="12.75" customHeight="1" spans="1:34"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row>
    <row r="911" ht="12.75" customHeight="1" spans="1:34"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row>
    <row r="912" ht="12.75" customHeight="1" spans="1:34"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row>
    <row r="913" ht="12.75" customHeight="1" spans="1:34"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row>
    <row r="914" ht="12.75" customHeight="1" spans="1:34"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row>
    <row r="915" ht="12.75" customHeight="1" spans="1:34"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row>
    <row r="916" ht="12.75" customHeight="1" spans="1:34"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row>
    <row r="917" ht="12.75" customHeight="1" spans="1:34"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row>
    <row r="918" ht="12.75" customHeight="1" spans="1:34"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row>
    <row r="919" ht="12.75" customHeight="1" spans="1:34"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row>
    <row r="920" ht="12.75" customHeight="1" spans="1:34"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row>
    <row r="921" ht="12.75" customHeight="1" spans="1:34"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row>
    <row r="922" ht="12.75" customHeight="1" spans="1:34"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row>
    <row r="923" ht="12.75" customHeight="1" spans="1:34"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row>
    <row r="924" ht="12.75" customHeight="1" spans="1:34"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row>
    <row r="925" ht="12.75" customHeight="1" spans="1:34"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row>
    <row r="926" ht="12.75" customHeight="1" spans="1:34"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row>
    <row r="927" ht="12.75" customHeight="1" spans="1:34"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row>
    <row r="928" ht="12.75" customHeight="1" spans="1:34"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row>
    <row r="929" ht="12.75" customHeight="1" spans="1:34"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row>
    <row r="930" ht="12.75" customHeight="1" spans="1:34"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row>
    <row r="931" ht="12.75" customHeight="1" spans="1:34"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row>
    <row r="932" ht="12.75" customHeight="1" spans="1:34"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row>
    <row r="933" ht="12.75" customHeight="1" spans="1:34"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row>
    <row r="934" ht="12.75" customHeight="1" spans="1:34"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row>
    <row r="935" ht="12.75" customHeight="1" spans="1:34"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row>
    <row r="936" ht="12.75" customHeight="1" spans="1:34"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row>
    <row r="937" ht="12.75" customHeight="1" spans="1:34"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row>
    <row r="938" ht="12.75" customHeight="1" spans="1:34"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row>
    <row r="939" ht="12.75" customHeight="1" spans="1:34"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row>
    <row r="940" ht="12.75" customHeight="1" spans="1:34"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row>
    <row r="941" ht="12.75" customHeight="1" spans="1:34"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row>
    <row r="942" ht="12.75" customHeight="1" spans="1:34"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row>
    <row r="943" ht="12.75" customHeight="1" spans="1:34"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row>
    <row r="944" ht="12.75" customHeight="1" spans="1:34"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row>
    <row r="945" ht="12.75" customHeight="1" spans="1:34"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row>
    <row r="946" ht="12.75" customHeight="1" spans="1:34"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row>
    <row r="947" ht="12.75" customHeight="1" spans="1:34"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row>
    <row r="948" ht="12.75" customHeight="1" spans="1:34"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row>
    <row r="949" ht="12.75" customHeight="1" spans="1:34"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row>
    <row r="950" ht="12.75" customHeight="1" spans="1:34"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row>
    <row r="951" ht="12.75" customHeight="1" spans="1:34"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row>
    <row r="952" ht="12.75" customHeight="1" spans="1:34"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row>
    <row r="953" ht="12.75" customHeight="1" spans="1:34"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row>
    <row r="954" ht="12.75" customHeight="1" spans="1:34"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row>
    <row r="955" ht="12.75" customHeight="1" spans="1:34"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row>
    <row r="956" ht="12.75" customHeight="1" spans="1:34"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row>
    <row r="957" ht="12.75" customHeight="1" spans="1:34"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row>
    <row r="958" ht="12.75" customHeight="1" spans="1:34"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row>
    <row r="959" ht="12.75" customHeight="1" spans="1:34"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row>
    <row r="960" ht="12.75" customHeight="1" spans="1:34"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row>
    <row r="961" ht="12.75" customHeight="1" spans="1:34"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row>
    <row r="962" ht="12.75" customHeight="1" spans="1:34"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row>
    <row r="963" ht="12.75" customHeight="1" spans="1:34"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row>
    <row r="964" ht="12.75" customHeight="1" spans="1:34"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row>
    <row r="965" ht="12.75" customHeight="1" spans="1:34"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row>
    <row r="966" ht="12.75" customHeight="1" spans="1:34"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row>
    <row r="967" ht="12.75" customHeight="1" spans="1:34"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row>
    <row r="968" ht="12.75" customHeight="1" spans="1:34"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row>
    <row r="969" ht="12.75" customHeight="1" spans="1:34"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row>
    <row r="970" ht="12.75" customHeight="1" spans="1:34"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row>
    <row r="971" ht="12.75" customHeight="1" spans="1:34"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row>
    <row r="972" ht="12.75" customHeight="1" spans="1:34"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row>
    <row r="973" ht="12.75" customHeight="1" spans="1:34"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row>
    <row r="974" ht="12.75" customHeight="1" spans="1:34"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row>
    <row r="975" ht="12.75" customHeight="1" spans="1:34"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row>
    <row r="976" ht="12.75" customHeight="1" spans="1:34"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row>
    <row r="977" ht="12.75" customHeight="1" spans="1:34"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row>
    <row r="978" ht="12.75" customHeight="1" spans="1:34"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row>
    <row r="979" ht="12.75" customHeight="1" spans="1:34"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row>
    <row r="980" ht="12.75" customHeight="1" spans="1:34"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row>
    <row r="981" ht="12.75" customHeight="1" spans="1:34"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row>
    <row r="982" ht="12.75" customHeight="1" spans="1:34"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row>
    <row r="983" ht="12.75" customHeight="1" spans="1:34"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row>
    <row r="984" ht="12.75" customHeight="1" spans="1:34"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row>
    <row r="985" ht="12.75" customHeight="1" spans="1:34"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row>
    <row r="986" ht="12.75" customHeight="1" spans="1:34"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row>
    <row r="987" ht="12.75" customHeight="1" spans="1:34"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row>
    <row r="988" ht="12.75" customHeight="1" spans="1:34"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row>
    <row r="989" ht="12.75" customHeight="1" spans="1:34"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row>
    <row r="990" ht="12.75" customHeight="1" spans="1:34"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row>
    <row r="991" ht="12.75" customHeight="1" spans="1:34"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row>
    <row r="992" ht="12.75" customHeight="1" spans="1:34"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row>
    <row r="993" ht="12.75" customHeight="1" spans="1:34"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row>
    <row r="994" ht="12.75" customHeight="1" spans="1:34"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row>
    <row r="995" ht="12.75" customHeight="1" spans="1:34"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row>
    <row r="996" ht="12.75" customHeight="1" spans="1:34"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row>
    <row r="997" ht="12.75" customHeight="1" spans="1:34"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row>
    <row r="998" ht="12.75" customHeight="1" spans="1:34"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row>
    <row r="999" ht="12.75" customHeight="1" spans="1:34"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row>
    <row r="1000" ht="12.75" customHeight="1" spans="1:34"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row>
  </sheetData>
  <mergeCells count="50">
    <mergeCell ref="AB2:AG2"/>
    <mergeCell ref="B4:N5"/>
    <mergeCell ref="O4:P5"/>
    <mergeCell ref="Y6:AG6"/>
    <mergeCell ref="V7:X7"/>
    <mergeCell ref="U8:AG8"/>
    <mergeCell ref="Y9:AG9"/>
    <mergeCell ref="Y10:AG10"/>
    <mergeCell ref="A11:AH12"/>
    <mergeCell ref="B17:N17"/>
    <mergeCell ref="O17:V17"/>
    <mergeCell ref="B18:AG18"/>
    <mergeCell ref="B20:AG20"/>
    <mergeCell ref="O22:P22"/>
    <mergeCell ref="B24:M24"/>
    <mergeCell ref="N24:W24"/>
    <mergeCell ref="X24:AG24"/>
    <mergeCell ref="B25:M25"/>
    <mergeCell ref="N25:V25"/>
    <mergeCell ref="X25:AG25"/>
    <mergeCell ref="B26:M26"/>
    <mergeCell ref="N26:V26"/>
    <mergeCell ref="X26:AG26"/>
    <mergeCell ref="B27:M27"/>
    <mergeCell ref="N27:V27"/>
    <mergeCell ref="X27:AG27"/>
    <mergeCell ref="B28:M28"/>
    <mergeCell ref="N28:V28"/>
    <mergeCell ref="X28:AG28"/>
    <mergeCell ref="B29:M29"/>
    <mergeCell ref="N29:V29"/>
    <mergeCell ref="X29:AG29"/>
    <mergeCell ref="B30:M30"/>
    <mergeCell ref="N30:V30"/>
    <mergeCell ref="X30:AG30"/>
    <mergeCell ref="B32:M32"/>
    <mergeCell ref="N32:AF32"/>
    <mergeCell ref="B35:M35"/>
    <mergeCell ref="N35:W35"/>
    <mergeCell ref="X35:AG35"/>
    <mergeCell ref="B36:M37"/>
    <mergeCell ref="N36:W37"/>
    <mergeCell ref="X36:AG37"/>
    <mergeCell ref="A40:AH40"/>
    <mergeCell ref="A41:AH41"/>
    <mergeCell ref="A42:AH42"/>
    <mergeCell ref="A43:AH43"/>
    <mergeCell ref="A44:AH44"/>
    <mergeCell ref="A45:AH45"/>
    <mergeCell ref="AD46:AG46"/>
  </mergeCells>
  <dataValidations count="1">
    <dataValidation type="list" allowBlank="1" showInputMessage="1" showErrorMessage="1" sqref="B25:M25">
      <formula1>"ご契約金,着工金"</formula1>
    </dataValidation>
  </dataValidations>
  <pageMargins left="1.1811023622047245" right="0.5905511811023623" top="0.7480314960629921" bottom="0.5905511811023623" header="0" footer="0"/>
  <pageSetup paperSize="9" orientation="portrait" horizontalDpi="4294967295" verticalDpi="4294967295" scale="87"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W1003"/>
  <sheetViews>
    <sheetView workbookViewId="0" zoomScale="100" zoomScaleNormal="100" view="pageBreakPreview">
      <selection activeCell="AG12" sqref="AG12"/>
    </sheetView>
  </sheetViews>
  <sheetFormatPr defaultRowHeight="15" outlineLevelRow="0" outlineLevelCol="0" x14ac:dyDescent="0" defaultColWidth="14.42578125"/>
  <cols>
    <col min="1" max="1" width="4.7109375" style="1" customWidth="1"/>
    <col min="2" max="15" width="2.7109375" style="1" customWidth="1"/>
    <col min="16" max="16" width="4.7109375" style="1" customWidth="1"/>
    <col min="17" max="28" width="2.7109375" style="1" customWidth="1"/>
    <col min="29" max="29" width="4.7109375" style="1" customWidth="1"/>
    <col min="30" max="30" width="6.7109375" style="1" customWidth="1"/>
    <col min="31" max="32" width="9" style="1" customWidth="1"/>
    <col min="33" max="33" width="17" style="1" customWidth="1"/>
    <col min="34" max="49" width="9" style="1" customWidth="1"/>
    <col min="50" max="16384" width="14.42578125" style="1" customWidth="1"/>
  </cols>
  <sheetData>
    <row r="1" ht="22.9" customHeight="1" spans="1:49" x14ac:dyDescent="0.25">
      <c r="A1" s="993" t="s">
        <v>1859</v>
      </c>
      <c r="B1" s="993"/>
      <c r="C1" s="993"/>
      <c r="D1" s="993"/>
      <c r="E1" s="993"/>
      <c r="F1" s="993"/>
      <c r="G1" s="993"/>
      <c r="H1" s="993"/>
      <c r="I1" s="993"/>
      <c r="J1" s="993"/>
      <c r="K1" s="993"/>
      <c r="L1" s="993"/>
      <c r="M1" s="993"/>
      <c r="N1" s="993"/>
      <c r="O1" s="993"/>
      <c r="P1" s="993"/>
      <c r="Q1" s="993"/>
      <c r="R1" s="993"/>
      <c r="S1" s="993"/>
      <c r="T1" s="993"/>
      <c r="U1" s="993"/>
      <c r="V1" s="993"/>
      <c r="W1" s="993"/>
      <c r="X1" s="993"/>
      <c r="Y1" s="993"/>
      <c r="Z1" s="993"/>
      <c r="AA1" s="993"/>
      <c r="AB1" s="993"/>
      <c r="AC1" s="993"/>
      <c r="AD1" s="993"/>
      <c r="AE1" s="2"/>
      <c r="AF1" s="2"/>
      <c r="AG1" s="3"/>
      <c r="AH1" s="3"/>
      <c r="AI1" s="3"/>
      <c r="AJ1" s="3"/>
      <c r="AK1" s="3"/>
      <c r="AL1" s="3"/>
      <c r="AM1" s="3"/>
      <c r="AN1" s="3"/>
      <c r="AO1" s="3"/>
      <c r="AP1" s="3"/>
      <c r="AQ1" s="3"/>
      <c r="AR1" s="3"/>
      <c r="AS1" s="3"/>
      <c r="AT1" s="3"/>
      <c r="AU1" s="3"/>
      <c r="AV1" s="3"/>
      <c r="AW1" s="3"/>
    </row>
    <row r="2" ht="15.75" customHeight="1" spans="1:49" x14ac:dyDescent="0.25">
      <c r="A2" s="993"/>
      <c r="AE2" s="2"/>
      <c r="AF2" s="2"/>
      <c r="AG2" s="3"/>
      <c r="AH2" s="3"/>
      <c r="AI2" s="3"/>
      <c r="AJ2" s="3"/>
      <c r="AK2" s="3"/>
      <c r="AL2" s="3"/>
      <c r="AM2" s="3"/>
      <c r="AN2" s="3"/>
      <c r="AO2" s="3"/>
      <c r="AP2" s="3"/>
      <c r="AQ2" s="3"/>
      <c r="AR2" s="3"/>
      <c r="AS2" s="3"/>
      <c r="AT2" s="3"/>
      <c r="AU2" s="3"/>
      <c r="AV2" s="3"/>
      <c r="AW2" s="3"/>
    </row>
    <row r="3" ht="15.75" customHeight="1" spans="1:49" x14ac:dyDescent="0.25">
      <c r="A3" s="70" t="s">
        <v>1860</v>
      </c>
      <c r="B3" s="70"/>
      <c r="C3" s="70"/>
      <c r="D3" s="108">
        <f>初期入力!B4</f>
        <v>0</v>
      </c>
      <c r="E3" s="108"/>
      <c r="F3" s="108"/>
      <c r="G3" s="108"/>
      <c r="H3" s="108"/>
      <c r="I3" s="994">
        <f>初期入力!B6</f>
        <v>0</v>
      </c>
      <c r="J3" s="994"/>
      <c r="K3" s="994"/>
      <c r="L3" s="994"/>
      <c r="M3" s="994"/>
      <c r="N3" s="162" t="s">
        <v>1861</v>
      </c>
      <c r="O3" s="162"/>
      <c r="P3" s="162"/>
      <c r="Q3" s="162"/>
      <c r="R3" s="162"/>
      <c r="S3" s="162"/>
      <c r="T3" s="162"/>
      <c r="U3" s="162"/>
      <c r="V3" s="162"/>
      <c r="W3" s="162"/>
      <c r="X3" s="162"/>
      <c r="Y3" s="162"/>
      <c r="Z3" s="162"/>
      <c r="AA3" s="162"/>
      <c r="AB3" s="162"/>
      <c r="AC3" s="162"/>
      <c r="AD3" s="162"/>
      <c r="AE3" s="689"/>
      <c r="AF3" s="689"/>
      <c r="AG3" s="3"/>
      <c r="AH3" s="3"/>
      <c r="AI3" s="3"/>
      <c r="AJ3" s="3"/>
      <c r="AK3" s="3"/>
      <c r="AL3" s="3"/>
      <c r="AM3" s="3"/>
      <c r="AN3" s="3"/>
      <c r="AO3" s="3"/>
      <c r="AP3" s="3"/>
      <c r="AQ3" s="3"/>
      <c r="AR3" s="3"/>
      <c r="AS3" s="3"/>
      <c r="AT3" s="3"/>
      <c r="AU3" s="3"/>
      <c r="AV3" s="3"/>
      <c r="AW3" s="3"/>
    </row>
    <row r="4" ht="16.5" customHeight="1" spans="1:49" x14ac:dyDescent="0.25">
      <c r="A4" s="70" t="s">
        <v>1862</v>
      </c>
      <c r="B4" s="689"/>
      <c r="C4" s="70"/>
      <c r="D4" s="689"/>
      <c r="E4" s="689"/>
      <c r="F4" s="689"/>
      <c r="G4" s="689"/>
      <c r="H4" s="689"/>
      <c r="I4" s="689"/>
      <c r="J4" s="689"/>
      <c r="K4" s="70"/>
      <c r="L4" s="70"/>
      <c r="M4" s="689"/>
      <c r="N4" s="689"/>
      <c r="O4" s="689"/>
      <c r="P4" s="689"/>
      <c r="Q4" s="689"/>
      <c r="R4" s="689"/>
      <c r="S4" s="689"/>
      <c r="T4" s="689"/>
      <c r="U4" s="689"/>
      <c r="V4" s="689"/>
      <c r="W4" s="689"/>
      <c r="X4" s="689"/>
      <c r="Y4" s="689"/>
      <c r="Z4" s="689"/>
      <c r="AA4" s="689"/>
      <c r="AB4" s="689"/>
      <c r="AC4" s="689"/>
      <c r="AD4" s="689"/>
      <c r="AE4" s="689"/>
      <c r="AF4" s="70"/>
      <c r="AG4" s="3"/>
      <c r="AH4" s="3"/>
      <c r="AI4" s="3"/>
      <c r="AJ4" s="3"/>
      <c r="AK4" s="3"/>
      <c r="AL4" s="3"/>
      <c r="AM4" s="3"/>
      <c r="AN4" s="3"/>
      <c r="AO4" s="3"/>
      <c r="AP4" s="3"/>
      <c r="AQ4" s="3"/>
      <c r="AR4" s="3"/>
      <c r="AS4" s="3"/>
      <c r="AT4" s="3"/>
      <c r="AU4" s="3"/>
      <c r="AV4" s="3"/>
      <c r="AW4" s="3"/>
    </row>
    <row r="5" ht="16.5" customHeight="1" spans="1:49" x14ac:dyDescent="0.25">
      <c r="A5" s="162" t="s">
        <v>1863</v>
      </c>
      <c r="B5" s="1"/>
      <c r="C5" s="1"/>
      <c r="D5" s="1"/>
      <c r="E5" s="1"/>
      <c r="F5" s="1"/>
      <c r="G5" s="1"/>
      <c r="H5" s="1"/>
      <c r="I5" s="1"/>
      <c r="J5" s="1"/>
      <c r="K5" s="1"/>
      <c r="L5" s="1"/>
      <c r="M5" s="1"/>
      <c r="N5" s="1"/>
      <c r="O5" s="1"/>
      <c r="P5" s="1"/>
      <c r="Q5" s="1"/>
      <c r="R5" s="1"/>
      <c r="S5" s="1"/>
      <c r="T5" s="1"/>
      <c r="U5" s="1"/>
      <c r="V5" s="1"/>
      <c r="W5" s="689"/>
      <c r="X5" s="689"/>
      <c r="Y5" s="70"/>
      <c r="Z5" s="689"/>
      <c r="AA5" s="689"/>
      <c r="AB5" s="70"/>
      <c r="AC5" s="995"/>
      <c r="AD5" s="1"/>
      <c r="AE5" s="689"/>
      <c r="AF5" s="689"/>
      <c r="AG5" s="3"/>
      <c r="AH5" s="3"/>
      <c r="AI5" s="70"/>
      <c r="AJ5" s="689"/>
      <c r="AK5" s="689"/>
      <c r="AL5" s="689"/>
      <c r="AM5" s="689"/>
      <c r="AN5" s="689"/>
      <c r="AO5" s="689"/>
      <c r="AP5" s="689"/>
      <c r="AQ5" s="689"/>
      <c r="AR5" s="689"/>
      <c r="AS5" s="689"/>
      <c r="AT5" s="689"/>
      <c r="AU5" s="689"/>
      <c r="AV5" s="689"/>
      <c r="AW5" s="689"/>
    </row>
    <row r="6" ht="16.5" customHeight="1" spans="1:49" x14ac:dyDescent="0.25">
      <c r="A6" s="162"/>
      <c r="W6" s="689"/>
      <c r="X6" s="689"/>
      <c r="Y6" s="70"/>
      <c r="Z6" s="689"/>
      <c r="AA6" s="689"/>
      <c r="AB6" s="70"/>
      <c r="AC6" s="995"/>
      <c r="AE6" s="689"/>
      <c r="AF6" s="689"/>
      <c r="AG6" s="3"/>
      <c r="AH6" s="3"/>
      <c r="AI6" s="70"/>
      <c r="AJ6" s="689"/>
      <c r="AK6" s="689"/>
      <c r="AL6" s="689"/>
      <c r="AM6" s="689"/>
      <c r="AN6" s="689"/>
      <c r="AO6" s="689"/>
      <c r="AP6" s="689"/>
      <c r="AQ6" s="689"/>
      <c r="AR6" s="689"/>
      <c r="AS6" s="689"/>
      <c r="AT6" s="689"/>
      <c r="AU6" s="689"/>
      <c r="AV6" s="689"/>
      <c r="AW6" s="689"/>
    </row>
    <row r="7" ht="12.75" customHeight="1" spans="1:49" x14ac:dyDescent="0.25">
      <c r="A7" s="162" t="s">
        <v>1864</v>
      </c>
      <c r="B7" s="162"/>
      <c r="C7" s="162"/>
      <c r="D7" s="162"/>
      <c r="E7" s="162"/>
      <c r="F7" s="162"/>
      <c r="G7" s="162"/>
      <c r="H7" s="162"/>
      <c r="I7" s="162"/>
      <c r="J7" s="162"/>
      <c r="K7" s="162"/>
      <c r="L7" s="162"/>
      <c r="M7" s="162"/>
      <c r="N7" s="162"/>
      <c r="O7" s="70"/>
      <c r="P7" s="70"/>
      <c r="Q7" s="70"/>
      <c r="R7" s="70"/>
      <c r="S7" s="70"/>
      <c r="T7" s="70"/>
      <c r="U7" s="70"/>
      <c r="V7" s="70"/>
      <c r="W7" s="70"/>
      <c r="X7" s="70"/>
      <c r="Y7" s="70"/>
      <c r="Z7" s="70"/>
      <c r="AA7" s="70"/>
      <c r="AB7" s="70"/>
      <c r="AC7" s="70"/>
      <c r="AD7" s="70"/>
      <c r="AE7" s="70"/>
      <c r="AF7" s="70"/>
      <c r="AG7" s="3"/>
      <c r="AH7" s="35"/>
      <c r="AI7" s="3"/>
      <c r="AJ7" s="3"/>
      <c r="AK7" s="3"/>
      <c r="AL7" s="3"/>
      <c r="AM7" s="3"/>
      <c r="AN7" s="3"/>
      <c r="AO7" s="3"/>
      <c r="AP7" s="3"/>
      <c r="AQ7" s="3"/>
      <c r="AR7" s="3"/>
      <c r="AS7" s="3"/>
      <c r="AT7" s="3"/>
      <c r="AU7" s="3"/>
      <c r="AV7" s="3"/>
      <c r="AW7" s="3"/>
    </row>
    <row r="8" ht="16.5" customHeight="1" spans="1:49" x14ac:dyDescent="0.25">
      <c r="A8" s="996" t="s">
        <v>1865</v>
      </c>
      <c r="B8" s="70" t="s">
        <v>1866</v>
      </c>
      <c r="C8" s="70"/>
      <c r="D8" s="70"/>
      <c r="E8" s="70"/>
      <c r="F8" s="70"/>
      <c r="G8" s="70"/>
      <c r="H8" s="70"/>
      <c r="I8" s="70"/>
      <c r="J8" s="70"/>
      <c r="K8" s="70"/>
      <c r="L8" s="70"/>
      <c r="M8" s="70"/>
      <c r="N8" s="70"/>
      <c r="O8" s="70"/>
      <c r="P8" s="70"/>
      <c r="Q8" s="108"/>
      <c r="R8" s="108"/>
      <c r="S8" s="108"/>
      <c r="T8" s="108"/>
      <c r="U8" s="108"/>
      <c r="V8" s="108"/>
      <c r="W8" s="70"/>
      <c r="X8" s="70"/>
      <c r="Y8" s="70"/>
      <c r="Z8" s="70"/>
      <c r="AA8" s="70"/>
      <c r="AB8" s="70"/>
      <c r="AC8" s="70"/>
      <c r="AD8" s="70"/>
      <c r="AE8" s="70"/>
      <c r="AF8" s="70"/>
      <c r="AG8" s="3"/>
      <c r="AH8" s="3"/>
      <c r="AI8" s="3"/>
      <c r="AJ8" s="3"/>
      <c r="AK8" s="3"/>
      <c r="AL8" s="3"/>
      <c r="AM8" s="3"/>
      <c r="AN8" s="3"/>
      <c r="AO8" s="3"/>
      <c r="AP8" s="3"/>
      <c r="AQ8" s="3"/>
      <c r="AR8" s="3"/>
      <c r="AS8" s="3"/>
      <c r="AT8" s="3"/>
      <c r="AU8" s="3"/>
      <c r="AV8" s="3"/>
      <c r="AW8" s="3"/>
    </row>
    <row r="9" ht="16.5" customHeight="1" spans="1:49" x14ac:dyDescent="0.25">
      <c r="A9" s="70"/>
      <c r="B9" s="70" t="s">
        <v>1867</v>
      </c>
      <c r="C9" s="70"/>
      <c r="D9" s="70"/>
      <c r="E9" s="70"/>
      <c r="F9" s="70"/>
      <c r="G9" s="70"/>
      <c r="H9" s="70"/>
      <c r="I9" s="70"/>
      <c r="J9" s="997"/>
      <c r="K9" s="997"/>
      <c r="L9" s="997"/>
      <c r="M9" s="997"/>
      <c r="N9" s="997"/>
      <c r="O9" s="997"/>
      <c r="P9" s="997"/>
      <c r="Q9" s="997"/>
      <c r="R9" s="997"/>
      <c r="S9" s="997"/>
      <c r="T9" s="997"/>
      <c r="U9" s="70"/>
      <c r="V9" s="70"/>
      <c r="W9" s="70"/>
      <c r="X9" s="70"/>
      <c r="Y9" s="70"/>
      <c r="Z9" s="70"/>
      <c r="AA9" s="70"/>
      <c r="AB9" s="70"/>
      <c r="AC9" s="70"/>
      <c r="AD9" s="70"/>
      <c r="AE9" s="70"/>
      <c r="AF9" s="70"/>
      <c r="AG9" s="689"/>
      <c r="AH9" s="70"/>
      <c r="AI9" s="689"/>
      <c r="AJ9" s="689"/>
      <c r="AK9" s="689"/>
      <c r="AL9" s="689"/>
      <c r="AM9" s="70"/>
      <c r="AN9" s="689"/>
      <c r="AO9" s="689"/>
      <c r="AP9" s="70"/>
      <c r="AQ9" s="689"/>
      <c r="AR9" s="689"/>
      <c r="AS9" s="3"/>
      <c r="AT9" s="3"/>
      <c r="AU9" s="3"/>
      <c r="AV9" s="3"/>
      <c r="AW9" s="3"/>
    </row>
    <row r="10" ht="16.5" customHeight="1" spans="1:49" x14ac:dyDescent="0.25">
      <c r="A10" s="162"/>
      <c r="B10" s="162" t="s">
        <v>1868</v>
      </c>
      <c r="C10" s="162"/>
      <c r="D10" s="162"/>
      <c r="E10" s="162"/>
      <c r="F10" s="162"/>
      <c r="G10" s="162"/>
      <c r="H10" s="162"/>
      <c r="I10" s="162"/>
      <c r="J10" s="998"/>
      <c r="K10" s="998"/>
      <c r="L10" s="998"/>
      <c r="M10" s="998"/>
      <c r="N10" s="998"/>
      <c r="O10" s="998"/>
      <c r="P10" s="998"/>
      <c r="Q10" s="998"/>
      <c r="R10" s="998"/>
      <c r="S10" s="998"/>
      <c r="T10" s="998"/>
      <c r="U10" s="162"/>
      <c r="V10" s="162"/>
      <c r="W10" s="162"/>
      <c r="X10" s="162"/>
      <c r="Y10" s="162"/>
      <c r="Z10" s="162"/>
      <c r="AA10" s="162"/>
      <c r="AB10" s="162"/>
      <c r="AC10" s="162"/>
      <c r="AD10" s="162"/>
      <c r="AE10" s="70"/>
      <c r="AF10" s="70"/>
      <c r="AG10" s="3"/>
      <c r="AH10" s="3"/>
      <c r="AI10" s="3"/>
      <c r="AJ10" s="3"/>
      <c r="AK10" s="3"/>
      <c r="AL10" s="3"/>
      <c r="AM10" s="3"/>
      <c r="AN10" s="3"/>
      <c r="AO10" s="3"/>
      <c r="AP10" s="3"/>
      <c r="AQ10" s="3"/>
      <c r="AR10" s="3"/>
      <c r="AS10" s="3"/>
      <c r="AT10" s="3"/>
      <c r="AU10" s="3"/>
      <c r="AV10" s="3"/>
      <c r="AW10" s="3"/>
    </row>
    <row r="11" ht="12.75" customHeight="1" spans="1:49" x14ac:dyDescent="0.25">
      <c r="A11" s="70"/>
      <c r="B11" s="70" t="s">
        <v>1869</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3"/>
      <c r="AH11" s="3"/>
      <c r="AI11" s="3"/>
      <c r="AJ11" s="3"/>
      <c r="AK11" s="3"/>
      <c r="AL11" s="3"/>
      <c r="AM11" s="3"/>
      <c r="AN11" s="3"/>
      <c r="AO11" s="3"/>
      <c r="AP11" s="3"/>
      <c r="AQ11" s="3"/>
      <c r="AR11" s="3"/>
      <c r="AS11" s="3"/>
      <c r="AT11" s="3"/>
      <c r="AU11" s="3"/>
      <c r="AV11" s="3"/>
      <c r="AW11" s="3"/>
    </row>
    <row r="12" ht="12.75" customHeight="1" spans="1:49" x14ac:dyDescent="0.25">
      <c r="A12" s="70"/>
      <c r="B12" s="70" t="s">
        <v>1870</v>
      </c>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3"/>
      <c r="AH12" s="3"/>
      <c r="AI12" s="3"/>
      <c r="AJ12" s="3"/>
      <c r="AK12" s="3"/>
      <c r="AL12" s="3"/>
      <c r="AM12" s="3"/>
      <c r="AN12" s="3"/>
      <c r="AO12" s="3"/>
      <c r="AP12" s="3"/>
      <c r="AQ12" s="3"/>
      <c r="AR12" s="3"/>
      <c r="AS12" s="3"/>
      <c r="AT12" s="3"/>
      <c r="AU12" s="3"/>
      <c r="AV12" s="3"/>
      <c r="AW12" s="3"/>
    </row>
    <row r="13" ht="12.75" customHeight="1" spans="1:49" x14ac:dyDescent="0.25">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3"/>
      <c r="AH13" s="3"/>
      <c r="AI13" s="3"/>
      <c r="AJ13" s="3"/>
      <c r="AK13" s="3"/>
      <c r="AL13" s="3"/>
      <c r="AM13" s="3"/>
      <c r="AN13" s="3"/>
      <c r="AO13" s="3"/>
      <c r="AP13" s="3"/>
      <c r="AQ13" s="3"/>
      <c r="AR13" s="3"/>
      <c r="AS13" s="3"/>
      <c r="AT13" s="3"/>
      <c r="AU13" s="3"/>
      <c r="AV13" s="3"/>
      <c r="AW13" s="3"/>
    </row>
    <row r="14" ht="16.5" customHeight="1" spans="1:49" x14ac:dyDescent="0.25">
      <c r="A14" s="996" t="s">
        <v>1871</v>
      </c>
      <c r="B14" s="70" t="s">
        <v>1872</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3"/>
      <c r="AH14" s="3"/>
      <c r="AI14" s="3"/>
      <c r="AJ14" s="3"/>
      <c r="AK14" s="3"/>
      <c r="AL14" s="3"/>
      <c r="AM14" s="3"/>
      <c r="AN14" s="3"/>
      <c r="AO14" s="3"/>
      <c r="AP14" s="3"/>
      <c r="AQ14" s="3"/>
      <c r="AR14" s="3"/>
      <c r="AS14" s="3"/>
      <c r="AT14" s="3"/>
      <c r="AU14" s="3"/>
      <c r="AV14" s="3"/>
      <c r="AW14" s="3"/>
    </row>
    <row r="15" ht="16.5" customHeight="1" spans="1:49" x14ac:dyDescent="0.25">
      <c r="A15" s="70"/>
      <c r="B15" s="70" t="s">
        <v>1873</v>
      </c>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3"/>
      <c r="AH15" s="3"/>
      <c r="AI15" s="3"/>
      <c r="AJ15" s="3"/>
      <c r="AK15" s="3"/>
      <c r="AL15" s="3"/>
      <c r="AM15" s="3"/>
      <c r="AN15" s="3"/>
      <c r="AO15" s="3"/>
      <c r="AP15" s="3"/>
      <c r="AQ15" s="3"/>
      <c r="AR15" s="3"/>
      <c r="AS15" s="3"/>
      <c r="AT15" s="3"/>
      <c r="AU15" s="3"/>
      <c r="AV15" s="3"/>
      <c r="AW15" s="3"/>
    </row>
    <row r="16" ht="16.5" customHeight="1" spans="1:49" x14ac:dyDescent="0.25">
      <c r="A16" s="70"/>
      <c r="B16" s="70" t="s">
        <v>1874</v>
      </c>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3"/>
      <c r="AH16" s="3"/>
      <c r="AI16" s="3"/>
      <c r="AJ16" s="3"/>
      <c r="AK16" s="3"/>
      <c r="AL16" s="3"/>
      <c r="AM16" s="3"/>
      <c r="AN16" s="3"/>
      <c r="AO16" s="3"/>
      <c r="AP16" s="3"/>
      <c r="AQ16" s="3"/>
      <c r="AR16" s="3"/>
      <c r="AS16" s="3"/>
      <c r="AT16" s="3"/>
      <c r="AU16" s="3"/>
      <c r="AV16" s="3"/>
      <c r="AW16" s="3"/>
    </row>
    <row r="17" ht="16.5" customHeight="1" spans="1:49" x14ac:dyDescent="0.25">
      <c r="A17" s="70"/>
      <c r="B17" s="70" t="s">
        <v>1875</v>
      </c>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3"/>
      <c r="AH17" s="3"/>
      <c r="AI17" s="3"/>
      <c r="AJ17" s="3"/>
      <c r="AK17" s="3"/>
      <c r="AL17" s="3"/>
      <c r="AM17" s="3"/>
      <c r="AN17" s="3"/>
      <c r="AO17" s="3"/>
      <c r="AP17" s="3"/>
      <c r="AQ17" s="3"/>
      <c r="AR17" s="3"/>
      <c r="AS17" s="3"/>
      <c r="AT17" s="3"/>
      <c r="AU17" s="3"/>
      <c r="AV17" s="3"/>
      <c r="AW17" s="3"/>
    </row>
    <row r="18" ht="12.75" customHeight="1" spans="1:49" x14ac:dyDescent="0.25">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3"/>
      <c r="AH18" s="3"/>
      <c r="AI18" s="3"/>
      <c r="AJ18" s="3"/>
      <c r="AK18" s="3"/>
      <c r="AL18" s="3"/>
      <c r="AM18" s="3"/>
      <c r="AN18" s="3"/>
      <c r="AO18" s="3"/>
      <c r="AP18" s="3"/>
      <c r="AQ18" s="3"/>
      <c r="AR18" s="3"/>
      <c r="AS18" s="3"/>
      <c r="AT18" s="3"/>
      <c r="AU18" s="3"/>
      <c r="AV18" s="3"/>
      <c r="AW18" s="3"/>
    </row>
    <row r="19" ht="12.75" customHeight="1" hidden="1" spans="1:49" x14ac:dyDescent="0.25">
      <c r="A19" s="996" t="s">
        <v>1876</v>
      </c>
      <c r="B19" s="70" t="s">
        <v>1877</v>
      </c>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3"/>
      <c r="AH19" s="3"/>
      <c r="AI19" s="3"/>
      <c r="AJ19" s="3"/>
      <c r="AK19" s="3"/>
      <c r="AL19" s="3"/>
      <c r="AM19" s="3"/>
      <c r="AN19" s="3"/>
      <c r="AO19" s="3"/>
      <c r="AP19" s="3"/>
      <c r="AQ19" s="3"/>
      <c r="AR19" s="3"/>
      <c r="AS19" s="3"/>
      <c r="AT19" s="3"/>
      <c r="AU19" s="3"/>
      <c r="AV19" s="3"/>
      <c r="AW19" s="3"/>
    </row>
    <row r="20" ht="12.75" customHeight="1" hidden="1" spans="1:49" x14ac:dyDescent="0.25">
      <c r="A20" s="70"/>
      <c r="B20" s="70" t="s">
        <v>1878</v>
      </c>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3"/>
      <c r="AH20" s="3"/>
      <c r="AI20" s="3"/>
      <c r="AJ20" s="3"/>
      <c r="AK20" s="3"/>
      <c r="AL20" s="3"/>
      <c r="AM20" s="3"/>
      <c r="AN20" s="3"/>
      <c r="AO20" s="3"/>
      <c r="AP20" s="3"/>
      <c r="AQ20" s="3"/>
      <c r="AR20" s="3"/>
      <c r="AS20" s="3"/>
      <c r="AT20" s="3"/>
      <c r="AU20" s="3"/>
      <c r="AV20" s="3"/>
      <c r="AW20" s="3"/>
    </row>
    <row r="21" ht="12.75" customHeight="1" hidden="1" spans="1:49" x14ac:dyDescent="0.25">
      <c r="A21" s="70"/>
      <c r="B21" s="70" t="s">
        <v>1879</v>
      </c>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3"/>
      <c r="AH21" s="3"/>
      <c r="AI21" s="3"/>
      <c r="AJ21" s="3"/>
      <c r="AK21" s="3"/>
      <c r="AL21" s="3"/>
      <c r="AM21" s="3"/>
      <c r="AN21" s="3"/>
      <c r="AO21" s="3"/>
      <c r="AP21" s="3"/>
      <c r="AQ21" s="3"/>
      <c r="AR21" s="3"/>
      <c r="AS21" s="3"/>
      <c r="AT21" s="3"/>
      <c r="AU21" s="3"/>
      <c r="AV21" s="3"/>
      <c r="AW21" s="3"/>
    </row>
    <row r="22" ht="12.75" customHeight="1" hidden="1" spans="1:49" x14ac:dyDescent="0.25">
      <c r="A22" s="70"/>
      <c r="B22" s="70" t="s">
        <v>1880</v>
      </c>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3"/>
      <c r="AH22" s="3"/>
      <c r="AI22" s="3"/>
      <c r="AJ22" s="3"/>
      <c r="AK22" s="3"/>
      <c r="AL22" s="3"/>
      <c r="AM22" s="3"/>
      <c r="AN22" s="3"/>
      <c r="AO22" s="3"/>
      <c r="AP22" s="3"/>
      <c r="AQ22" s="3"/>
      <c r="AR22" s="3"/>
      <c r="AS22" s="3"/>
      <c r="AT22" s="3"/>
      <c r="AU22" s="3"/>
      <c r="AV22" s="3"/>
      <c r="AW22" s="3"/>
    </row>
    <row r="23" ht="12.75" customHeight="1" hidden="1" spans="1:49" x14ac:dyDescent="0.25">
      <c r="A23" s="70"/>
      <c r="B23" s="70" t="s">
        <v>1881</v>
      </c>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3"/>
      <c r="AH23" s="3"/>
      <c r="AI23" s="3"/>
      <c r="AJ23" s="3"/>
      <c r="AK23" s="3"/>
      <c r="AL23" s="3"/>
      <c r="AM23" s="3"/>
      <c r="AN23" s="3"/>
      <c r="AO23" s="3"/>
      <c r="AP23" s="3"/>
      <c r="AQ23" s="3"/>
      <c r="AR23" s="3"/>
      <c r="AS23" s="3"/>
      <c r="AT23" s="3"/>
      <c r="AU23" s="3"/>
      <c r="AV23" s="3"/>
      <c r="AW23" s="3"/>
    </row>
    <row r="24" ht="12.75" customHeight="1" hidden="1" spans="1:49" x14ac:dyDescent="0.25">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3"/>
      <c r="AH24" s="3"/>
      <c r="AI24" s="3"/>
      <c r="AJ24" s="3"/>
      <c r="AK24" s="3"/>
      <c r="AL24" s="3"/>
      <c r="AM24" s="3"/>
      <c r="AN24" s="3"/>
      <c r="AO24" s="3"/>
      <c r="AP24" s="3"/>
      <c r="AQ24" s="3"/>
      <c r="AR24" s="3"/>
      <c r="AS24" s="3"/>
      <c r="AT24" s="3"/>
      <c r="AU24" s="3"/>
      <c r="AV24" s="3"/>
      <c r="AW24" s="3"/>
    </row>
    <row r="25" ht="12.75" customHeight="1" hidden="1" spans="1:49" x14ac:dyDescent="0.25">
      <c r="A25" s="996" t="s">
        <v>1882</v>
      </c>
      <c r="B25" s="70" t="s">
        <v>1883</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3"/>
      <c r="AH25" s="3"/>
      <c r="AI25" s="3"/>
      <c r="AJ25" s="3"/>
      <c r="AK25" s="3"/>
      <c r="AL25" s="3"/>
      <c r="AM25" s="3"/>
      <c r="AN25" s="3"/>
      <c r="AO25" s="3"/>
      <c r="AP25" s="3"/>
      <c r="AQ25" s="3"/>
      <c r="AR25" s="3"/>
      <c r="AS25" s="3"/>
      <c r="AT25" s="3"/>
      <c r="AU25" s="3"/>
      <c r="AV25" s="3"/>
      <c r="AW25" s="3"/>
    </row>
    <row r="26" ht="12.75" customHeight="1" hidden="1" spans="1:49" x14ac:dyDescent="0.25">
      <c r="A26" s="70"/>
      <c r="B26" s="70" t="s">
        <v>1884</v>
      </c>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3"/>
      <c r="AH26" s="3"/>
      <c r="AI26" s="3"/>
      <c r="AJ26" s="3"/>
      <c r="AK26" s="3"/>
      <c r="AL26" s="3"/>
      <c r="AM26" s="3"/>
      <c r="AN26" s="3"/>
      <c r="AO26" s="3"/>
      <c r="AP26" s="3"/>
      <c r="AQ26" s="3"/>
      <c r="AR26" s="3"/>
      <c r="AS26" s="3"/>
      <c r="AT26" s="3"/>
      <c r="AU26" s="3"/>
      <c r="AV26" s="3"/>
      <c r="AW26" s="3"/>
    </row>
    <row r="27" ht="12.75" customHeight="1" hidden="1" spans="1:49" x14ac:dyDescent="0.25">
      <c r="A27" s="70"/>
      <c r="B27" s="70" t="s">
        <v>1885</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3"/>
      <c r="AH27" s="3"/>
      <c r="AI27" s="3"/>
      <c r="AJ27" s="3"/>
      <c r="AK27" s="3"/>
      <c r="AL27" s="3"/>
      <c r="AM27" s="3"/>
      <c r="AN27" s="3"/>
      <c r="AO27" s="3"/>
      <c r="AP27" s="3"/>
      <c r="AQ27" s="3"/>
      <c r="AR27" s="3"/>
      <c r="AS27" s="3"/>
      <c r="AT27" s="3"/>
      <c r="AU27" s="3"/>
      <c r="AV27" s="3"/>
      <c r="AW27" s="3"/>
    </row>
    <row r="28" ht="12.75" customHeight="1" spans="1:49" x14ac:dyDescent="0.25">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3"/>
      <c r="AH28" s="3"/>
      <c r="AI28" s="3"/>
      <c r="AJ28" s="3"/>
      <c r="AK28" s="3"/>
      <c r="AL28" s="3"/>
      <c r="AM28" s="3"/>
      <c r="AN28" s="3"/>
      <c r="AO28" s="3"/>
      <c r="AP28" s="3"/>
      <c r="AQ28" s="3"/>
      <c r="AR28" s="3"/>
      <c r="AS28" s="3"/>
      <c r="AT28" s="3"/>
      <c r="AU28" s="3"/>
      <c r="AV28" s="3"/>
      <c r="AW28" s="3"/>
    </row>
    <row r="29" ht="16.5" customHeight="1" spans="1:49" x14ac:dyDescent="0.25">
      <c r="A29" s="70" t="s">
        <v>1886</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3"/>
      <c r="AH29" s="3"/>
      <c r="AI29" s="3"/>
      <c r="AJ29" s="3"/>
      <c r="AK29" s="3"/>
      <c r="AL29" s="3"/>
      <c r="AM29" s="3"/>
      <c r="AN29" s="3"/>
      <c r="AO29" s="3"/>
      <c r="AP29" s="3"/>
      <c r="AQ29" s="3"/>
      <c r="AR29" s="3"/>
      <c r="AS29" s="3"/>
      <c r="AT29" s="3"/>
      <c r="AU29" s="3"/>
      <c r="AV29" s="3"/>
      <c r="AW29" s="3"/>
    </row>
    <row r="30" ht="16.5" customHeight="1" spans="1:49" x14ac:dyDescent="0.25">
      <c r="A30" s="70"/>
      <c r="B30" s="70" t="s">
        <v>1887</v>
      </c>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3"/>
      <c r="AH30" s="3"/>
      <c r="AI30" s="3"/>
      <c r="AJ30" s="3"/>
      <c r="AK30" s="3"/>
      <c r="AL30" s="3"/>
      <c r="AM30" s="3"/>
      <c r="AN30" s="3"/>
      <c r="AO30" s="3"/>
      <c r="AP30" s="3"/>
      <c r="AQ30" s="3"/>
      <c r="AR30" s="3"/>
      <c r="AS30" s="3"/>
      <c r="AT30" s="3"/>
      <c r="AU30" s="3"/>
      <c r="AV30" s="3"/>
      <c r="AW30" s="3"/>
    </row>
    <row r="31" ht="16.5" customHeight="1" spans="1:49" x14ac:dyDescent="0.25">
      <c r="A31" s="70"/>
      <c r="B31" s="70" t="s">
        <v>1888</v>
      </c>
      <c r="C31" s="70"/>
      <c r="D31" s="70"/>
      <c r="E31" s="70"/>
      <c r="F31" s="162"/>
      <c r="G31" s="162"/>
      <c r="H31" s="70"/>
      <c r="I31" s="70"/>
      <c r="J31" s="70"/>
      <c r="K31" s="70"/>
      <c r="L31" s="70"/>
      <c r="M31" s="70"/>
      <c r="N31" s="70"/>
      <c r="O31" s="70"/>
      <c r="P31" s="70"/>
      <c r="Q31" s="70"/>
      <c r="R31" s="70"/>
      <c r="S31" s="70"/>
      <c r="T31" s="70"/>
      <c r="U31" s="70"/>
      <c r="V31" s="70"/>
      <c r="W31" s="70"/>
      <c r="X31" s="70"/>
      <c r="Y31" s="70"/>
      <c r="Z31" s="70"/>
      <c r="AA31" s="70"/>
      <c r="AB31" s="70"/>
      <c r="AC31" s="162"/>
      <c r="AD31" s="70"/>
      <c r="AE31" s="70"/>
      <c r="AF31" s="70"/>
      <c r="AG31" s="3"/>
      <c r="AH31" s="3"/>
      <c r="AI31" s="3"/>
      <c r="AJ31" s="3"/>
      <c r="AK31" s="3"/>
      <c r="AL31" s="3"/>
      <c r="AM31" s="3"/>
      <c r="AN31" s="3"/>
      <c r="AO31" s="3"/>
      <c r="AP31" s="3"/>
      <c r="AQ31" s="3"/>
      <c r="AR31" s="3"/>
      <c r="AS31" s="3"/>
      <c r="AT31" s="3"/>
      <c r="AU31" s="3"/>
      <c r="AV31" s="3"/>
      <c r="AW31" s="3"/>
    </row>
    <row r="32" ht="16.5" customHeight="1" spans="1:49" x14ac:dyDescent="0.25">
      <c r="A32" s="70"/>
      <c r="B32" s="70" t="s">
        <v>1889</v>
      </c>
      <c r="C32" s="70"/>
      <c r="D32" s="70"/>
      <c r="E32" s="70"/>
      <c r="F32" s="162"/>
      <c r="G32" s="162"/>
      <c r="H32" s="70"/>
      <c r="I32" s="70"/>
      <c r="J32" s="70"/>
      <c r="K32" s="70"/>
      <c r="L32" s="70"/>
      <c r="M32" s="70"/>
      <c r="N32" s="70"/>
      <c r="O32" s="70"/>
      <c r="P32" s="70"/>
      <c r="Q32" s="70"/>
      <c r="R32" s="70"/>
      <c r="S32" s="70"/>
      <c r="T32" s="70"/>
      <c r="U32" s="70"/>
      <c r="V32" s="70"/>
      <c r="W32" s="70"/>
      <c r="X32" s="70"/>
      <c r="Y32" s="70"/>
      <c r="Z32" s="70"/>
      <c r="AA32" s="70"/>
      <c r="AB32" s="70"/>
      <c r="AC32" s="162"/>
      <c r="AD32" s="70"/>
      <c r="AE32" s="70"/>
      <c r="AF32" s="70"/>
      <c r="AG32" s="3"/>
      <c r="AH32" s="3"/>
      <c r="AI32" s="3"/>
      <c r="AJ32" s="3"/>
      <c r="AK32" s="3"/>
      <c r="AL32" s="3"/>
      <c r="AM32" s="3"/>
      <c r="AN32" s="3"/>
      <c r="AO32" s="3"/>
      <c r="AP32" s="3"/>
      <c r="AQ32" s="3"/>
      <c r="AR32" s="3"/>
      <c r="AS32" s="3"/>
      <c r="AT32" s="3"/>
      <c r="AU32" s="3"/>
      <c r="AV32" s="3"/>
      <c r="AW32" s="3"/>
    </row>
    <row r="33" ht="12.75" customHeight="1" spans="1:49" x14ac:dyDescent="0.25">
      <c r="A33" s="70"/>
      <c r="B33" s="70"/>
      <c r="C33" s="70"/>
      <c r="D33" s="70"/>
      <c r="E33" s="70"/>
      <c r="F33" s="70"/>
      <c r="G33" s="23"/>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57"/>
      <c r="AH33" s="294"/>
      <c r="AI33" s="758"/>
      <c r="AJ33" s="758"/>
      <c r="AK33" s="294"/>
      <c r="AL33" s="294"/>
      <c r="AM33" s="766"/>
      <c r="AN33" s="766"/>
      <c r="AO33" s="766"/>
      <c r="AP33" s="766"/>
      <c r="AQ33" s="3"/>
      <c r="AR33" s="3"/>
      <c r="AS33" s="3"/>
      <c r="AT33" s="3"/>
      <c r="AU33" s="3"/>
      <c r="AV33" s="3"/>
      <c r="AW33" s="3"/>
    </row>
    <row r="34" ht="20.25" customHeight="1" spans="1:49" x14ac:dyDescent="0.25">
      <c r="A34" s="70" t="s">
        <v>1890</v>
      </c>
      <c r="B34" s="70"/>
      <c r="C34" s="70"/>
      <c r="D34" s="70"/>
      <c r="E34" s="70"/>
      <c r="F34" s="70"/>
      <c r="G34" s="70"/>
      <c r="H34" s="70"/>
      <c r="I34" s="70"/>
      <c r="J34" s="70"/>
      <c r="K34" s="70"/>
      <c r="L34" s="70"/>
      <c r="M34" s="70"/>
      <c r="N34" s="70"/>
      <c r="O34" s="70"/>
      <c r="P34" s="70"/>
      <c r="Q34" s="981"/>
      <c r="R34" s="981"/>
      <c r="S34" s="981"/>
      <c r="T34" s="981"/>
      <c r="U34" s="981"/>
      <c r="V34" s="981"/>
      <c r="W34" s="70"/>
      <c r="X34" s="70"/>
      <c r="Y34" s="70"/>
      <c r="Z34" s="70"/>
      <c r="AA34" s="981"/>
      <c r="AB34" s="981"/>
      <c r="AC34" s="70"/>
      <c r="AD34" s="70"/>
      <c r="AE34" s="70"/>
      <c r="AF34" s="70"/>
      <c r="AG34" s="757"/>
      <c r="AH34" s="294"/>
      <c r="AI34" s="758"/>
      <c r="AJ34" s="758"/>
      <c r="AK34" s="294"/>
      <c r="AL34" s="294"/>
      <c r="AM34" s="766"/>
      <c r="AN34" s="766"/>
      <c r="AO34" s="766"/>
      <c r="AP34" s="766"/>
      <c r="AQ34" s="3"/>
      <c r="AR34" s="3"/>
      <c r="AS34" s="3"/>
      <c r="AT34" s="3"/>
      <c r="AU34" s="3"/>
      <c r="AV34" s="3"/>
      <c r="AW34" s="3"/>
    </row>
    <row r="35" ht="16.5" customHeight="1" spans="1:49" x14ac:dyDescent="0.25">
      <c r="A35" s="70" t="s">
        <v>1735</v>
      </c>
      <c r="B35" s="70" t="s">
        <v>1891</v>
      </c>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57"/>
      <c r="AH35" s="999"/>
      <c r="AI35" s="773"/>
      <c r="AJ35" s="773"/>
      <c r="AK35" s="294"/>
      <c r="AL35" s="294"/>
      <c r="AM35" s="294"/>
      <c r="AN35" s="294"/>
      <c r="AO35" s="294"/>
      <c r="AP35" s="294"/>
      <c r="AQ35" s="3"/>
      <c r="AR35" s="3"/>
      <c r="AS35" s="3"/>
      <c r="AT35" s="3"/>
      <c r="AU35" s="3"/>
      <c r="AV35" s="3"/>
      <c r="AW35" s="3"/>
    </row>
    <row r="36" ht="16.5" customHeight="1" spans="1:49" x14ac:dyDescent="0.25">
      <c r="A36" s="70"/>
      <c r="B36" s="70" t="s">
        <v>1892</v>
      </c>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57"/>
      <c r="AH36" s="999"/>
      <c r="AI36" s="773"/>
      <c r="AJ36" s="773"/>
      <c r="AK36" s="294"/>
      <c r="AL36" s="294"/>
      <c r="AM36" s="294"/>
      <c r="AN36" s="294"/>
      <c r="AO36" s="294"/>
      <c r="AP36" s="294"/>
      <c r="AQ36" s="3"/>
      <c r="AR36" s="3"/>
      <c r="AS36" s="3"/>
      <c r="AT36" s="3"/>
      <c r="AU36" s="3"/>
      <c r="AV36" s="3"/>
      <c r="AW36" s="3"/>
    </row>
    <row r="37" ht="16.5" customHeight="1" spans="1:49" x14ac:dyDescent="0.25">
      <c r="A37" s="70"/>
      <c r="B37" s="70" t="s">
        <v>1893</v>
      </c>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57"/>
      <c r="AH37" s="999"/>
      <c r="AI37" s="773"/>
      <c r="AJ37" s="773"/>
      <c r="AK37" s="294"/>
      <c r="AL37" s="294"/>
      <c r="AM37" s="294"/>
      <c r="AN37" s="294"/>
      <c r="AO37" s="294"/>
      <c r="AP37" s="294"/>
      <c r="AQ37" s="3"/>
      <c r="AR37" s="3"/>
      <c r="AS37" s="3"/>
      <c r="AT37" s="3"/>
      <c r="AU37" s="3"/>
      <c r="AV37" s="3"/>
      <c r="AW37" s="3"/>
    </row>
    <row r="38" ht="12.75" customHeight="1" spans="1:49" x14ac:dyDescent="0.25">
      <c r="A38" s="70"/>
      <c r="B38" s="70"/>
      <c r="C38" s="70"/>
      <c r="D38" s="70"/>
      <c r="E38" s="70"/>
      <c r="F38" s="70"/>
      <c r="G38" s="70"/>
      <c r="H38" s="981"/>
      <c r="I38" s="981"/>
      <c r="J38" s="981"/>
      <c r="K38" s="981"/>
      <c r="L38" s="981"/>
      <c r="M38" s="981"/>
      <c r="N38" s="1000"/>
      <c r="O38" s="1000"/>
      <c r="P38" s="1000"/>
      <c r="Q38" s="1000"/>
      <c r="R38" s="1000"/>
      <c r="S38" s="1000"/>
      <c r="T38" s="1000"/>
      <c r="U38" s="1000"/>
      <c r="V38" s="1000"/>
      <c r="W38" s="1000"/>
      <c r="X38" s="1000"/>
      <c r="Y38" s="1000"/>
      <c r="Z38" s="1000"/>
      <c r="AA38" s="1000"/>
      <c r="AB38" s="1000"/>
      <c r="AC38" s="1000"/>
      <c r="AD38" s="70"/>
      <c r="AE38" s="70"/>
      <c r="AF38" s="70"/>
      <c r="AG38" s="757"/>
      <c r="AH38" s="294"/>
      <c r="AI38" s="294"/>
      <c r="AJ38" s="294"/>
      <c r="AK38" s="294"/>
      <c r="AL38" s="294"/>
      <c r="AM38" s="294"/>
      <c r="AN38" s="294"/>
      <c r="AO38" s="294"/>
      <c r="AP38" s="294"/>
      <c r="AQ38" s="3"/>
      <c r="AR38" s="3"/>
      <c r="AS38" s="3"/>
      <c r="AT38" s="3"/>
      <c r="AU38" s="3"/>
      <c r="AV38" s="3"/>
      <c r="AW38" s="3"/>
    </row>
    <row r="39" ht="16.5" customHeight="1" spans="1:49" x14ac:dyDescent="0.25">
      <c r="A39" s="70" t="s">
        <v>1894</v>
      </c>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3"/>
      <c r="AH39" s="3"/>
      <c r="AI39" s="3"/>
      <c r="AJ39" s="3"/>
      <c r="AK39" s="3"/>
      <c r="AL39" s="3"/>
      <c r="AM39" s="3"/>
      <c r="AN39" s="3"/>
      <c r="AO39" s="3"/>
      <c r="AP39" s="3"/>
      <c r="AQ39" s="3"/>
      <c r="AR39" s="3"/>
      <c r="AS39" s="3"/>
      <c r="AT39" s="3"/>
      <c r="AU39" s="3"/>
      <c r="AV39" s="3"/>
      <c r="AW39" s="3"/>
    </row>
    <row r="40" ht="16.5" customHeight="1" spans="1:49" x14ac:dyDescent="0.25">
      <c r="A40" s="70" t="s">
        <v>1895</v>
      </c>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3"/>
      <c r="AH40" s="3"/>
      <c r="AI40" s="3"/>
      <c r="AJ40" s="3"/>
      <c r="AK40" s="3"/>
      <c r="AL40" s="3"/>
      <c r="AM40" s="3"/>
      <c r="AN40" s="3"/>
      <c r="AO40" s="3"/>
      <c r="AP40" s="3"/>
      <c r="AQ40" s="3"/>
      <c r="AR40" s="3"/>
      <c r="AS40" s="3"/>
      <c r="AT40" s="3"/>
      <c r="AU40" s="3"/>
      <c r="AV40" s="3"/>
      <c r="AW40" s="3"/>
    </row>
    <row r="41" ht="16.15" customHeight="1" spans="1:49" x14ac:dyDescent="0.25">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3"/>
      <c r="AH41" s="3"/>
      <c r="AI41" s="3"/>
      <c r="AJ41" s="3"/>
      <c r="AK41" s="3"/>
      <c r="AL41" s="3"/>
      <c r="AM41" s="3"/>
      <c r="AN41" s="3"/>
      <c r="AO41" s="3"/>
      <c r="AP41" s="3"/>
      <c r="AQ41" s="3"/>
      <c r="AR41" s="3"/>
      <c r="AS41" s="3"/>
      <c r="AT41" s="3"/>
      <c r="AU41" s="3"/>
      <c r="AV41" s="3"/>
      <c r="AW41" s="3"/>
    </row>
    <row r="42" ht="16.5" customHeight="1" spans="1:49" x14ac:dyDescent="0.25">
      <c r="A42" s="70"/>
      <c r="B42" s="70"/>
      <c r="C42" s="70"/>
      <c r="D42" s="140">
        <f>初期入力!C13</f>
        <v>2025</v>
      </c>
      <c r="E42" s="140"/>
      <c r="F42" s="140"/>
      <c r="G42" s="70" t="s">
        <v>33</v>
      </c>
      <c r="H42" s="1001">
        <f>初期入力!E13</f>
        <v>7</v>
      </c>
      <c r="I42" s="1001"/>
      <c r="J42" s="108" t="s">
        <v>34</v>
      </c>
      <c r="K42" s="108"/>
      <c r="L42" s="1001">
        <f>初期入力!G13</f>
        <v>25</v>
      </c>
      <c r="M42" s="1001"/>
      <c r="N42" s="70" t="s">
        <v>35</v>
      </c>
      <c r="O42" s="70"/>
      <c r="P42" s="70"/>
      <c r="Q42" s="70"/>
      <c r="R42" s="70"/>
      <c r="S42" s="70"/>
      <c r="T42" s="70"/>
      <c r="U42" s="70"/>
      <c r="V42" s="70"/>
      <c r="W42" s="70"/>
      <c r="X42" s="70"/>
      <c r="Y42" s="70"/>
      <c r="Z42" s="70"/>
      <c r="AA42" s="70"/>
      <c r="AB42" s="70"/>
      <c r="AC42" s="70"/>
      <c r="AD42" s="70"/>
      <c r="AE42" s="70"/>
      <c r="AF42" s="70"/>
      <c r="AG42" s="3"/>
      <c r="AH42" s="3"/>
      <c r="AI42" s="3"/>
      <c r="AJ42" s="3"/>
      <c r="AK42" s="3"/>
      <c r="AL42" s="3"/>
      <c r="AM42" s="3"/>
      <c r="AN42" s="3"/>
      <c r="AO42" s="3"/>
      <c r="AP42" s="3"/>
      <c r="AQ42" s="3"/>
      <c r="AR42" s="3"/>
      <c r="AS42" s="3"/>
      <c r="AT42" s="3"/>
      <c r="AU42" s="3"/>
      <c r="AV42" s="3"/>
      <c r="AW42" s="3"/>
    </row>
    <row r="43" ht="16.5" customHeight="1" spans="1:49" x14ac:dyDescent="0.25">
      <c r="A43" s="70"/>
      <c r="B43" s="70"/>
      <c r="C43" s="70"/>
      <c r="D43" s="70"/>
      <c r="E43" s="162"/>
      <c r="F43" s="162"/>
      <c r="G43" s="70"/>
      <c r="H43" s="70"/>
      <c r="I43" s="70"/>
      <c r="J43" s="70"/>
      <c r="K43" s="70"/>
      <c r="L43" s="70"/>
      <c r="M43" s="70"/>
      <c r="N43" s="70"/>
      <c r="O43" s="70"/>
      <c r="P43" s="70"/>
      <c r="Q43" s="70"/>
      <c r="R43" s="70"/>
      <c r="S43" s="70"/>
      <c r="T43" s="70"/>
      <c r="U43" s="70"/>
      <c r="V43" s="162"/>
      <c r="W43" s="162"/>
      <c r="X43" s="70"/>
      <c r="Y43" s="70"/>
      <c r="Z43" s="70"/>
      <c r="AA43" s="70"/>
      <c r="AB43" s="70"/>
      <c r="AC43" s="70"/>
      <c r="AD43" s="70"/>
      <c r="AE43" s="70"/>
      <c r="AF43" s="70"/>
      <c r="AG43" s="3"/>
      <c r="AH43" s="3"/>
      <c r="AI43" s="3"/>
      <c r="AJ43" s="3"/>
      <c r="AK43" s="3"/>
      <c r="AL43" s="3"/>
      <c r="AM43" s="3"/>
      <c r="AN43" s="3"/>
      <c r="AO43" s="3"/>
      <c r="AP43" s="3"/>
      <c r="AQ43" s="3"/>
      <c r="AR43" s="3"/>
      <c r="AS43" s="3"/>
      <c r="AT43" s="3"/>
      <c r="AU43" s="3"/>
      <c r="AV43" s="3"/>
      <c r="AW43" s="3"/>
    </row>
    <row r="44" ht="12.75" customHeight="1" spans="1:49" x14ac:dyDescent="0.25">
      <c r="A44" s="70"/>
      <c r="B44" s="70"/>
      <c r="C44" s="70"/>
      <c r="D44" s="70"/>
      <c r="E44" s="70"/>
      <c r="F44" s="70"/>
      <c r="G44" s="70" t="s">
        <v>1536</v>
      </c>
      <c r="H44" s="70"/>
      <c r="I44" s="70"/>
      <c r="J44" s="70"/>
      <c r="K44" s="70"/>
      <c r="L44" s="70"/>
      <c r="M44" s="688">
        <f>初期入力!B5</f>
        <v>0</v>
      </c>
      <c r="N44" s="688"/>
      <c r="O44" s="688"/>
      <c r="P44" s="688"/>
      <c r="Q44" s="688"/>
      <c r="R44" s="688"/>
      <c r="S44" s="688"/>
      <c r="T44" s="688"/>
      <c r="U44" s="688"/>
      <c r="V44" s="688"/>
      <c r="W44" s="688"/>
      <c r="X44" s="688"/>
      <c r="Y44" s="688"/>
      <c r="Z44" s="688"/>
      <c r="AA44" s="688"/>
      <c r="AB44" s="688"/>
      <c r="AC44" s="688"/>
      <c r="AD44" s="70"/>
      <c r="AE44" s="70"/>
      <c r="AF44" s="70"/>
      <c r="AG44" s="3"/>
      <c r="AH44" s="3"/>
      <c r="AI44" s="3"/>
      <c r="AJ44" s="3"/>
      <c r="AK44" s="3"/>
      <c r="AL44" s="3"/>
      <c r="AM44" s="3"/>
      <c r="AN44" s="3"/>
      <c r="AO44" s="3"/>
      <c r="AP44" s="3"/>
      <c r="AQ44" s="3"/>
      <c r="AR44" s="3"/>
      <c r="AS44" s="3"/>
      <c r="AT44" s="3"/>
      <c r="AU44" s="3"/>
      <c r="AV44" s="3"/>
      <c r="AW44" s="3"/>
    </row>
    <row r="45" ht="12.75" customHeight="1" spans="1:49" x14ac:dyDescent="0.25">
      <c r="A45" s="70"/>
      <c r="B45" s="70"/>
      <c r="C45" s="70"/>
      <c r="D45" s="70"/>
      <c r="E45" s="70"/>
      <c r="F45" s="70"/>
      <c r="G45" s="70"/>
      <c r="H45" s="70"/>
      <c r="I45" s="70"/>
      <c r="J45" s="70"/>
      <c r="K45" s="70"/>
      <c r="L45" s="70"/>
      <c r="M45" s="70"/>
      <c r="N45" s="70"/>
      <c r="O45" s="70"/>
      <c r="P45" s="981"/>
      <c r="Q45" s="981"/>
      <c r="R45" s="981"/>
      <c r="S45" s="70"/>
      <c r="T45" s="70"/>
      <c r="U45" s="981"/>
      <c r="V45" s="70"/>
      <c r="W45" s="70"/>
      <c r="X45" s="70"/>
      <c r="Y45" s="70"/>
      <c r="Z45" s="70"/>
      <c r="AA45" s="70"/>
      <c r="AB45" s="70"/>
      <c r="AC45" s="70"/>
      <c r="AD45" s="70"/>
      <c r="AE45" s="70"/>
      <c r="AF45" s="70"/>
      <c r="AG45" s="3"/>
      <c r="AH45" s="3"/>
      <c r="AI45" s="3"/>
      <c r="AJ45" s="3"/>
      <c r="AK45" s="3"/>
      <c r="AL45" s="3"/>
      <c r="AM45" s="3"/>
      <c r="AN45" s="3"/>
      <c r="AO45" s="3"/>
      <c r="AP45" s="3"/>
      <c r="AQ45" s="3"/>
      <c r="AR45" s="3"/>
      <c r="AS45" s="3"/>
      <c r="AT45" s="3"/>
      <c r="AU45" s="3"/>
      <c r="AV45" s="3"/>
      <c r="AW45" s="3"/>
    </row>
    <row r="46" ht="17.25" customHeight="1" spans="1:49" x14ac:dyDescent="0.25">
      <c r="A46" s="70"/>
      <c r="B46" s="70"/>
      <c r="C46" s="70"/>
      <c r="D46" s="70"/>
      <c r="E46" s="70"/>
      <c r="F46" s="70"/>
      <c r="G46" s="108" t="s">
        <v>198</v>
      </c>
      <c r="H46" s="108"/>
      <c r="I46" s="108"/>
      <c r="K46" s="1002"/>
      <c r="L46" s="1002"/>
      <c r="M46" s="156">
        <f>初期入力!B4</f>
        <v>0</v>
      </c>
      <c r="N46" s="156"/>
      <c r="O46" s="156"/>
      <c r="P46" s="156"/>
      <c r="Q46" s="156"/>
      <c r="R46" s="156"/>
      <c r="S46" s="156"/>
      <c r="T46" s="156"/>
      <c r="U46" s="156"/>
      <c r="V46" s="156"/>
      <c r="AA46" s="1003" t="s">
        <v>222</v>
      </c>
      <c r="AB46" s="1003"/>
      <c r="AC46" s="70"/>
      <c r="AD46" s="70"/>
      <c r="AE46" s="70"/>
      <c r="AF46" s="70"/>
      <c r="AG46" s="3"/>
      <c r="AH46" s="3"/>
      <c r="AI46" s="3"/>
      <c r="AJ46" s="3"/>
      <c r="AK46" s="3"/>
      <c r="AL46" s="3"/>
      <c r="AM46" s="3"/>
      <c r="AN46" s="3"/>
      <c r="AO46" s="3"/>
      <c r="AP46" s="3"/>
      <c r="AQ46" s="3"/>
      <c r="AR46" s="3"/>
      <c r="AS46" s="3"/>
      <c r="AT46" s="3"/>
      <c r="AU46" s="3"/>
      <c r="AV46" s="3"/>
      <c r="AW46" s="3"/>
    </row>
    <row r="47" ht="16.5" customHeight="1" spans="1:49" x14ac:dyDescent="0.25">
      <c r="A47" s="70"/>
      <c r="B47" s="70"/>
      <c r="C47" s="70"/>
      <c r="D47" s="70"/>
      <c r="E47" s="70"/>
      <c r="F47" s="70"/>
      <c r="G47" s="108"/>
      <c r="H47" s="108"/>
      <c r="I47" s="108"/>
      <c r="K47" s="156"/>
      <c r="L47" s="156"/>
      <c r="M47" s="156"/>
      <c r="N47" s="156"/>
      <c r="O47" s="156"/>
      <c r="P47" s="156"/>
      <c r="Q47" s="156"/>
      <c r="R47" s="156"/>
      <c r="S47" s="156"/>
      <c r="T47" s="156"/>
      <c r="U47" s="156"/>
      <c r="V47" s="156"/>
      <c r="W47" s="1004"/>
      <c r="X47" s="1004"/>
      <c r="Y47" s="108"/>
      <c r="AB47" s="70"/>
      <c r="AC47" s="70"/>
      <c r="AD47" s="70"/>
      <c r="AE47" s="70"/>
      <c r="AF47" s="70"/>
      <c r="AG47" s="3"/>
      <c r="AH47" s="3"/>
      <c r="AI47" s="3"/>
      <c r="AJ47" s="3"/>
      <c r="AK47" s="3"/>
      <c r="AL47" s="3"/>
      <c r="AM47" s="3"/>
      <c r="AN47" s="3"/>
      <c r="AO47" s="3"/>
      <c r="AP47" s="3"/>
      <c r="AQ47" s="3"/>
      <c r="AR47" s="3"/>
      <c r="AS47" s="3"/>
      <c r="AT47" s="3"/>
      <c r="AU47" s="3"/>
      <c r="AV47" s="3"/>
      <c r="AW47" s="3"/>
    </row>
    <row r="48" ht="12.75" customHeight="1" spans="1:49" x14ac:dyDescent="0.25">
      <c r="A48" s="70"/>
      <c r="B48" s="70"/>
      <c r="C48" s="70"/>
      <c r="D48" s="70"/>
      <c r="E48" s="70"/>
      <c r="F48" s="70"/>
      <c r="G48" s="70" t="s">
        <v>1536</v>
      </c>
      <c r="H48" s="70"/>
      <c r="I48" s="70"/>
      <c r="J48" s="70"/>
      <c r="K48" s="70"/>
      <c r="L48" s="70"/>
      <c r="M48" s="1005">
        <f>初期入力!B7</f>
        <v>0</v>
      </c>
      <c r="N48" s="1005"/>
      <c r="O48" s="1005"/>
      <c r="P48" s="1005"/>
      <c r="Q48" s="1005"/>
      <c r="R48" s="1005"/>
      <c r="S48" s="1005"/>
      <c r="T48" s="1005"/>
      <c r="U48" s="1005"/>
      <c r="V48" s="1005"/>
      <c r="W48" s="1005"/>
      <c r="X48" s="1005"/>
      <c r="Y48" s="1005"/>
      <c r="Z48" s="1005"/>
      <c r="AA48" s="1005"/>
      <c r="AB48" s="1005"/>
      <c r="AC48" s="1005"/>
      <c r="AD48" s="70"/>
      <c r="AE48" s="70"/>
      <c r="AF48" s="70"/>
      <c r="AG48" s="3"/>
      <c r="AH48" s="3"/>
      <c r="AI48" s="3"/>
      <c r="AJ48" s="3"/>
      <c r="AK48" s="3"/>
      <c r="AL48" s="3"/>
      <c r="AM48" s="3"/>
      <c r="AN48" s="3"/>
      <c r="AO48" s="3"/>
      <c r="AP48" s="3"/>
      <c r="AQ48" s="3"/>
      <c r="AR48" s="3"/>
      <c r="AS48" s="3"/>
      <c r="AT48" s="3"/>
      <c r="AU48" s="3"/>
      <c r="AV48" s="3"/>
      <c r="AW48" s="3"/>
    </row>
    <row r="49" ht="12.75" customHeight="1" spans="1:49" x14ac:dyDescent="0.25">
      <c r="A49" s="70"/>
      <c r="B49" s="70"/>
      <c r="C49" s="70"/>
      <c r="D49" s="70"/>
      <c r="E49" s="70"/>
      <c r="F49" s="70"/>
      <c r="G49" s="981"/>
      <c r="H49" s="981"/>
      <c r="I49" s="981"/>
      <c r="J49" s="981"/>
      <c r="K49" s="981"/>
      <c r="L49" s="981"/>
      <c r="M49" s="1000"/>
      <c r="N49" s="1000"/>
      <c r="O49" s="1000"/>
      <c r="P49" s="1000"/>
      <c r="Q49" s="1000"/>
      <c r="R49" s="1000"/>
      <c r="S49" s="1000"/>
      <c r="T49" s="1000"/>
      <c r="U49" s="1000"/>
      <c r="V49" s="1000"/>
      <c r="W49" s="1000"/>
      <c r="X49" s="1000"/>
      <c r="Y49" s="1000"/>
      <c r="Z49" s="70"/>
      <c r="AA49" s="70"/>
      <c r="AB49" s="70"/>
      <c r="AC49" s="70"/>
      <c r="AD49" s="70"/>
      <c r="AE49" s="70"/>
      <c r="AF49" s="70"/>
      <c r="AG49" s="3"/>
      <c r="AH49" s="3"/>
      <c r="AI49" s="3"/>
      <c r="AJ49" s="3"/>
      <c r="AK49" s="3"/>
      <c r="AL49" s="3"/>
      <c r="AM49" s="3"/>
      <c r="AN49" s="3"/>
      <c r="AO49" s="3"/>
      <c r="AP49" s="3"/>
      <c r="AQ49" s="3"/>
      <c r="AR49" s="3"/>
      <c r="AS49" s="3"/>
      <c r="AT49" s="3"/>
      <c r="AU49" s="3"/>
      <c r="AV49" s="3"/>
      <c r="AW49" s="3"/>
    </row>
    <row r="50" ht="17.25" customHeight="1" spans="1:49" x14ac:dyDescent="0.25">
      <c r="A50" s="70"/>
      <c r="B50" s="70"/>
      <c r="C50" s="70"/>
      <c r="D50" s="70"/>
      <c r="E50" s="70"/>
      <c r="F50" s="70"/>
      <c r="G50" s="108" t="s">
        <v>198</v>
      </c>
      <c r="H50" s="108"/>
      <c r="I50" s="108"/>
      <c r="M50" s="1006">
        <f>初期入力!B6</f>
        <v>0</v>
      </c>
      <c r="N50" s="1006"/>
      <c r="O50" s="1006"/>
      <c r="P50" s="1006"/>
      <c r="Q50" s="1006"/>
      <c r="R50" s="1006"/>
      <c r="S50" s="1006"/>
      <c r="T50" s="1006"/>
      <c r="U50" s="1006"/>
      <c r="V50" s="1006"/>
      <c r="AA50" s="1003" t="s">
        <v>222</v>
      </c>
      <c r="AB50" s="1003"/>
      <c r="AC50" s="70"/>
      <c r="AD50" s="70"/>
      <c r="AE50" s="3"/>
      <c r="AF50" s="3"/>
      <c r="AG50" s="3"/>
      <c r="AH50" s="3"/>
      <c r="AI50" s="3"/>
      <c r="AJ50" s="3"/>
      <c r="AK50" s="3"/>
      <c r="AL50" s="3"/>
      <c r="AM50" s="3"/>
      <c r="AN50" s="3"/>
      <c r="AO50" s="3"/>
      <c r="AP50" s="3"/>
      <c r="AQ50" s="3"/>
      <c r="AR50" s="3"/>
      <c r="AS50" s="3"/>
      <c r="AT50" s="3"/>
      <c r="AU50" s="3"/>
      <c r="AV50" s="3"/>
      <c r="AW50" s="3"/>
    </row>
    <row r="51" ht="16.5" customHeight="1" spans="1:49" x14ac:dyDescent="0.25">
      <c r="A51" s="70"/>
      <c r="B51" s="70"/>
      <c r="C51" s="70"/>
      <c r="D51" s="70"/>
      <c r="E51" s="70"/>
      <c r="F51" s="70"/>
      <c r="G51" s="981"/>
      <c r="H51" s="981"/>
      <c r="I51" s="981"/>
      <c r="J51" s="981"/>
      <c r="K51" s="981"/>
      <c r="L51" s="981"/>
      <c r="M51" s="70"/>
      <c r="N51" s="70"/>
      <c r="O51" s="70"/>
      <c r="P51" s="70"/>
      <c r="Q51" s="70"/>
      <c r="R51" s="70"/>
      <c r="S51" s="70"/>
      <c r="T51" s="70"/>
      <c r="U51" s="70"/>
      <c r="V51" s="70"/>
      <c r="W51" s="70"/>
      <c r="X51" s="70"/>
      <c r="Y51" s="70"/>
      <c r="AB51" s="70"/>
      <c r="AC51" s="70"/>
      <c r="AD51" s="70"/>
      <c r="AE51" s="3"/>
      <c r="AF51" s="3"/>
      <c r="AG51" s="3"/>
      <c r="AH51" s="3"/>
      <c r="AI51" s="3"/>
      <c r="AJ51" s="3"/>
      <c r="AK51" s="3"/>
      <c r="AL51" s="3"/>
      <c r="AM51" s="3"/>
      <c r="AN51" s="3"/>
      <c r="AO51" s="3"/>
      <c r="AP51" s="3"/>
      <c r="AQ51" s="3"/>
      <c r="AR51" s="3"/>
      <c r="AS51" s="3"/>
      <c r="AT51" s="3"/>
      <c r="AU51" s="3"/>
      <c r="AV51" s="3"/>
      <c r="AW51" s="3"/>
    </row>
    <row r="52" ht="12.75" customHeight="1" spans="1:49" x14ac:dyDescent="0.25">
      <c r="A52" s="70"/>
      <c r="B52" s="70"/>
      <c r="C52" s="70"/>
      <c r="D52" s="70"/>
      <c r="E52" s="70"/>
      <c r="F52" s="70"/>
      <c r="G52" s="108" t="s">
        <v>1784</v>
      </c>
      <c r="H52" s="108"/>
      <c r="I52" s="108"/>
      <c r="J52" s="108"/>
      <c r="K52" s="108"/>
      <c r="L52" s="108"/>
      <c r="M52" s="162" t="s">
        <v>119</v>
      </c>
      <c r="N52" s="162"/>
      <c r="O52" s="162"/>
      <c r="P52" s="162"/>
      <c r="Q52" s="162"/>
      <c r="R52" s="162"/>
      <c r="S52" s="162"/>
      <c r="T52" s="162"/>
      <c r="U52" s="162"/>
      <c r="V52" s="162"/>
      <c r="W52" s="162"/>
      <c r="X52" s="162"/>
      <c r="Y52" s="162"/>
      <c r="Z52" s="70"/>
      <c r="AA52" s="70"/>
      <c r="AB52" s="70"/>
      <c r="AC52" s="70"/>
      <c r="AD52" s="70"/>
      <c r="AE52" s="3"/>
      <c r="AF52" s="3"/>
      <c r="AG52" s="3"/>
      <c r="AH52" s="3"/>
      <c r="AI52" s="3"/>
      <c r="AJ52" s="3"/>
      <c r="AK52" s="3"/>
      <c r="AL52" s="3"/>
      <c r="AM52" s="3"/>
      <c r="AN52" s="3"/>
      <c r="AO52" s="3"/>
      <c r="AP52" s="3"/>
      <c r="AQ52" s="3"/>
      <c r="AR52" s="3"/>
      <c r="AS52" s="3"/>
      <c r="AT52" s="3"/>
      <c r="AU52" s="3"/>
      <c r="AV52" s="3"/>
      <c r="AW52" s="3"/>
    </row>
    <row r="53" ht="12.75" customHeight="1" spans="1:49" x14ac:dyDescent="0.25">
      <c r="A53" s="70"/>
      <c r="B53" s="70"/>
      <c r="C53" s="70"/>
      <c r="D53" s="70"/>
      <c r="E53" s="70"/>
      <c r="F53" s="70"/>
      <c r="G53" s="981"/>
      <c r="H53" s="981"/>
      <c r="I53" s="981"/>
      <c r="J53" s="981"/>
      <c r="K53" s="981"/>
      <c r="L53" s="981"/>
      <c r="M53" s="70"/>
      <c r="N53" s="70"/>
      <c r="O53" s="70"/>
      <c r="P53" s="70"/>
      <c r="Q53" s="70"/>
      <c r="R53" s="70"/>
      <c r="S53" s="70"/>
      <c r="T53" s="70"/>
      <c r="U53" s="70"/>
      <c r="V53" s="70"/>
      <c r="W53" s="70"/>
      <c r="X53" s="70"/>
      <c r="Y53" s="70"/>
      <c r="Z53" s="70"/>
      <c r="AA53" s="70"/>
      <c r="AB53" s="70"/>
      <c r="AC53" s="70"/>
      <c r="AD53" s="70"/>
      <c r="AE53" s="3"/>
      <c r="AF53" s="3"/>
      <c r="AG53" s="3"/>
      <c r="AH53" s="3"/>
      <c r="AI53" s="3"/>
      <c r="AJ53" s="3"/>
      <c r="AK53" s="3"/>
      <c r="AL53" s="3"/>
      <c r="AM53" s="3"/>
      <c r="AN53" s="3"/>
      <c r="AO53" s="3"/>
      <c r="AP53" s="3"/>
      <c r="AQ53" s="3"/>
      <c r="AR53" s="3"/>
      <c r="AS53" s="3"/>
      <c r="AT53" s="3"/>
      <c r="AU53" s="3"/>
      <c r="AV53" s="3"/>
      <c r="AW53" s="3"/>
    </row>
    <row r="54" ht="17.25" customHeight="1" spans="1:49" x14ac:dyDescent="0.25">
      <c r="A54" s="70"/>
      <c r="B54" s="70"/>
      <c r="C54" s="70"/>
      <c r="D54" s="70"/>
      <c r="E54" s="70"/>
      <c r="F54" s="70"/>
      <c r="G54" s="108" t="s">
        <v>198</v>
      </c>
      <c r="H54" s="108"/>
      <c r="I54" s="108"/>
      <c r="L54" s="1002"/>
      <c r="M54" s="1002" t="s">
        <v>1896</v>
      </c>
      <c r="N54" s="1002"/>
      <c r="O54" s="1002"/>
      <c r="P54" s="1002"/>
      <c r="Q54" s="1002"/>
      <c r="R54" s="1002"/>
      <c r="S54" s="1002"/>
      <c r="T54" s="1002"/>
      <c r="U54" s="1002"/>
      <c r="V54" s="1002"/>
      <c r="AA54" s="1003" t="s">
        <v>222</v>
      </c>
      <c r="AB54" s="1003"/>
      <c r="AC54" s="3"/>
      <c r="AD54" s="3"/>
      <c r="AE54" s="3"/>
      <c r="AF54" s="3"/>
      <c r="AG54" s="3"/>
      <c r="AH54" s="3"/>
      <c r="AI54" s="3"/>
      <c r="AJ54" s="3"/>
      <c r="AK54" s="3"/>
      <c r="AL54" s="3"/>
      <c r="AM54" s="3"/>
      <c r="AN54" s="3"/>
      <c r="AO54" s="3"/>
      <c r="AP54" s="3"/>
      <c r="AQ54" s="3"/>
      <c r="AR54" s="3"/>
      <c r="AS54" s="3"/>
      <c r="AT54" s="3"/>
      <c r="AU54" s="3"/>
      <c r="AV54" s="3"/>
      <c r="AW54" s="3"/>
    </row>
    <row r="55" ht="16.5" customHeight="1" spans="1:49"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row>
    <row r="56" ht="12.75" customHeight="1" spans="1:49"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row>
    <row r="57" ht="12.75" customHeight="1" spans="1:49"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row>
    <row r="58" ht="12.75" customHeight="1" spans="1:49"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row>
    <row r="59" ht="12.75" customHeight="1" spans="1:49"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row>
    <row r="60" ht="12.75" customHeight="1" spans="1:49"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row>
    <row r="61" ht="12.75" customHeight="1" spans="1:49"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row>
    <row r="62" ht="12.75" customHeight="1" spans="1:49"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row>
    <row r="63" ht="12.75" customHeight="1" spans="1:49"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row>
    <row r="64" ht="12.75" customHeight="1" spans="1:49"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row>
    <row r="65" ht="12.75" customHeight="1" spans="1:49"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row>
    <row r="66" ht="12.75" customHeight="1" spans="1:49"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row>
    <row r="67" ht="12.75" customHeight="1" spans="1:49"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row>
    <row r="68" ht="12.75" customHeight="1" spans="1:49"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row>
    <row r="69" ht="12.75" customHeight="1" spans="1:49"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row>
    <row r="70" ht="12.75" customHeight="1" spans="1:49"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row>
    <row r="71" ht="12.75" customHeight="1" spans="1:49"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ht="12.75" customHeight="1" spans="1:49"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row>
    <row r="73" ht="12.75" customHeight="1" spans="1:49"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row>
    <row r="74" ht="12.75" customHeight="1" spans="1:49"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row>
    <row r="75" ht="12.75" customHeight="1" spans="1:49"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row>
    <row r="76" ht="12.75" customHeight="1" spans="1:49"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row>
    <row r="77" ht="12.75" customHeight="1" spans="1:49"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row>
    <row r="78" ht="12.75" customHeight="1" spans="1:49"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row>
    <row r="79" ht="12.75" customHeight="1" spans="1:49"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row>
    <row r="80" ht="12.75" customHeight="1" spans="1:49"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row>
    <row r="81" ht="12.75" customHeight="1" spans="1:49"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row>
    <row r="82" ht="12.75" customHeight="1" spans="1:49"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row>
    <row r="83" ht="12.75" customHeight="1" spans="1:49"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row>
    <row r="84" ht="12.75" customHeight="1" spans="1:49"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row>
    <row r="85" ht="12.75" customHeight="1" spans="1:49"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row>
    <row r="86" ht="12.75" customHeight="1" spans="1:49"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row>
    <row r="87" ht="12.75" customHeight="1" spans="1:49"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row>
    <row r="88" ht="12.75" customHeight="1" spans="1:49"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row>
    <row r="89" ht="12.75" customHeight="1" spans="1:49"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row>
    <row r="90" ht="12.75" customHeight="1" spans="1:49"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row>
    <row r="91" ht="12.75" customHeight="1" spans="1:49"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row>
    <row r="92" ht="12.75" customHeight="1" spans="1:49"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row>
    <row r="93" ht="12.75" customHeight="1" spans="1:49"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row>
    <row r="94" ht="12.75" customHeight="1" spans="1:49"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row>
    <row r="95" ht="12.75" customHeight="1" spans="1:49"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row>
    <row r="96" ht="12.75" customHeight="1" spans="1:49"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row>
    <row r="97" ht="12.75" customHeight="1" spans="1:49"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row>
    <row r="98" ht="12.75" customHeight="1" spans="1:49"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row>
    <row r="99" ht="12.75" customHeight="1" spans="1:49"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row>
    <row r="100" ht="12.75" customHeight="1" spans="1:49"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row>
    <row r="101" ht="12.75" customHeight="1" spans="1:49"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row>
    <row r="102" ht="12.75" customHeight="1" spans="1:49"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row>
    <row r="103" ht="12.75" customHeight="1" spans="1:49"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row>
    <row r="104" ht="12.75" customHeight="1" spans="1:49"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row>
    <row r="105" ht="12.75" customHeight="1" spans="1:49"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row>
    <row r="106" ht="12.75" customHeight="1" spans="1:49"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row>
    <row r="107" ht="12.75" customHeight="1" spans="1:49"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row>
    <row r="108" ht="12.75" customHeight="1" spans="1:49"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row>
    <row r="109" ht="12.75" customHeight="1" spans="1:49"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row>
    <row r="110" ht="12.75" customHeight="1" spans="1:49"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row>
    <row r="111" ht="12.75" customHeight="1" spans="1:49"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row>
    <row r="112" ht="12.75" customHeight="1" spans="1:49"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row>
    <row r="113" ht="12.75" customHeight="1" spans="1:49"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row>
    <row r="114" ht="12.75" customHeight="1" spans="1:49"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row>
    <row r="115" ht="12.75" customHeight="1" spans="1:49"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row>
    <row r="116" ht="12.75" customHeight="1" spans="1:49"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row>
    <row r="117" ht="12.75" customHeight="1" spans="1:49"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row>
    <row r="118" ht="12.75" customHeight="1" spans="1:49"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row>
    <row r="119" ht="12.75" customHeight="1" spans="1:49"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row>
    <row r="120" ht="12.75" customHeight="1" spans="1:49"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row>
    <row r="121" ht="12.75" customHeight="1" spans="1:49"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row>
    <row r="122" ht="12.75" customHeight="1" spans="1:49"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row>
    <row r="123" ht="12.75" customHeight="1" spans="1:49"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row>
    <row r="124" ht="12.75" customHeight="1" spans="1:49"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row>
    <row r="125" ht="12.75" customHeight="1" spans="1:49"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row>
    <row r="126" ht="12.75" customHeight="1" spans="1:49"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row>
    <row r="127" ht="12.75" customHeight="1" spans="1:49"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row>
    <row r="128" ht="12.75" customHeight="1" spans="1:49"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row>
    <row r="129" ht="12.75" customHeight="1" spans="1:49"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row>
    <row r="130" ht="12.75" customHeight="1" spans="1:49"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row>
    <row r="131" ht="12.75" customHeight="1" spans="1:49"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row>
    <row r="132" ht="12.75" customHeight="1" spans="1:49"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row>
    <row r="133" ht="12.75" customHeight="1" spans="1:49"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row>
    <row r="134" ht="12.75" customHeight="1" spans="1:49"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row>
    <row r="135" ht="12.75" customHeight="1" spans="1:49"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row>
    <row r="136" ht="12.75" customHeight="1" spans="1:49"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row>
    <row r="137" ht="12.75" customHeight="1" spans="1:49"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row>
    <row r="138" ht="12.75" customHeight="1" spans="1:49"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row>
    <row r="139" ht="12.75" customHeight="1" spans="1:49"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row>
    <row r="140" ht="12.75" customHeight="1" spans="1:49"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row>
    <row r="141" ht="12.75" customHeight="1" spans="1:49"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row>
    <row r="142" ht="12.75" customHeight="1" spans="1:49"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row>
    <row r="143" ht="12.75" customHeight="1" spans="1:49"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row>
    <row r="144" ht="12.75" customHeight="1" spans="1:49"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row>
    <row r="145" ht="12.75" customHeight="1" spans="1:49"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row>
    <row r="146" ht="12.75" customHeight="1" spans="1:49"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row>
    <row r="147" ht="12.75" customHeight="1" spans="1:49"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row>
    <row r="148" ht="12.75" customHeight="1" spans="1:49"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row>
    <row r="149" ht="12.75" customHeight="1" spans="1:49"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row>
    <row r="150" ht="12.75" customHeight="1" spans="1:49"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row>
    <row r="151" ht="12.75" customHeight="1" spans="1:49"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row>
    <row r="152" ht="12.75" customHeight="1" spans="1:49"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row>
    <row r="153" ht="12.75" customHeight="1" spans="1:49"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row>
    <row r="154" ht="12.75" customHeight="1" spans="1:49"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row>
    <row r="155" ht="12.75" customHeight="1" spans="1:49"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row>
    <row r="156" ht="12.75" customHeight="1" spans="1:49"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row>
    <row r="157" ht="12.75" customHeight="1" spans="1:49"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row>
    <row r="158" ht="12.75" customHeight="1" spans="1:49"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row>
    <row r="159" ht="12.75" customHeight="1" spans="1:49"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row>
    <row r="160" ht="12.75" customHeight="1" spans="1:49"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row>
    <row r="161" ht="12.75" customHeight="1" spans="1:49"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row>
    <row r="162" ht="12.75" customHeight="1" spans="1:49"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row>
    <row r="163" ht="12.75" customHeight="1" spans="1:49"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row>
    <row r="164" ht="12.75" customHeight="1" spans="1:49"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row>
    <row r="165" ht="12.75" customHeight="1" spans="1:49"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row>
    <row r="166" ht="12.75" customHeight="1" spans="1:49"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row>
    <row r="167" ht="12.75" customHeight="1" spans="1:49"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row>
    <row r="168" ht="12.75" customHeight="1" spans="1:49"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row>
    <row r="169" ht="12.75" customHeight="1" spans="1:49"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row>
    <row r="170" ht="12.75" customHeight="1" spans="1:49"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row>
    <row r="171" ht="12.75" customHeight="1" spans="1:49"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row>
    <row r="172" ht="12.75" customHeight="1" spans="1:49"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row>
    <row r="173" ht="12.75" customHeight="1" spans="1:49"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row>
    <row r="174" ht="12.75" customHeight="1" spans="1:49"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row>
    <row r="175" ht="12.75" customHeight="1" spans="1:49"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row>
    <row r="176" ht="12.75" customHeight="1" spans="1:49"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row>
    <row r="177" ht="12.75" customHeight="1" spans="1:49"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row>
    <row r="178" ht="12.75" customHeight="1" spans="1:49"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row>
    <row r="179" ht="12.75" customHeight="1" spans="1:49"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row>
    <row r="180" ht="12.75" customHeight="1" spans="1:49"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row>
    <row r="181" ht="12.75" customHeight="1" spans="1:49"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row>
    <row r="182" ht="12.75" customHeight="1" spans="1:49"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row>
    <row r="183" ht="12.75" customHeight="1" spans="1:49"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row>
    <row r="184" ht="12.75" customHeight="1" spans="1:49"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row>
    <row r="185" ht="12.75" customHeight="1" spans="1:49"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row>
    <row r="186" ht="12.75" customHeight="1" spans="1:49"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row>
    <row r="187" ht="12.75" customHeight="1" spans="1:49"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row>
    <row r="188" ht="12.75" customHeight="1" spans="1:49"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row>
    <row r="189" ht="12.75" customHeight="1" spans="1:49"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row>
    <row r="190" ht="12.75" customHeight="1" spans="1:49"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row>
    <row r="191" ht="12.75" customHeight="1" spans="1:49"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row>
    <row r="192" ht="12.75" customHeight="1" spans="1:49"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row>
    <row r="193" ht="12.75" customHeight="1" spans="1:49"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row>
    <row r="194" ht="12.75" customHeight="1" spans="1:49"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row>
    <row r="195" ht="12.75" customHeight="1" spans="1:49"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row>
    <row r="196" ht="12.75" customHeight="1" spans="1:49"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row>
    <row r="197" ht="12.75" customHeight="1" spans="1:49"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row>
    <row r="198" ht="12.75" customHeight="1" spans="1:49"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row>
    <row r="199" ht="12.75" customHeight="1" spans="1:49"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row>
    <row r="200" ht="12.75" customHeight="1" spans="1:49"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row>
    <row r="201" ht="12.75" customHeight="1" spans="1:49"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row>
    <row r="202" ht="12.75" customHeight="1" spans="1:49"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row>
    <row r="203" ht="12.75" customHeight="1" spans="1:49"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row>
    <row r="204" ht="12.75" customHeight="1" spans="1:49"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row>
    <row r="205" ht="12.75" customHeight="1" spans="1:49"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row>
    <row r="206" ht="12.75" customHeight="1" spans="1:49"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row>
    <row r="207" ht="12.75" customHeight="1" spans="1:49"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row>
    <row r="208" ht="12.75" customHeight="1" spans="1:49"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row>
    <row r="209" ht="12.75" customHeight="1" spans="1:49"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row>
    <row r="210" ht="12.75" customHeight="1" spans="1:49"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row>
    <row r="211" ht="12.75" customHeight="1" spans="1:49"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row>
    <row r="212" ht="12.75" customHeight="1" spans="1:49"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row>
    <row r="213" ht="12.75" customHeight="1" spans="1:49"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row>
    <row r="214" ht="12.75" customHeight="1" spans="1:49"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row>
    <row r="215" ht="12.75" customHeight="1" spans="1:49"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row>
    <row r="216" ht="12.75" customHeight="1" spans="1:49"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row>
    <row r="217" ht="12.75" customHeight="1" spans="1:49"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row>
    <row r="218" ht="12.75" customHeight="1" spans="1:49"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row>
    <row r="219" ht="12.75" customHeight="1" spans="1:49"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row>
    <row r="220" ht="12.75" customHeight="1" spans="1:49"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row>
    <row r="221" ht="12.75" customHeight="1" spans="1:49"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row>
    <row r="222" ht="12.75" customHeight="1" spans="1:49"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row>
    <row r="223" ht="12.75" customHeight="1" spans="1:49"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row>
    <row r="224" ht="12.75" customHeight="1" spans="1:49"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row>
    <row r="225" ht="12.75" customHeight="1" spans="1:49"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row>
    <row r="226" ht="12.75" customHeight="1" spans="1:49"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row>
    <row r="227" ht="12.75" customHeight="1" spans="1:49"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row>
    <row r="228" ht="12.75" customHeight="1" spans="1:49"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row>
    <row r="229" ht="12.75" customHeight="1" spans="1:49"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row>
    <row r="230" ht="12.75" customHeight="1" spans="1:49"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row>
    <row r="231" ht="12.75" customHeight="1" spans="1:49"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row>
    <row r="232" ht="12.75" customHeight="1" spans="1:49"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row>
    <row r="233" ht="12.75" customHeight="1" spans="1:49"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row>
    <row r="234" ht="12.75" customHeight="1" spans="1:49"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row>
    <row r="235" ht="12.75" customHeight="1" spans="1:49"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row>
    <row r="236" ht="12.75" customHeight="1" spans="1:49"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row>
    <row r="237" ht="12.75" customHeight="1" spans="1:49"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row>
    <row r="238" ht="12.75" customHeight="1" spans="1:49"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row>
    <row r="239" ht="12.75" customHeight="1" spans="1:49"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row>
    <row r="240" ht="12.75" customHeight="1" spans="1:49"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row>
    <row r="241" ht="12.75" customHeight="1" spans="1:49"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row>
    <row r="242" ht="12.75" customHeight="1" spans="1:49"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row>
    <row r="243" ht="12.75" customHeight="1" spans="1:49"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row>
    <row r="244" ht="12.75" customHeight="1" spans="1:49"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row>
    <row r="245" ht="12.75" customHeight="1" spans="1:49"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row>
    <row r="246" ht="12.75" customHeight="1" spans="1:49"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row>
    <row r="247" ht="12.75" customHeight="1" spans="1:49"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row>
    <row r="248" ht="12.75" customHeight="1" spans="1:49"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row>
    <row r="249" ht="12.75" customHeight="1" spans="1:49"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row>
    <row r="250" ht="12.75" customHeight="1" spans="1:49"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row>
    <row r="251" ht="12.75" customHeight="1" spans="1:49"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row>
    <row r="252" ht="12.75" customHeight="1" spans="1:49"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row>
    <row r="253" ht="12.75" customHeight="1" spans="1:49"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row>
    <row r="254" ht="12.75" customHeight="1" spans="1:49"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row>
    <row r="255" ht="12.75" customHeight="1" spans="1:49"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row>
    <row r="256" ht="12.75" customHeight="1" spans="1:49"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row>
    <row r="257" ht="12.75" customHeight="1" spans="1:49"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row>
    <row r="258" ht="12.75" customHeight="1" spans="1:49"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row>
    <row r="259" ht="12.75" customHeight="1" spans="1:49"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row>
    <row r="260" ht="12.75" customHeight="1" spans="1:49"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row>
    <row r="261" ht="12.75" customHeight="1" spans="1:49"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row>
    <row r="262" ht="12.75" customHeight="1" spans="1:49"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row>
    <row r="263" ht="12.75" customHeight="1" spans="1:49"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row>
    <row r="264" ht="12.75" customHeight="1" spans="1:49"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row>
    <row r="265" ht="12.75" customHeight="1" spans="1:49"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row>
    <row r="266" ht="12.75" customHeight="1" spans="1:49"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row>
    <row r="267" ht="12.75" customHeight="1" spans="1:49"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row>
    <row r="268" ht="12.75" customHeight="1" spans="1:49"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row>
    <row r="269" ht="12.75" customHeight="1" spans="1:49"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row>
    <row r="270" ht="12.75" customHeight="1" spans="1:49"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row>
    <row r="271" ht="12.75" customHeight="1" spans="1:49"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row>
    <row r="272" ht="12.75" customHeight="1" spans="1:49"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row>
    <row r="273" ht="12.75" customHeight="1" spans="1:49"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row>
    <row r="274" ht="12.75" customHeight="1" spans="1:49"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row>
    <row r="275" ht="12.75" customHeight="1" spans="1:49"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row>
    <row r="276" ht="12.75" customHeight="1" spans="1:49"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row>
    <row r="277" ht="12.75" customHeight="1" spans="1:49"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row>
    <row r="278" ht="12.75" customHeight="1" spans="1:49"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row>
    <row r="279" ht="12.75" customHeight="1" spans="1:49"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row>
    <row r="280" ht="12.75" customHeight="1" spans="1:49"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row>
    <row r="281" ht="12.75" customHeight="1" spans="1:49"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row>
    <row r="282" ht="12.75" customHeight="1" spans="1:49"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row>
    <row r="283" ht="12.75" customHeight="1" spans="1:49"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row>
    <row r="284" ht="12.75" customHeight="1" spans="1:49"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row>
    <row r="285" ht="12.75" customHeight="1" spans="1:49"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row>
    <row r="286" ht="12.75" customHeight="1" spans="1:49"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row>
    <row r="287" ht="12.75" customHeight="1" spans="1:49"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row>
    <row r="288" ht="12.75" customHeight="1" spans="1:49"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row>
    <row r="289" ht="12.75" customHeight="1" spans="1:49"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row>
    <row r="290" ht="12.75" customHeight="1" spans="1:49"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row>
    <row r="291" ht="12.75" customHeight="1" spans="1:49"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row>
    <row r="292" ht="12.75" customHeight="1" spans="1:49"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row>
    <row r="293" ht="12.75" customHeight="1" spans="1:49"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row>
    <row r="294" ht="12.75" customHeight="1" spans="1:49"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row>
    <row r="295" ht="12.75" customHeight="1" spans="1:49"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row>
    <row r="296" ht="12.75" customHeight="1" spans="1:49"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row>
    <row r="297" ht="12.75" customHeight="1" spans="1:49"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row>
    <row r="298" ht="12.75" customHeight="1" spans="1:49"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row>
    <row r="299" ht="12.75" customHeight="1" spans="1:49"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row>
    <row r="300" ht="12.75" customHeight="1" spans="1:49"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row>
    <row r="301" ht="12.75" customHeight="1" spans="1:49"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row>
    <row r="302" ht="12.75" customHeight="1" spans="1:49"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row>
    <row r="303" ht="12.75" customHeight="1" spans="1:49"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row>
    <row r="304" ht="12.75" customHeight="1" spans="1:49"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row>
    <row r="305" ht="12.75" customHeight="1" spans="1:49"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row>
    <row r="306" ht="12.75" customHeight="1" spans="1:49"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row>
    <row r="307" ht="12.75" customHeight="1" spans="1:49"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row>
    <row r="308" ht="12.75" customHeight="1" spans="1:49"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row>
    <row r="309" ht="12.75" customHeight="1" spans="1:49"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row>
    <row r="310" ht="12.75" customHeight="1" spans="1:49"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row>
    <row r="311" ht="12.75" customHeight="1" spans="1:49"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row>
    <row r="312" ht="12.75" customHeight="1" spans="1:49"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row>
    <row r="313" ht="12.75" customHeight="1" spans="1:49"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row>
    <row r="314" ht="12.75" customHeight="1" spans="1:49"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row>
    <row r="315" ht="12.75" customHeight="1" spans="1:49"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row>
    <row r="316" ht="12.75" customHeight="1" spans="1:49"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row>
    <row r="317" ht="12.75" customHeight="1" spans="1:49"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row>
    <row r="318" ht="12.75" customHeight="1" spans="1:49"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row>
    <row r="319" ht="12.75" customHeight="1" spans="1:49"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row>
    <row r="320" ht="12.75" customHeight="1" spans="1:49"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row>
    <row r="321" ht="12.75" customHeight="1" spans="1:49"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row>
    <row r="322" ht="12.75" customHeight="1" spans="1:49"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row>
    <row r="323" ht="12.75" customHeight="1" spans="1:49"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row>
    <row r="324" ht="12.75" customHeight="1" spans="1:49"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row>
    <row r="325" ht="12.75" customHeight="1" spans="1:49"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row>
    <row r="326" ht="12.75" customHeight="1" spans="1:49"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row>
    <row r="327" ht="12.75" customHeight="1" spans="1:49"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row>
    <row r="328" ht="12.75" customHeight="1" spans="1:49"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row>
    <row r="329" ht="12.75" customHeight="1" spans="1:49"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row>
    <row r="330" ht="12.75" customHeight="1" spans="1:49"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row>
    <row r="331" ht="12.75" customHeight="1" spans="1:49"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row>
    <row r="332" ht="12.75" customHeight="1" spans="1:49"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row>
    <row r="333" ht="12.75" customHeight="1" spans="1:49"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row>
    <row r="334" ht="12.75" customHeight="1" spans="1:49"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row>
    <row r="335" ht="12.75" customHeight="1" spans="1:49"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row>
    <row r="336" ht="12.75" customHeight="1" spans="1:49"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row>
    <row r="337" ht="12.75" customHeight="1" spans="1:49"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row>
    <row r="338" ht="12.75" customHeight="1" spans="1:49"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row>
    <row r="339" ht="12.75" customHeight="1" spans="1:49"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row>
    <row r="340" ht="12.75" customHeight="1" spans="1:49"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row>
    <row r="341" ht="12.75" customHeight="1" spans="1:49"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row>
    <row r="342" ht="12.75" customHeight="1" spans="1:49"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row>
    <row r="343" ht="12.75" customHeight="1" spans="1:49"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row>
    <row r="344" ht="12.75" customHeight="1" spans="1:49"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row>
    <row r="345" ht="12.75" customHeight="1" spans="1:49"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row>
    <row r="346" ht="12.75" customHeight="1" spans="1:49"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row>
    <row r="347" ht="12.75" customHeight="1" spans="1:49"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row>
    <row r="348" ht="12.75" customHeight="1" spans="1:49"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row>
    <row r="349" ht="12.75" customHeight="1" spans="1:49"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row>
    <row r="350" ht="12.75" customHeight="1" spans="1:49"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row>
    <row r="351" ht="12.75" customHeight="1" spans="1:49"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row>
    <row r="352" ht="12.75" customHeight="1" spans="1:49"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row>
    <row r="353" ht="12.75" customHeight="1" spans="1:49"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row>
    <row r="354" ht="12.75" customHeight="1" spans="1:49"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row>
    <row r="355" ht="12.75" customHeight="1" spans="1:49"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row>
    <row r="356" ht="12.75" customHeight="1" spans="1:49"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row>
    <row r="357" ht="12.75" customHeight="1" spans="1:49"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row>
    <row r="358" ht="12.75" customHeight="1" spans="1:49"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row>
    <row r="359" ht="12.75" customHeight="1" spans="1:49"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row>
    <row r="360" ht="12.75" customHeight="1" spans="1:49"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row>
    <row r="361" ht="12.75" customHeight="1" spans="1:49"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row>
    <row r="362" ht="12.75" customHeight="1" spans="1:49"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row>
    <row r="363" ht="12.75" customHeight="1" spans="1:49"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row>
    <row r="364" ht="12.75" customHeight="1" spans="1:49"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row>
    <row r="365" ht="12.75" customHeight="1" spans="1:49"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row>
    <row r="366" ht="12.75" customHeight="1" spans="1:49"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row>
    <row r="367" ht="12.75" customHeight="1" spans="1:49"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row>
    <row r="368" ht="12.75" customHeight="1" spans="1:49"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row>
    <row r="369" ht="12.75" customHeight="1" spans="1:49"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row>
    <row r="370" ht="12.75" customHeight="1" spans="1:49"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row>
    <row r="371" ht="12.75" customHeight="1" spans="1:49"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row>
    <row r="372" ht="12.75" customHeight="1" spans="1:49"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row>
    <row r="373" ht="12.75" customHeight="1" spans="1:49"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row>
    <row r="374" ht="12.75" customHeight="1" spans="1:49"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row>
    <row r="375" ht="12.75" customHeight="1" spans="1:49"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row>
    <row r="376" ht="12.75" customHeight="1" spans="1:49"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row>
    <row r="377" ht="12.75" customHeight="1" spans="1:49"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row>
    <row r="378" ht="12.75" customHeight="1" spans="1:49"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row>
    <row r="379" ht="12.75" customHeight="1" spans="1:49"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row>
    <row r="380" ht="12.75" customHeight="1" spans="1:49"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row>
    <row r="381" ht="12.75" customHeight="1" spans="1:49"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row>
    <row r="382" ht="12.75" customHeight="1" spans="1:49"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row>
    <row r="383" ht="12.75" customHeight="1" spans="1:49"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row>
    <row r="384" ht="12.75" customHeight="1" spans="1:49"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row>
    <row r="385" ht="12.75" customHeight="1" spans="1:49"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row>
    <row r="386" ht="12.75" customHeight="1" spans="1:49"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row>
    <row r="387" ht="12.75" customHeight="1" spans="1:49"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row>
    <row r="388" ht="12.75" customHeight="1" spans="1:49"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row>
    <row r="389" ht="12.75" customHeight="1" spans="1:49"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row>
    <row r="390" ht="12.75" customHeight="1" spans="1:49"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row>
    <row r="391" ht="12.75" customHeight="1" spans="1:49"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row>
    <row r="392" ht="12.75" customHeight="1" spans="1:49"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row>
    <row r="393" ht="12.75" customHeight="1" spans="1:49"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row>
    <row r="394" ht="12.75" customHeight="1" spans="1:49"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row>
    <row r="395" ht="12.75" customHeight="1" spans="1:49"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row>
    <row r="396" ht="12.75" customHeight="1" spans="1:49"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row>
    <row r="397" ht="12.75" customHeight="1" spans="1:49"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row>
    <row r="398" ht="12.75" customHeight="1" spans="1:49"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row>
    <row r="399" ht="12.75" customHeight="1" spans="1:49"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row>
    <row r="400" ht="12.75" customHeight="1" spans="1:49"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row>
    <row r="401" ht="12.75" customHeight="1" spans="1:49"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row>
    <row r="402" ht="12.75" customHeight="1" spans="1:49"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row>
    <row r="403" ht="12.75" customHeight="1" spans="1:49"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row>
    <row r="404" ht="12.75" customHeight="1" spans="1:49"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row>
    <row r="405" ht="12.75" customHeight="1" spans="1:49"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row>
    <row r="406" ht="12.75" customHeight="1" spans="1:49"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row>
    <row r="407" ht="12.75" customHeight="1" spans="1:49"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row>
    <row r="408" ht="12.75" customHeight="1" spans="1:49"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row>
    <row r="409" ht="12.75" customHeight="1" spans="1:49"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row>
    <row r="410" ht="12.75" customHeight="1" spans="1:49"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row>
    <row r="411" ht="12.75" customHeight="1" spans="1:49"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row>
    <row r="412" ht="12.75" customHeight="1" spans="1:49"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row>
    <row r="413" ht="12.75" customHeight="1" spans="1:49"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row>
    <row r="414" ht="12.75" customHeight="1" spans="1:49"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row>
    <row r="415" ht="12.75" customHeight="1" spans="1:49"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row>
    <row r="416" ht="12.75" customHeight="1" spans="1:49"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row>
    <row r="417" ht="12.75" customHeight="1" spans="1:49"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row>
    <row r="418" ht="12.75" customHeight="1" spans="1:49"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row>
    <row r="419" ht="12.75" customHeight="1" spans="1:49"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row>
    <row r="420" ht="12.75" customHeight="1" spans="1:49"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row>
    <row r="421" ht="12.75" customHeight="1" spans="1:49"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row>
    <row r="422" ht="12.75" customHeight="1" spans="1:49"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row>
    <row r="423" ht="12.75" customHeight="1" spans="1:49"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row>
    <row r="424" ht="12.75" customHeight="1" spans="1:49"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row>
    <row r="425" ht="12.75" customHeight="1" spans="1:49"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row>
    <row r="426" ht="12.75" customHeight="1" spans="1:49"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row>
    <row r="427" ht="12.75" customHeight="1" spans="1:49"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row>
    <row r="428" ht="12.75" customHeight="1" spans="1:49"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row>
    <row r="429" ht="12.75" customHeight="1" spans="1:49"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row>
    <row r="430" ht="12.75" customHeight="1" spans="1:49"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row>
    <row r="431" ht="12.75" customHeight="1" spans="1:49"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row>
    <row r="432" ht="12.75" customHeight="1" spans="1:49"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row>
    <row r="433" ht="12.75" customHeight="1" spans="1:49"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row>
    <row r="434" ht="12.75" customHeight="1" spans="1:49"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row>
    <row r="435" ht="12.75" customHeight="1" spans="1:49"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row>
    <row r="436" ht="12.75" customHeight="1" spans="1:49"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row>
    <row r="437" ht="12.75" customHeight="1" spans="1:49"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row>
    <row r="438" ht="12.75" customHeight="1" spans="1:49"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row>
    <row r="439" ht="12.75" customHeight="1" spans="1:49"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row>
    <row r="440" ht="12.75" customHeight="1" spans="1:49"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row>
    <row r="441" ht="12.75" customHeight="1" spans="1:49"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row>
    <row r="442" ht="12.75" customHeight="1" spans="1:49"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row>
    <row r="443" ht="12.75" customHeight="1" spans="1:49"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row>
    <row r="444" ht="12.75" customHeight="1" spans="1:49"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row>
    <row r="445" ht="12.75" customHeight="1" spans="1:49"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row>
    <row r="446" ht="12.75" customHeight="1" spans="1:49"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row>
    <row r="447" ht="12.75" customHeight="1" spans="1:49"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row>
    <row r="448" ht="12.75" customHeight="1" spans="1:49"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row>
    <row r="449" ht="12.75" customHeight="1" spans="1:49"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row>
    <row r="450" ht="12.75" customHeight="1" spans="1:49"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row>
    <row r="451" ht="12.75" customHeight="1" spans="1:49"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row>
    <row r="452" ht="12.75" customHeight="1" spans="1:49"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row>
    <row r="453" ht="12.75" customHeight="1" spans="1:49"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row>
    <row r="454" ht="12.75" customHeight="1" spans="1:49"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row>
    <row r="455" ht="12.75" customHeight="1" spans="1:49"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row>
    <row r="456" ht="12.75" customHeight="1" spans="1:49"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row>
    <row r="457" ht="12.75" customHeight="1" spans="1:49"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row>
    <row r="458" ht="12.75" customHeight="1" spans="1:49"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row>
    <row r="459" ht="12.75" customHeight="1" spans="1:49"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row>
    <row r="460" ht="12.75" customHeight="1" spans="1:49"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row>
    <row r="461" ht="12.75" customHeight="1" spans="1:49"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row>
    <row r="462" ht="12.75" customHeight="1" spans="1:49"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row>
    <row r="463" ht="12.75" customHeight="1" spans="1:49"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row>
    <row r="464" ht="12.75" customHeight="1" spans="1:49"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row>
    <row r="465" ht="12.75" customHeight="1" spans="1:49"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row>
    <row r="466" ht="12.75" customHeight="1" spans="1:49"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row>
    <row r="467" ht="12.75" customHeight="1" spans="1:49"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row>
    <row r="468" ht="12.75" customHeight="1" spans="1:49"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row>
    <row r="469" ht="12.75" customHeight="1" spans="1:49"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row>
    <row r="470" ht="12.75" customHeight="1" spans="1:49"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row>
    <row r="471" ht="12.75" customHeight="1" spans="1:49"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row>
    <row r="472" ht="12.75" customHeight="1" spans="1:49"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row>
    <row r="473" ht="12.75" customHeight="1" spans="1:49"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row>
    <row r="474" ht="12.75" customHeight="1" spans="1:49"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row>
    <row r="475" ht="12.75" customHeight="1" spans="1:49"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row>
    <row r="476" ht="12.75" customHeight="1" spans="1:49"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row>
    <row r="477" ht="12.75" customHeight="1" spans="1:49"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row>
    <row r="478" ht="12.75" customHeight="1" spans="1:49"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row>
    <row r="479" ht="12.75" customHeight="1" spans="1:49"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row>
    <row r="480" ht="12.75" customHeight="1" spans="1:49"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row>
    <row r="481" ht="12.75" customHeight="1" spans="1:49"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row>
    <row r="482" ht="12.75" customHeight="1" spans="1:49"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row>
    <row r="483" ht="12.75" customHeight="1" spans="1:49"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row>
    <row r="484" ht="12.75" customHeight="1" spans="1:49"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row>
    <row r="485" ht="12.75" customHeight="1" spans="1:49"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row>
    <row r="486" ht="12.75" customHeight="1" spans="1:49"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row>
    <row r="487" ht="12.75" customHeight="1" spans="1:49"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row>
    <row r="488" ht="12.75" customHeight="1" spans="1:49"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row>
    <row r="489" ht="12.75" customHeight="1" spans="1:49"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row>
    <row r="490" ht="12.75" customHeight="1" spans="1:49"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row>
    <row r="491" ht="12.75" customHeight="1" spans="1:49"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row>
    <row r="492" ht="12.75" customHeight="1" spans="1:49"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row>
    <row r="493" ht="12.75" customHeight="1" spans="1:49"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row>
    <row r="494" ht="12.75" customHeight="1" spans="1:49"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row>
    <row r="495" ht="12.75" customHeight="1" spans="1:49"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row>
    <row r="496" ht="12.75" customHeight="1" spans="1:49"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row>
    <row r="497" ht="12.75" customHeight="1" spans="1:49"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row>
    <row r="498" ht="12.75" customHeight="1" spans="1:49"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row>
    <row r="499" ht="12.75" customHeight="1" spans="1:49"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row>
    <row r="500" ht="12.75" customHeight="1" spans="1:49"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row>
    <row r="501" ht="12.75" customHeight="1" spans="1:49"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row>
    <row r="502" ht="12.75" customHeight="1" spans="1:49"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row>
    <row r="503" ht="12.75" customHeight="1" spans="1:49"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row>
    <row r="504" ht="12.75" customHeight="1" spans="1:49"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row>
    <row r="505" ht="12.75" customHeight="1" spans="1:49"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row>
    <row r="506" ht="12.75" customHeight="1" spans="1:49"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row>
    <row r="507" ht="12.75" customHeight="1" spans="1:49"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row>
    <row r="508" ht="12.75" customHeight="1" spans="1:49"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row>
    <row r="509" ht="12.75" customHeight="1" spans="1:49"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row>
    <row r="510" ht="12.75" customHeight="1" spans="1:49"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row>
    <row r="511" ht="12.75" customHeight="1" spans="1:49"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row>
    <row r="512" ht="12.75" customHeight="1" spans="1:49"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row>
    <row r="513" ht="12.75" customHeight="1" spans="1:49"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row>
    <row r="514" ht="12.75" customHeight="1" spans="1:49"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row>
    <row r="515" ht="12.75" customHeight="1" spans="1:49"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row>
    <row r="516" ht="12.75" customHeight="1" spans="1:49"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row>
    <row r="517" ht="12.75" customHeight="1" spans="1:49"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row>
    <row r="518" ht="12.75" customHeight="1" spans="1:49"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row>
    <row r="519" ht="12.75" customHeight="1" spans="1:49"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row>
    <row r="520" ht="12.75" customHeight="1" spans="1:49"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row>
    <row r="521" ht="12.75" customHeight="1" spans="1:49"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row>
    <row r="522" ht="12.75" customHeight="1" spans="1:49"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row>
    <row r="523" ht="12.75" customHeight="1" spans="1:49"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row>
    <row r="524" ht="12.75" customHeight="1" spans="1:49"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row>
    <row r="525" ht="12.75" customHeight="1" spans="1:49"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row>
    <row r="526" ht="12.75" customHeight="1" spans="1:49"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row>
    <row r="527" ht="12.75" customHeight="1" spans="1:49"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row>
    <row r="528" ht="12.75" customHeight="1" spans="1:49"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row>
    <row r="529" ht="12.75" customHeight="1" spans="1:49"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row>
    <row r="530" ht="12.75" customHeight="1" spans="1:49"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row>
    <row r="531" ht="12.75" customHeight="1" spans="1:49"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row>
    <row r="532" ht="12.75" customHeight="1" spans="1:49"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row>
    <row r="533" ht="12.75" customHeight="1" spans="1:49"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row>
    <row r="534" ht="12.75" customHeight="1" spans="1:49"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row>
    <row r="535" ht="12.75" customHeight="1" spans="1:49"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row>
    <row r="536" ht="12.75" customHeight="1" spans="1:49"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row>
    <row r="537" ht="12.75" customHeight="1" spans="1:49"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row>
    <row r="538" ht="12.75" customHeight="1" spans="1:49"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row>
    <row r="539" ht="12.75" customHeight="1" spans="1:49"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row>
    <row r="540" ht="12.75" customHeight="1" spans="1:49"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row>
    <row r="541" ht="12.75" customHeight="1" spans="1:49"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row>
    <row r="542" ht="12.75" customHeight="1" spans="1:49"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row>
    <row r="543" ht="12.75" customHeight="1" spans="1:49"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row>
    <row r="544" ht="12.75" customHeight="1" spans="1:49"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row>
    <row r="545" ht="12.75" customHeight="1" spans="1:49"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row>
    <row r="546" ht="12.75" customHeight="1" spans="1:49"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row>
    <row r="547" ht="12.75" customHeight="1" spans="1:49"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row>
    <row r="548" ht="12.75" customHeight="1" spans="1:49"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row>
    <row r="549" ht="12.75" customHeight="1" spans="1:49"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row>
    <row r="550" ht="12.75" customHeight="1" spans="1:49"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row>
    <row r="551" ht="12.75" customHeight="1" spans="1:49"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row>
    <row r="552" ht="12.75" customHeight="1" spans="1:49"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row>
    <row r="553" ht="12.75" customHeight="1" spans="1:49"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row>
    <row r="554" ht="12.75" customHeight="1" spans="1:49"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row>
    <row r="555" ht="12.75" customHeight="1" spans="1:49"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row>
    <row r="556" ht="12.75" customHeight="1" spans="1:49"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row>
    <row r="557" ht="12.75" customHeight="1" spans="1:49"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row>
    <row r="558" ht="12.75" customHeight="1" spans="1:49"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row>
    <row r="559" ht="12.75" customHeight="1" spans="1:49"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row>
    <row r="560" ht="12.75" customHeight="1" spans="1:49"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row>
    <row r="561" ht="12.75" customHeight="1" spans="1:49"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row>
    <row r="562" ht="12.75" customHeight="1" spans="1:49"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row>
    <row r="563" ht="12.75" customHeight="1" spans="1:49"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row>
    <row r="564" ht="12.75" customHeight="1" spans="1:49"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row>
    <row r="565" ht="12.75" customHeight="1" spans="1:49"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row>
    <row r="566" ht="12.75" customHeight="1" spans="1:49"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row>
    <row r="567" ht="12.75" customHeight="1" spans="1:49"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row>
    <row r="568" ht="12.75" customHeight="1" spans="1:49"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row>
    <row r="569" ht="12.75" customHeight="1" spans="1:49"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row>
    <row r="570" ht="12.75" customHeight="1" spans="1:49"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row>
    <row r="571" ht="12.75" customHeight="1" spans="1:49"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row>
    <row r="572" ht="12.75" customHeight="1" spans="1:49"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row>
    <row r="573" ht="12.75" customHeight="1" spans="1:49"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row>
    <row r="574" ht="12.75" customHeight="1" spans="1:49"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row>
    <row r="575" ht="12.75" customHeight="1" spans="1:49"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row>
    <row r="576" ht="12.75" customHeight="1" spans="1:49"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row>
    <row r="577" ht="12.75" customHeight="1" spans="1:49"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row>
    <row r="578" ht="12.75" customHeight="1" spans="1:49"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row>
    <row r="579" ht="12.75" customHeight="1" spans="1:49"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row>
    <row r="580" ht="12.75" customHeight="1" spans="1:49"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row>
    <row r="581" ht="12.75" customHeight="1" spans="1:49"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row>
    <row r="582" ht="12.75" customHeight="1" spans="1:49"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row>
    <row r="583" ht="12.75" customHeight="1" spans="1:49"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row>
    <row r="584" ht="12.75" customHeight="1" spans="1:49"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row>
    <row r="585" ht="12.75" customHeight="1" spans="1:49"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row>
    <row r="586" ht="12.75" customHeight="1" spans="1:49"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row>
    <row r="587" ht="12.75" customHeight="1" spans="1:49"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row>
    <row r="588" ht="12.75" customHeight="1" spans="1:49"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row>
    <row r="589" ht="12.75" customHeight="1" spans="1:49"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row>
    <row r="590" ht="12.75" customHeight="1" spans="1:49"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row>
    <row r="591" ht="12.75" customHeight="1" spans="1:49"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row>
    <row r="592" ht="12.75" customHeight="1" spans="1:49"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row>
    <row r="593" ht="12.75" customHeight="1" spans="1:49"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row>
    <row r="594" ht="12.75" customHeight="1" spans="1:49"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row>
    <row r="595" ht="12.75" customHeight="1" spans="1:49"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row>
    <row r="596" ht="12.75" customHeight="1" spans="1:49"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row>
    <row r="597" ht="12.75" customHeight="1" spans="1:49"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row>
    <row r="598" ht="12.75" customHeight="1" spans="1:49"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row>
    <row r="599" ht="12.75" customHeight="1" spans="1:49"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row>
    <row r="600" ht="12.75" customHeight="1" spans="1:49"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row>
    <row r="601" ht="12.75" customHeight="1" spans="1:49"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row>
    <row r="602" ht="12.75" customHeight="1" spans="1:49"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row>
    <row r="603" ht="12.75" customHeight="1" spans="1:49"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row>
    <row r="604" ht="12.75" customHeight="1" spans="1:49"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row>
    <row r="605" ht="12.75" customHeight="1" spans="1:49"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row>
    <row r="606" ht="12.75" customHeight="1" spans="1:49"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row>
    <row r="607" ht="12.75" customHeight="1" spans="1:49"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row>
    <row r="608" ht="12.75" customHeight="1" spans="1:49"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row>
    <row r="609" ht="12.75" customHeight="1" spans="1:49"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row>
    <row r="610" ht="12.75" customHeight="1" spans="1:49"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row>
    <row r="611" ht="12.75" customHeight="1" spans="1:49"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row>
    <row r="612" ht="12.75" customHeight="1" spans="1:49"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row>
    <row r="613" ht="12.75" customHeight="1" spans="1:49"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row>
    <row r="614" ht="12.75" customHeight="1" spans="1:49"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row>
    <row r="615" ht="12.75" customHeight="1" spans="1:49"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row>
    <row r="616" ht="12.75" customHeight="1" spans="1:49"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row>
    <row r="617" ht="12.75" customHeight="1" spans="1:49"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row>
    <row r="618" ht="12.75" customHeight="1" spans="1:49"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row>
    <row r="619" ht="12.75" customHeight="1" spans="1:49"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row>
    <row r="620" ht="12.75" customHeight="1" spans="1:49"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row>
    <row r="621" ht="12.75" customHeight="1" spans="1:49"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row>
    <row r="622" ht="12.75" customHeight="1" spans="1:49"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row>
    <row r="623" ht="12.75" customHeight="1" spans="1:49"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row>
    <row r="624" ht="12.75" customHeight="1" spans="1:49"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row>
    <row r="625" ht="12.75" customHeight="1" spans="1:49"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row>
    <row r="626" ht="12.75" customHeight="1" spans="1:49"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row>
    <row r="627" ht="12.75" customHeight="1" spans="1:49"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row>
    <row r="628" ht="12.75" customHeight="1" spans="1:49"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row>
    <row r="629" ht="12.75" customHeight="1" spans="1:49"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row>
    <row r="630" ht="12.75" customHeight="1" spans="1:49"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row>
    <row r="631" ht="12.75" customHeight="1" spans="1:49"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row>
    <row r="632" ht="12.75" customHeight="1" spans="1:49"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row>
    <row r="633" ht="12.75" customHeight="1" spans="1:49"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row>
    <row r="634" ht="12.75" customHeight="1" spans="1:49"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row>
    <row r="635" ht="12.75" customHeight="1" spans="1:49"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row>
    <row r="636" ht="12.75" customHeight="1" spans="1:49"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row>
    <row r="637" ht="12.75" customHeight="1" spans="1:49"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row>
    <row r="638" ht="12.75" customHeight="1" spans="1:49"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row>
    <row r="639" ht="12.75" customHeight="1" spans="1:49"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row>
    <row r="640" ht="12.75" customHeight="1" spans="1:49"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row>
    <row r="641" ht="12.75" customHeight="1" spans="1:49"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row>
    <row r="642" ht="12.75" customHeight="1" spans="1:49"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row>
    <row r="643" ht="12.75" customHeight="1" spans="1:49"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row>
    <row r="644" ht="12.75" customHeight="1" spans="1:49"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row>
    <row r="645" ht="12.75" customHeight="1" spans="1:49"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row>
    <row r="646" ht="12.75" customHeight="1" spans="1:49"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row>
    <row r="647" ht="12.75" customHeight="1" spans="1:49"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row>
    <row r="648" ht="12.75" customHeight="1" spans="1:49"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row>
    <row r="649" ht="12.75" customHeight="1" spans="1:49"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row>
    <row r="650" ht="12.75" customHeight="1" spans="1:49"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row>
    <row r="651" ht="12.75" customHeight="1" spans="1:49"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row>
    <row r="652" ht="12.75" customHeight="1" spans="1:49"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row>
    <row r="653" ht="12.75" customHeight="1" spans="1:49"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row>
    <row r="654" ht="12.75" customHeight="1" spans="1:49"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row>
    <row r="655" ht="12.75" customHeight="1" spans="1:49"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row>
    <row r="656" ht="12.75" customHeight="1" spans="1:49"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row>
    <row r="657" ht="12.75" customHeight="1" spans="1:49"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row>
    <row r="658" ht="12.75" customHeight="1" spans="1:49"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row>
    <row r="659" ht="12.75" customHeight="1" spans="1:49"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row>
    <row r="660" ht="12.75" customHeight="1" spans="1:49"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row>
    <row r="661" ht="12.75" customHeight="1" spans="1:49"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row>
    <row r="662" ht="12.75" customHeight="1" spans="1:49"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row>
    <row r="663" ht="12.75" customHeight="1" spans="1:49"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row>
    <row r="664" ht="12.75" customHeight="1" spans="1:49"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row>
    <row r="665" ht="12.75" customHeight="1" spans="1:49"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row>
    <row r="666" ht="12.75" customHeight="1" spans="1:49"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row>
    <row r="667" ht="12.75" customHeight="1" spans="1:49"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row>
    <row r="668" ht="12.75" customHeight="1" spans="1:49"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row>
    <row r="669" ht="12.75" customHeight="1" spans="1:49"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row>
    <row r="670" ht="12.75" customHeight="1" spans="1:49"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row>
    <row r="671" ht="12.75" customHeight="1" spans="1:49"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row>
    <row r="672" ht="12.75" customHeight="1" spans="1:49"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row>
    <row r="673" ht="12.75" customHeight="1" spans="1:49"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row>
    <row r="674" ht="12.75" customHeight="1" spans="1:49"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row>
    <row r="675" ht="12.75" customHeight="1" spans="1:49"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row>
    <row r="676" ht="12.75" customHeight="1" spans="1:49"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row>
    <row r="677" ht="12.75" customHeight="1" spans="1:49"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row>
    <row r="678" ht="12.75" customHeight="1" spans="1:49"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row>
    <row r="679" ht="12.75" customHeight="1" spans="1:49"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row>
    <row r="680" ht="12.75" customHeight="1" spans="1:49"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row>
    <row r="681" ht="12.75" customHeight="1" spans="1:49"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row>
    <row r="682" ht="12.75" customHeight="1" spans="1:49"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row>
    <row r="683" ht="12.75" customHeight="1" spans="1:49"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row>
    <row r="684" ht="12.75" customHeight="1" spans="1:49"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row>
    <row r="685" ht="12.75" customHeight="1" spans="1:49"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row>
    <row r="686" ht="12.75" customHeight="1" spans="1:49"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row>
    <row r="687" ht="12.75" customHeight="1" spans="1:49"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row>
    <row r="688" ht="12.75" customHeight="1" spans="1:49"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row>
    <row r="689" ht="12.75" customHeight="1" spans="1:49"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row>
    <row r="690" ht="12.75" customHeight="1" spans="1:49"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row>
    <row r="691" ht="12.75" customHeight="1" spans="1:49"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row>
    <row r="692" ht="12.75" customHeight="1" spans="1:49"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row>
    <row r="693" ht="12.75" customHeight="1" spans="1:49"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row>
    <row r="694" ht="12.75" customHeight="1" spans="1:49"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row>
    <row r="695" ht="12.75" customHeight="1" spans="1:49"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row>
    <row r="696" ht="12.75" customHeight="1" spans="1:49"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row>
    <row r="697" ht="12.75" customHeight="1" spans="1:49"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row>
    <row r="698" ht="12.75" customHeight="1" spans="1:49"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row>
    <row r="699" ht="12.75" customHeight="1" spans="1:49"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row>
    <row r="700" ht="12.75" customHeight="1" spans="1:49"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row>
    <row r="701" ht="12.75" customHeight="1" spans="1:49"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row>
    <row r="702" ht="12.75" customHeight="1" spans="1:49"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row>
    <row r="703" ht="12.75" customHeight="1" spans="1:49"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row>
    <row r="704" ht="12.75" customHeight="1" spans="1:49"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row>
    <row r="705" ht="12.75" customHeight="1" spans="1:49"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row>
    <row r="706" ht="12.75" customHeight="1" spans="1:49"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row>
    <row r="707" ht="12.75" customHeight="1" spans="1:49"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row>
    <row r="708" ht="12.75" customHeight="1" spans="1:49"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row>
    <row r="709" ht="12.75" customHeight="1" spans="1:49"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row>
    <row r="710" ht="12.75" customHeight="1" spans="1:49"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row>
    <row r="711" ht="12.75" customHeight="1" spans="1:49"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row>
    <row r="712" ht="12.75" customHeight="1" spans="1:49"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row>
    <row r="713" ht="12.75" customHeight="1" spans="1:49"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row>
    <row r="714" ht="12.75" customHeight="1" spans="1:49"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row>
    <row r="715" ht="12.75" customHeight="1" spans="1:49"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row>
    <row r="716" ht="12.75" customHeight="1" spans="1:49"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row>
    <row r="717" ht="12.75" customHeight="1" spans="1:49"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row>
    <row r="718" ht="12.75" customHeight="1" spans="1:49"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row>
    <row r="719" ht="12.75" customHeight="1" spans="1:49"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row>
    <row r="720" ht="12.75" customHeight="1" spans="1:49"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row>
    <row r="721" ht="12.75" customHeight="1" spans="1:49"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row>
    <row r="722" ht="12.75" customHeight="1" spans="1:49"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row>
    <row r="723" ht="12.75" customHeight="1" spans="1:49"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row>
    <row r="724" ht="12.75" customHeight="1" spans="1:49"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row>
    <row r="725" ht="12.75" customHeight="1" spans="1:49"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row>
    <row r="726" ht="12.75" customHeight="1" spans="1:49"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row>
    <row r="727" ht="12.75" customHeight="1" spans="1:49"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row>
    <row r="728" ht="12.75" customHeight="1" spans="1:49"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row>
    <row r="729" ht="12.75" customHeight="1" spans="1:49"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row>
    <row r="730" ht="12.75" customHeight="1" spans="1:49"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row>
    <row r="731" ht="12.75" customHeight="1" spans="1:49"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row>
    <row r="732" ht="12.75" customHeight="1" spans="1:49"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row>
    <row r="733" ht="12.75" customHeight="1" spans="1:49"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row>
    <row r="734" ht="12.75" customHeight="1" spans="1:49"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row>
    <row r="735" ht="12.75" customHeight="1" spans="1:49"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row>
    <row r="736" ht="12.75" customHeight="1" spans="1:49"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row>
    <row r="737" ht="12.75" customHeight="1" spans="1:49"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row>
    <row r="738" ht="12.75" customHeight="1" spans="1:49"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row>
    <row r="739" ht="12.75" customHeight="1" spans="1:49"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row>
    <row r="740" ht="12.75" customHeight="1" spans="1:49"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row>
    <row r="741" ht="12.75" customHeight="1" spans="1:49"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row>
    <row r="742" ht="12.75" customHeight="1" spans="1:49"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row>
    <row r="743" ht="12.75" customHeight="1" spans="1:49"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row>
    <row r="744" ht="12.75" customHeight="1" spans="1:49"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row>
    <row r="745" ht="12.75" customHeight="1" spans="1:49"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row>
    <row r="746" ht="12.75" customHeight="1" spans="1:49"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row>
    <row r="747" ht="12.75" customHeight="1" spans="1:49"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row>
    <row r="748" ht="12.75" customHeight="1" spans="1:49"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row>
    <row r="749" ht="12.75" customHeight="1" spans="1:49"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row>
    <row r="750" ht="12.75" customHeight="1" spans="1:49"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row>
    <row r="751" ht="12.75" customHeight="1" spans="1:49"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row>
    <row r="752" ht="12.75" customHeight="1" spans="1:49"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row>
    <row r="753" ht="12.75" customHeight="1" spans="1:49"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row>
    <row r="754" ht="12.75" customHeight="1" spans="1:49"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row>
    <row r="755" ht="12.75" customHeight="1" spans="1:49"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row>
    <row r="756" ht="12.75" customHeight="1" spans="1:49"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row>
    <row r="757" ht="12.75" customHeight="1" spans="1:49"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row>
    <row r="758" ht="12.75" customHeight="1" spans="1:49"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row>
    <row r="759" ht="12.75" customHeight="1" spans="1:49"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row>
    <row r="760" ht="12.75" customHeight="1" spans="1:49"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row>
    <row r="761" ht="12.75" customHeight="1" spans="1:49"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row>
    <row r="762" ht="12.75" customHeight="1" spans="1:49"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row>
    <row r="763" ht="12.75" customHeight="1" spans="1:49"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row>
    <row r="764" ht="12.75" customHeight="1" spans="1:49"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row>
    <row r="765" ht="12.75" customHeight="1" spans="1:49"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row>
    <row r="766" ht="12.75" customHeight="1" spans="1:49"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row>
    <row r="767" ht="12.75" customHeight="1" spans="1:49"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row>
    <row r="768" ht="12.75" customHeight="1" spans="1:49"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row>
    <row r="769" ht="12.75" customHeight="1" spans="1:49"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row>
    <row r="770" ht="12.75" customHeight="1" spans="1:49"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row>
    <row r="771" ht="12.75" customHeight="1" spans="1:49"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row>
    <row r="772" ht="12.75" customHeight="1" spans="1:49"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row>
    <row r="773" ht="12.75" customHeight="1" spans="1:49"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row>
    <row r="774" ht="12.75" customHeight="1" spans="1:49"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row>
    <row r="775" ht="12.75" customHeight="1" spans="1:49"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row>
    <row r="776" ht="12.75" customHeight="1" spans="1:49"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row>
    <row r="777" ht="12.75" customHeight="1" spans="1:49"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row>
    <row r="778" ht="12.75" customHeight="1" spans="1:49"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row>
    <row r="779" ht="12.75" customHeight="1" spans="1:49"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row>
    <row r="780" ht="12.75" customHeight="1" spans="1:49"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row>
    <row r="781" ht="12.75" customHeight="1" spans="1:49"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row>
    <row r="782" ht="12.75" customHeight="1" spans="1:49"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row>
    <row r="783" ht="12.75" customHeight="1" spans="1:49"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row>
    <row r="784" ht="12.75" customHeight="1" spans="1:49"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row>
    <row r="785" ht="12.75" customHeight="1" spans="1:49"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row>
    <row r="786" ht="12.75" customHeight="1" spans="1:49"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row>
    <row r="787" ht="12.75" customHeight="1" spans="1:49"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row>
    <row r="788" ht="12.75" customHeight="1" spans="1:49"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row>
    <row r="789" ht="12.75" customHeight="1" spans="1:49"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row>
    <row r="790" ht="12.75" customHeight="1" spans="1:49"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row>
    <row r="791" ht="12.75" customHeight="1" spans="1:49"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row>
    <row r="792" ht="12.75" customHeight="1" spans="1:49"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row>
    <row r="793" ht="12.75" customHeight="1" spans="1:49"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row>
    <row r="794" ht="12.75" customHeight="1" spans="1:49"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row>
    <row r="795" ht="12.75" customHeight="1" spans="1:49"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row>
    <row r="796" ht="12.75" customHeight="1" spans="1:49"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row>
    <row r="797" ht="12.75" customHeight="1" spans="1:49"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row>
    <row r="798" ht="12.75" customHeight="1" spans="1:49"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row>
    <row r="799" ht="12.75" customHeight="1" spans="1:49"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row>
    <row r="800" ht="12.75" customHeight="1" spans="1:49"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row>
    <row r="801" ht="12.75" customHeight="1" spans="1:49"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row>
    <row r="802" ht="12.75" customHeight="1" spans="1:49"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row>
    <row r="803" ht="12.75" customHeight="1" spans="1:49"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row>
    <row r="804" ht="12.75" customHeight="1" spans="1:49"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row>
    <row r="805" ht="12.75" customHeight="1" spans="1:49"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row>
    <row r="806" ht="12.75" customHeight="1" spans="1:49"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row>
    <row r="807" ht="12.75" customHeight="1" spans="1:49"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row>
    <row r="808" ht="12.75" customHeight="1" spans="1:49"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row>
    <row r="809" ht="12.75" customHeight="1" spans="1:49"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row>
    <row r="810" ht="12.75" customHeight="1" spans="1:49"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row>
    <row r="811" ht="12.75" customHeight="1" spans="1:49"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row>
    <row r="812" ht="12.75" customHeight="1" spans="1:49"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row>
    <row r="813" ht="12.75" customHeight="1" spans="1:49"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row>
    <row r="814" ht="12.75" customHeight="1" spans="1:49"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row>
    <row r="815" ht="12.75" customHeight="1" spans="1:49"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row>
    <row r="816" ht="12.75" customHeight="1" spans="1:49"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row>
    <row r="817" ht="12.75" customHeight="1" spans="1:49"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row>
    <row r="818" ht="12.75" customHeight="1" spans="1:49"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row>
    <row r="819" ht="12.75" customHeight="1" spans="1:49"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row>
    <row r="820" ht="12.75" customHeight="1" spans="1:49"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row>
    <row r="821" ht="12.75" customHeight="1" spans="1:49"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row>
    <row r="822" ht="12.75" customHeight="1" spans="1:49"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row>
    <row r="823" ht="12.75" customHeight="1" spans="1:49"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row>
    <row r="824" ht="12.75" customHeight="1" spans="1:49"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row>
    <row r="825" ht="12.75" customHeight="1" spans="1:49"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row>
    <row r="826" ht="12.75" customHeight="1" spans="1:49"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row>
    <row r="827" ht="12.75" customHeight="1" spans="1:49"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row>
    <row r="828" ht="12.75" customHeight="1" spans="1:49"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row>
    <row r="829" ht="12.75" customHeight="1" spans="1:49"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row>
    <row r="830" ht="12.75" customHeight="1" spans="1:49"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row>
    <row r="831" ht="12.75" customHeight="1" spans="1:49"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row>
    <row r="832" ht="12.75" customHeight="1" spans="1:49"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row>
    <row r="833" ht="12.75" customHeight="1" spans="1:49"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row>
    <row r="834" ht="12.75" customHeight="1" spans="1:49"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row>
    <row r="835" ht="12.75" customHeight="1" spans="1:49"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row>
    <row r="836" ht="12.75" customHeight="1" spans="1:49"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row>
    <row r="837" ht="12.75" customHeight="1" spans="1:49"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row>
    <row r="838" ht="12.75" customHeight="1" spans="1:49"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row>
    <row r="839" ht="12.75" customHeight="1" spans="1:49"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row>
    <row r="840" ht="12.75" customHeight="1" spans="1:49"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row>
    <row r="841" ht="12.75" customHeight="1" spans="1:49"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row>
    <row r="842" ht="12.75" customHeight="1" spans="1:49"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row>
    <row r="843" ht="12.75" customHeight="1" spans="1:49"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row>
    <row r="844" ht="12.75" customHeight="1" spans="1:49"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row>
    <row r="845" ht="12.75" customHeight="1" spans="1:49"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row>
    <row r="846" ht="12.75" customHeight="1" spans="1:49"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row>
    <row r="847" ht="12.75" customHeight="1" spans="1:49"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row>
    <row r="848" ht="12.75" customHeight="1" spans="1:49"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row>
    <row r="849" ht="12.75" customHeight="1" spans="1:49"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row>
    <row r="850" ht="12.75" customHeight="1" spans="1:49"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row>
    <row r="851" ht="12.75" customHeight="1" spans="1:49"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row>
    <row r="852" ht="12.75" customHeight="1" spans="1:49"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row>
    <row r="853" ht="12.75" customHeight="1" spans="1:49"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row>
    <row r="854" ht="12.75" customHeight="1" spans="1:49"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row>
    <row r="855" ht="12.75" customHeight="1" spans="1:49"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row>
    <row r="856" ht="12.75" customHeight="1" spans="1:49"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row>
    <row r="857" ht="12.75" customHeight="1" spans="1:49"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row>
    <row r="858" ht="12.75" customHeight="1" spans="1:49"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row>
    <row r="859" ht="12.75" customHeight="1" spans="1:49"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row>
    <row r="860" ht="12.75" customHeight="1" spans="1:49"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row>
    <row r="861" ht="12.75" customHeight="1" spans="1:49"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row>
    <row r="862" ht="12.75" customHeight="1" spans="1:49"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row>
    <row r="863" ht="12.75" customHeight="1" spans="1:49"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row>
    <row r="864" ht="12.75" customHeight="1" spans="1:49"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row>
    <row r="865" ht="12.75" customHeight="1" spans="1:49"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row>
    <row r="866" ht="12.75" customHeight="1" spans="1:49"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row>
    <row r="867" ht="12.75" customHeight="1" spans="1:49"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row>
    <row r="868" ht="12.75" customHeight="1" spans="1:49"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row>
    <row r="869" ht="12.75" customHeight="1" spans="1:49"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row>
    <row r="870" ht="12.75" customHeight="1" spans="1:49"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row>
    <row r="871" ht="12.75" customHeight="1" spans="1:49"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row>
    <row r="872" ht="12.75" customHeight="1" spans="1:49"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row>
    <row r="873" ht="12.75" customHeight="1" spans="1:49"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row>
    <row r="874" ht="12.75" customHeight="1" spans="1:49"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row>
    <row r="875" ht="12.75" customHeight="1" spans="1:49"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row>
    <row r="876" ht="12.75" customHeight="1" spans="1:49"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row>
    <row r="877" ht="12.75" customHeight="1" spans="1:49"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row>
    <row r="878" ht="12.75" customHeight="1" spans="1:49"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row>
    <row r="879" ht="12.75" customHeight="1" spans="1:49"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row>
    <row r="880" ht="12.75" customHeight="1" spans="1:49"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row>
    <row r="881" ht="12.75" customHeight="1" spans="1:49"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row>
    <row r="882" ht="12.75" customHeight="1" spans="1:49"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row>
    <row r="883" ht="12.75" customHeight="1" spans="1:49"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row>
    <row r="884" ht="12.75" customHeight="1" spans="1:49"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row>
    <row r="885" ht="12.75" customHeight="1" spans="1:49"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row>
    <row r="886" ht="12.75" customHeight="1" spans="1:49"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row>
    <row r="887" ht="12.75" customHeight="1" spans="1:49"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row>
    <row r="888" ht="12.75" customHeight="1" spans="1:49"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row>
    <row r="889" ht="12.75" customHeight="1" spans="1:49"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row>
    <row r="890" ht="12.75" customHeight="1" spans="1:49"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row>
    <row r="891" ht="12.75" customHeight="1" spans="1:49"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row>
    <row r="892" ht="12.75" customHeight="1" spans="1:49"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row>
    <row r="893" ht="12.75" customHeight="1" spans="1:49"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row>
    <row r="894" ht="12.75" customHeight="1" spans="1:49"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row>
    <row r="895" ht="12.75" customHeight="1" spans="1:49"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row>
    <row r="896" ht="12.75" customHeight="1" spans="1:49"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row>
    <row r="897" ht="12.75" customHeight="1" spans="1:49"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row>
    <row r="898" ht="12.75" customHeight="1" spans="1:49"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row>
    <row r="899" ht="12.75" customHeight="1" spans="1:49"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row>
    <row r="900" ht="12.75" customHeight="1" spans="1:49"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row>
    <row r="901" ht="12.75" customHeight="1" spans="1:49"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row>
    <row r="902" ht="12.75" customHeight="1" spans="1:49"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row>
    <row r="903" ht="12.75" customHeight="1" spans="1:49"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row>
    <row r="904" ht="12.75" customHeight="1" spans="1:49"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row>
    <row r="905" ht="12.75" customHeight="1" spans="1:49"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row>
    <row r="906" ht="12.75" customHeight="1" spans="1:49"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row>
    <row r="907" ht="12.75" customHeight="1" spans="1:49"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row>
    <row r="908" ht="12.75" customHeight="1" spans="1:49"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row>
    <row r="909" ht="12.75" customHeight="1" spans="1:49"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row>
    <row r="910" ht="12.75" customHeight="1" spans="1:49"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row>
    <row r="911" ht="12.75" customHeight="1" spans="1:49"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row>
    <row r="912" ht="12.75" customHeight="1" spans="1:49"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row>
    <row r="913" ht="12.75" customHeight="1" spans="1:49"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row>
    <row r="914" ht="12.75" customHeight="1" spans="1:49"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row>
    <row r="915" ht="12.75" customHeight="1" spans="1:49"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row>
    <row r="916" ht="12.75" customHeight="1" spans="1:49"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row>
    <row r="917" ht="12.75" customHeight="1" spans="1:49"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row>
    <row r="918" ht="12.75" customHeight="1" spans="1:49"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row>
    <row r="919" ht="12.75" customHeight="1" spans="1:49"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row>
    <row r="920" ht="12.75" customHeight="1" spans="1:49"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row>
    <row r="921" ht="12.75" customHeight="1" spans="1:49"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row>
    <row r="922" ht="12.75" customHeight="1" spans="1:49"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row>
    <row r="923" ht="12.75" customHeight="1" spans="1:49"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row>
    <row r="924" ht="12.75" customHeight="1" spans="1:49"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row>
    <row r="925" ht="12.75" customHeight="1" spans="1:49"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row>
    <row r="926" ht="12.75" customHeight="1" spans="1:49"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row>
    <row r="927" ht="12.75" customHeight="1" spans="1:49"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row>
    <row r="928" ht="12.75" customHeight="1" spans="1:49"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row>
    <row r="929" ht="12.75" customHeight="1" spans="1:49"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row>
    <row r="930" ht="12.75" customHeight="1" spans="1:49"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row>
    <row r="931" ht="12.75" customHeight="1" spans="1:49"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row>
    <row r="932" ht="12.75" customHeight="1" spans="1:49"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row>
    <row r="933" ht="12.75" customHeight="1" spans="1:49"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row>
    <row r="934" ht="12.75" customHeight="1" spans="1:49"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row>
    <row r="935" ht="12.75" customHeight="1" spans="1:49"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row>
    <row r="936" ht="12.75" customHeight="1" spans="1:49"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row>
    <row r="937" ht="12.75" customHeight="1" spans="1:49"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row>
    <row r="938" ht="12.75" customHeight="1" spans="1:49"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row>
    <row r="939" ht="12.75" customHeight="1" spans="1:49"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row>
    <row r="940" ht="12.75" customHeight="1" spans="1:49"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row>
    <row r="941" ht="12.75" customHeight="1" spans="1:49"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row>
    <row r="942" ht="12.75" customHeight="1" spans="1:49"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row>
    <row r="943" ht="12.75" customHeight="1" spans="1:49"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row>
    <row r="944" ht="12.75" customHeight="1" spans="1:49"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row>
    <row r="945" ht="12.75" customHeight="1" spans="1:49"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row>
    <row r="946" ht="12.75" customHeight="1" spans="1:49"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row>
    <row r="947" ht="12.75" customHeight="1" spans="1:49"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row>
    <row r="948" ht="12.75" customHeight="1" spans="1:49"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row>
    <row r="949" ht="12.75" customHeight="1" spans="1:49"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row>
    <row r="950" ht="12.75" customHeight="1" spans="1:49"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row>
    <row r="951" ht="12.75" customHeight="1" spans="1:49"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row>
    <row r="952" ht="12.75" customHeight="1" spans="1:49"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row>
    <row r="953" ht="12.75" customHeight="1" spans="1:49"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row>
    <row r="954" ht="12.75" customHeight="1" spans="1:49"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row>
    <row r="955" ht="12.75" customHeight="1" spans="1:49"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row>
    <row r="956" ht="12.75" customHeight="1" spans="1:49"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row>
    <row r="957" ht="12.75" customHeight="1" spans="1:49"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row>
    <row r="958" ht="12.75" customHeight="1" spans="1:49"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row>
    <row r="959" ht="12.75" customHeight="1" spans="1:49"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row>
    <row r="960" ht="12.75" customHeight="1" spans="1:49"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row>
    <row r="961" ht="12.75" customHeight="1" spans="1:49"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row>
    <row r="962" ht="12.75" customHeight="1" spans="1:49"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row>
    <row r="963" ht="12.75" customHeight="1" spans="1:49"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row>
    <row r="964" ht="12.75" customHeight="1" spans="1:49"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row>
    <row r="965" ht="12.75" customHeight="1" spans="1:49"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row>
    <row r="966" ht="12.75" customHeight="1" spans="1:49"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row>
    <row r="967" ht="12.75" customHeight="1" spans="1:49"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row>
    <row r="968" ht="12.75" customHeight="1" spans="1:49"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row>
    <row r="969" ht="12.75" customHeight="1" spans="1:49"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row>
    <row r="970" ht="12.75" customHeight="1" spans="1:49"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row>
    <row r="971" ht="12.75" customHeight="1" spans="1:49"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row>
    <row r="972" ht="12.75" customHeight="1" spans="1:49"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row>
    <row r="973" ht="12.75" customHeight="1" spans="1:49"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row>
    <row r="974" ht="12.75" customHeight="1" spans="1:49"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row>
    <row r="975" ht="12.75" customHeight="1" spans="1:49"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row>
    <row r="976" ht="12.75" customHeight="1" spans="1:49"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row>
    <row r="977" ht="12.75" customHeight="1" spans="1:49"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row>
    <row r="978" ht="12.75" customHeight="1" spans="1:49"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row>
    <row r="979" ht="12.75" customHeight="1" spans="1:49"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row>
    <row r="980" ht="12.75" customHeight="1" spans="1:49"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row>
    <row r="981" ht="12.75" customHeight="1" spans="1:49"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row>
    <row r="982" ht="12.75" customHeight="1" spans="1:49"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row>
    <row r="983" ht="12.75" customHeight="1" spans="1:49"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row>
    <row r="984" ht="12.75" customHeight="1" spans="1:49"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row>
    <row r="985" ht="12.75" customHeight="1" spans="1:49"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row>
    <row r="986" ht="12.75" customHeight="1" spans="1:49"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row>
    <row r="987" ht="12.75" customHeight="1" spans="1:49"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row>
    <row r="988" ht="12.75" customHeight="1" spans="1:49"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row>
    <row r="989" ht="12.75" customHeight="1" spans="1:49"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row>
    <row r="990" ht="12.75" customHeight="1" spans="1:49"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row>
    <row r="991" ht="12.75" customHeight="1" spans="1:49"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row>
    <row r="992" ht="12.75" customHeight="1" spans="1:49"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row>
    <row r="993" ht="12.75" customHeight="1" spans="1:49"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row>
    <row r="994" ht="12.75" customHeight="1" spans="1:49"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row>
    <row r="995" ht="12.75" customHeight="1" spans="1:49"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row>
    <row r="996" ht="12.75" customHeight="1" spans="1:49"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row>
    <row r="997" ht="12.75" customHeight="1" spans="1:49"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row>
    <row r="998" ht="12.75" customHeight="1" spans="1:49"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row>
    <row r="999" ht="12.75" customHeight="1" spans="1:49"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row>
    <row r="1000" ht="12.75" customHeight="1" spans="1:49"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row>
    <row r="1001" ht="12.75" customHeight="1" spans="1:49"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row>
    <row r="1002" ht="12.75" customHeight="1" spans="1:49"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row>
    <row r="1003" ht="12.75" customHeight="1" spans="1:49"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row>
  </sheetData>
  <mergeCells count="36">
    <mergeCell ref="A1:AD1"/>
    <mergeCell ref="D3:H3"/>
    <mergeCell ref="I3:M3"/>
    <mergeCell ref="N3:AD3"/>
    <mergeCell ref="A5:V5"/>
    <mergeCell ref="AC5:AD5"/>
    <mergeCell ref="A7:N7"/>
    <mergeCell ref="AI33:AJ34"/>
    <mergeCell ref="AM33:AP34"/>
    <mergeCell ref="AG33:AG38"/>
    <mergeCell ref="AH33:AH34"/>
    <mergeCell ref="AK33:AK34"/>
    <mergeCell ref="AL33:AL34"/>
    <mergeCell ref="AI35:AJ37"/>
    <mergeCell ref="AM35:AP37"/>
    <mergeCell ref="AH35:AH38"/>
    <mergeCell ref="AK35:AK38"/>
    <mergeCell ref="AL35:AL37"/>
    <mergeCell ref="AI38:AJ38"/>
    <mergeCell ref="AM38:AP38"/>
    <mergeCell ref="D42:F42"/>
    <mergeCell ref="H42:I42"/>
    <mergeCell ref="J42:K42"/>
    <mergeCell ref="L42:M42"/>
    <mergeCell ref="M44:AC44"/>
    <mergeCell ref="G46:I46"/>
    <mergeCell ref="M46:V46"/>
    <mergeCell ref="AA46:AB46"/>
    <mergeCell ref="M48:AC48"/>
    <mergeCell ref="G50:I50"/>
    <mergeCell ref="M50:V50"/>
    <mergeCell ref="AA50:AB50"/>
    <mergeCell ref="G52:L52"/>
    <mergeCell ref="M52:Y52"/>
    <mergeCell ref="G54:I54"/>
    <mergeCell ref="AA54:AB54"/>
  </mergeCells>
  <pageMargins left="0.7874015748031497" right="0.3937007874015748" top="0.7874015748031497" bottom="0.3937007874015748" header="0" footer="0"/>
  <pageSetup paperSize="9" orientation="portrait" horizontalDpi="4294967295" verticalDpi="4294967295" scale="9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C745"/>
  <sheetViews>
    <sheetView workbookViewId="0" zoomScale="89" zoomScaleNormal="100" view="pageBreakPreview">
      <selection activeCell="A10" sqref="A10"/>
    </sheetView>
  </sheetViews>
  <sheetFormatPr defaultRowHeight="15" outlineLevelRow="0" outlineLevelCol="0" x14ac:dyDescent="0" defaultColWidth="14.42578125"/>
  <cols>
    <col min="1" max="4" width="4.7109375" style="137" customWidth="1"/>
    <col min="5" max="5" width="3.7109375" style="137" customWidth="1"/>
    <col min="6" max="6" width="5.7109375" style="137" customWidth="1"/>
    <col min="7" max="20" width="4.7109375" style="137" customWidth="1"/>
    <col min="21" max="22" width="5.7109375" style="137" customWidth="1"/>
    <col min="23" max="23" width="4.7109375" style="137" customWidth="1"/>
    <col min="24" max="29" width="8.7109375" style="137" customWidth="1"/>
    <col min="30" max="16384" width="14.42578125" style="137" customWidth="1"/>
  </cols>
  <sheetData>
    <row r="1" ht="12.75" customHeight="1" x14ac:dyDescent="0.25"/>
    <row r="2" ht="12.75" customHeight="1" spans="2:4" x14ac:dyDescent="0.25">
      <c r="B2" s="165" t="s">
        <v>206</v>
      </c>
      <c r="C2" s="166">
        <f>初期入力!B44</f>
        <v>103824</v>
      </c>
      <c r="D2" s="166"/>
    </row>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50.25" customHeight="1" spans="1:21" x14ac:dyDescent="0.25">
      <c r="A10" s="167" t="str">
        <f>初期入力!B3</f>
        <v>大阪市旭区新森　池田様邸新築工事						</v>
      </c>
      <c r="B10" s="167"/>
      <c r="C10" s="167"/>
      <c r="D10" s="167"/>
      <c r="E10" s="167"/>
      <c r="F10" s="167"/>
      <c r="G10" s="167"/>
      <c r="H10" s="167"/>
      <c r="I10" s="167"/>
      <c r="J10" s="167"/>
      <c r="K10" s="167"/>
      <c r="L10" s="167"/>
      <c r="M10" s="167"/>
      <c r="N10" s="167"/>
      <c r="O10" s="167"/>
      <c r="P10" s="167"/>
      <c r="Q10" s="167"/>
      <c r="R10" s="167"/>
      <c r="S10" s="167"/>
      <c r="T10" s="167"/>
      <c r="U10" s="167"/>
    </row>
    <row r="11" ht="12.75" customHeight="1" x14ac:dyDescent="0.25"/>
    <row r="12" ht="12.75" customHeight="1" x14ac:dyDescent="0.25"/>
    <row r="13" ht="12.75" customHeight="1" x14ac:dyDescent="0.25"/>
    <row r="14" ht="50.25" customHeight="1" spans="1:21" x14ac:dyDescent="0.25">
      <c r="A14" s="168" t="s">
        <v>1155</v>
      </c>
      <c r="B14" s="168"/>
      <c r="C14" s="168"/>
      <c r="D14" s="168"/>
      <c r="E14" s="168"/>
      <c r="F14" s="168"/>
      <c r="G14" s="168"/>
      <c r="H14" s="168"/>
      <c r="I14" s="168"/>
      <c r="J14" s="168"/>
      <c r="K14" s="168"/>
      <c r="L14" s="168"/>
      <c r="M14" s="168"/>
      <c r="N14" s="168"/>
      <c r="O14" s="168"/>
      <c r="P14" s="168"/>
      <c r="Q14" s="168"/>
      <c r="R14" s="168"/>
      <c r="S14" s="168"/>
      <c r="T14" s="168"/>
      <c r="U14" s="168"/>
    </row>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50.25" customHeight="1" spans="3:18" x14ac:dyDescent="0.25">
      <c r="C52" s="169" t="s">
        <v>208</v>
      </c>
      <c r="D52" s="169"/>
      <c r="E52" s="169"/>
      <c r="F52" s="169"/>
      <c r="G52" s="169"/>
      <c r="H52" s="169"/>
      <c r="I52" s="169"/>
      <c r="J52" s="169"/>
      <c r="K52" s="169"/>
      <c r="L52" s="169"/>
      <c r="M52" s="169"/>
      <c r="N52" s="169"/>
      <c r="O52" s="169"/>
      <c r="P52" s="169"/>
      <c r="Q52" s="169"/>
      <c r="R52" s="169"/>
    </row>
    <row r="53" ht="12.75" customHeight="1" spans="17:19" x14ac:dyDescent="0.25">
      <c r="Q53" s="170"/>
      <c r="R53" s="170"/>
      <c r="S53" s="137"/>
    </row>
    <row r="54" ht="12.75" customHeight="1" spans="17:19" x14ac:dyDescent="0.25">
      <c r="Q54" s="170"/>
      <c r="R54" s="170"/>
      <c r="S54" s="137"/>
    </row>
    <row r="55" ht="12.75" customHeight="1" spans="16:20" x14ac:dyDescent="0.25">
      <c r="P55" s="170">
        <v>20250616</v>
      </c>
      <c r="Q55" s="170"/>
      <c r="R55" s="170"/>
      <c r="S55" s="170"/>
      <c r="T55" s="137" t="s">
        <v>209</v>
      </c>
    </row>
    <row r="56" ht="39.75" customHeight="1" x14ac:dyDescent="0.25"/>
    <row r="58" ht="23.25" customHeight="1" spans="4:14" x14ac:dyDescent="0.25">
      <c r="D58" s="171" t="s">
        <v>1155</v>
      </c>
      <c r="E58" s="137"/>
      <c r="F58" s="137"/>
      <c r="G58" s="137"/>
      <c r="H58" s="137"/>
      <c r="I58" s="137"/>
      <c r="J58" s="137"/>
      <c r="K58" s="137"/>
      <c r="L58" s="137"/>
      <c r="M58" s="137"/>
      <c r="N58" s="137"/>
    </row>
    <row r="60" ht="23.25" customHeight="1" x14ac:dyDescent="0.25"/>
    <row r="61" ht="23.25" customHeight="1" x14ac:dyDescent="0.25"/>
    <row r="62" ht="23.25" customHeight="1" spans="1:18" x14ac:dyDescent="0.25">
      <c r="A62" s="137" t="s">
        <v>210</v>
      </c>
      <c r="C62" s="221" t="s">
        <v>211</v>
      </c>
      <c r="D62" s="555">
        <f>初期入力!B4</f>
        <v>0</v>
      </c>
      <c r="E62" s="556"/>
      <c r="F62" s="556"/>
      <c r="G62" s="556"/>
      <c r="H62" s="555">
        <f>IF(初期入力!B6="","",初期入力!B6)</f>
      </c>
      <c r="I62" s="556"/>
      <c r="J62" s="556"/>
      <c r="K62" s="556"/>
      <c r="L62" s="221"/>
      <c r="R62" s="165" t="s">
        <v>212</v>
      </c>
    </row>
    <row r="63" ht="23.25" customHeight="1" x14ac:dyDescent="0.25"/>
    <row r="64" ht="23.25" customHeight="1" spans="1:18" x14ac:dyDescent="0.25">
      <c r="A64" s="137" t="s">
        <v>213</v>
      </c>
      <c r="D64" s="557" t="s">
        <v>208</v>
      </c>
      <c r="E64" s="221"/>
      <c r="F64" s="221"/>
      <c r="G64" s="221"/>
      <c r="H64" s="221"/>
      <c r="I64" s="221"/>
      <c r="J64" s="221"/>
      <c r="K64" s="221"/>
      <c r="L64" s="221"/>
      <c r="R64" s="165" t="s">
        <v>214</v>
      </c>
    </row>
    <row r="65" ht="23.25" customHeight="1" x14ac:dyDescent="0.25"/>
    <row r="66" ht="23.25" customHeight="1" spans="4:13" x14ac:dyDescent="0.25">
      <c r="D66" s="556" t="str">
        <f>初期入力!B3</f>
        <v>大阪市旭区新森　池田様邸新築工事						</v>
      </c>
      <c r="E66" s="556"/>
      <c r="F66" s="556"/>
      <c r="G66" s="556"/>
      <c r="H66" s="556"/>
      <c r="I66" s="556"/>
      <c r="J66" s="556"/>
      <c r="K66" s="556"/>
      <c r="L66" s="556"/>
      <c r="M66" s="166"/>
    </row>
    <row r="67" ht="23.25" customHeight="1" x14ac:dyDescent="0.25"/>
    <row r="68" ht="23.25" customHeight="1" spans="1:1" x14ac:dyDescent="0.25">
      <c r="A68" s="137" t="s">
        <v>1156</v>
      </c>
    </row>
    <row r="69" ht="23.25" customHeight="1" spans="1:1" x14ac:dyDescent="0.25">
      <c r="A69" s="137" t="s">
        <v>1157</v>
      </c>
    </row>
    <row r="70" ht="23.25" customHeight="1" spans="1:1" x14ac:dyDescent="0.25">
      <c r="A70" s="137" t="s">
        <v>1158</v>
      </c>
    </row>
    <row r="71" ht="23.25" customHeight="1" x14ac:dyDescent="0.25"/>
    <row r="72" ht="23.25" customHeight="1" x14ac:dyDescent="0.25"/>
    <row r="73" ht="23.25" customHeight="1" x14ac:dyDescent="0.25"/>
    <row r="74" ht="23.25" customHeight="1" spans="18:19" x14ac:dyDescent="0.25">
      <c r="R74" s="170"/>
      <c r="S74" s="170"/>
    </row>
    <row r="75" ht="23.25" customHeight="1" spans="2:18" x14ac:dyDescent="0.25">
      <c r="B75" s="137"/>
      <c r="C75" s="137"/>
      <c r="D75" s="137"/>
      <c r="E75" s="137"/>
      <c r="F75" s="137"/>
      <c r="J75" s="480">
        <f>初期入力!C14</f>
        <v>2026</v>
      </c>
      <c r="K75" s="480"/>
      <c r="L75" s="137" t="s">
        <v>33</v>
      </c>
      <c r="M75" s="480">
        <f>初期入力!E14</f>
        <v>12</v>
      </c>
      <c r="N75" s="480"/>
      <c r="O75" s="137" t="s">
        <v>34</v>
      </c>
      <c r="P75" s="480">
        <f>初期入力!G14</f>
        <v>25</v>
      </c>
      <c r="Q75" s="480"/>
      <c r="R75" s="137" t="s">
        <v>35</v>
      </c>
    </row>
    <row r="76" ht="23.25" customHeight="1" spans="10:10" x14ac:dyDescent="0.25">
      <c r="J76" s="137"/>
    </row>
    <row r="77" ht="23.25" customHeight="1" x14ac:dyDescent="0.25"/>
    <row r="78" ht="23.25" customHeight="1" spans="1:17" x14ac:dyDescent="0.25">
      <c r="A78" s="137" t="s">
        <v>1159</v>
      </c>
      <c r="C78" s="179"/>
      <c r="D78" s="180">
        <f>初期入力!B5</f>
        <v>0</v>
      </c>
      <c r="E78" s="180"/>
      <c r="F78" s="180"/>
      <c r="G78" s="180"/>
      <c r="H78" s="180"/>
      <c r="I78" s="180"/>
      <c r="J78" s="180"/>
      <c r="K78" s="180"/>
      <c r="L78" s="180"/>
      <c r="M78" s="180"/>
      <c r="N78" s="180"/>
      <c r="O78" s="180"/>
      <c r="P78" s="180"/>
      <c r="Q78" s="177"/>
    </row>
    <row r="79" ht="30" customHeight="1" x14ac:dyDescent="0.25"/>
    <row r="80" ht="23.25" customHeight="1" spans="1:19" x14ac:dyDescent="0.25">
      <c r="A80" s="137" t="s">
        <v>1160</v>
      </c>
      <c r="C80" s="179"/>
      <c r="D80" s="558">
        <f>初期入力!B4</f>
        <v>0</v>
      </c>
      <c r="E80" s="558"/>
      <c r="F80" s="558"/>
      <c r="G80" s="558"/>
      <c r="H80" s="558"/>
      <c r="I80" s="558"/>
      <c r="J80" s="558"/>
      <c r="K80" s="558"/>
      <c r="L80" s="558"/>
      <c r="M80" s="558"/>
      <c r="N80" s="558"/>
      <c r="O80" s="558"/>
      <c r="P80" s="179"/>
      <c r="Q80" s="185" t="s">
        <v>222</v>
      </c>
      <c r="S80" s="170"/>
    </row>
    <row r="81" ht="30" customHeight="1" spans="17:17" x14ac:dyDescent="0.25">
      <c r="Q81" s="185"/>
    </row>
    <row r="82" ht="23.25" customHeight="1" spans="1:19" x14ac:dyDescent="0.25">
      <c r="A82" s="137" t="s">
        <v>1161</v>
      </c>
      <c r="C82" s="179"/>
      <c r="D82" s="180">
        <f>IF(初期入力!B7="","",初期入力!B7)</f>
      </c>
      <c r="E82" s="180"/>
      <c r="F82" s="180"/>
      <c r="G82" s="180"/>
      <c r="H82" s="180"/>
      <c r="I82" s="180"/>
      <c r="J82" s="180"/>
      <c r="K82" s="180"/>
      <c r="L82" s="180"/>
      <c r="M82" s="180"/>
      <c r="N82" s="180"/>
      <c r="O82" s="180"/>
      <c r="P82" s="180"/>
      <c r="Q82" s="185"/>
      <c r="S82" s="170"/>
    </row>
    <row r="83" ht="30" customHeight="1" spans="17:19" x14ac:dyDescent="0.25">
      <c r="Q83" s="185"/>
      <c r="S83" s="170"/>
    </row>
    <row r="84" ht="23.25" customHeight="1" spans="1:19" x14ac:dyDescent="0.25">
      <c r="A84" s="137" t="s">
        <v>1162</v>
      </c>
      <c r="C84" s="179"/>
      <c r="D84" s="558">
        <f>IF(初期入力!B6="","",初期入力!B6)</f>
      </c>
      <c r="E84" s="558"/>
      <c r="F84" s="558"/>
      <c r="G84" s="558"/>
      <c r="H84" s="558"/>
      <c r="I84" s="558"/>
      <c r="J84" s="558"/>
      <c r="K84" s="558"/>
      <c r="L84" s="558"/>
      <c r="M84" s="558"/>
      <c r="N84" s="558"/>
      <c r="O84" s="179"/>
      <c r="P84" s="179"/>
      <c r="Q84" s="185" t="s">
        <v>222</v>
      </c>
      <c r="S84" s="170"/>
    </row>
    <row r="85" ht="40.15" customHeight="1" spans="1:19" x14ac:dyDescent="0.25">
      <c r="A85" s="114"/>
      <c r="Q85" s="185"/>
      <c r="S85" s="170"/>
    </row>
    <row r="86" ht="23.25" customHeight="1" spans="1:19" x14ac:dyDescent="0.25">
      <c r="A86" s="137" t="s">
        <v>225</v>
      </c>
      <c r="C86" s="179"/>
      <c r="D86" s="179" t="s">
        <v>119</v>
      </c>
      <c r="E86" s="179"/>
      <c r="F86" s="179"/>
      <c r="G86" s="179"/>
      <c r="H86" s="179"/>
      <c r="I86" s="179"/>
      <c r="J86" s="179"/>
      <c r="K86" s="179"/>
      <c r="L86" s="179"/>
      <c r="M86" s="179"/>
      <c r="N86" s="179"/>
      <c r="O86" s="179"/>
      <c r="P86" s="179"/>
      <c r="Q86" s="185"/>
      <c r="S86" s="170"/>
    </row>
    <row r="87" ht="30" customHeight="1" spans="17:19" x14ac:dyDescent="0.25">
      <c r="Q87" s="185"/>
      <c r="S87" s="170"/>
    </row>
    <row r="88" ht="23.25" customHeight="1" spans="1:19" x14ac:dyDescent="0.25">
      <c r="A88" s="137" t="s">
        <v>226</v>
      </c>
      <c r="C88" s="179"/>
      <c r="D88" s="179" t="s">
        <v>208</v>
      </c>
      <c r="E88" s="179"/>
      <c r="F88" s="179"/>
      <c r="G88" s="179"/>
      <c r="H88" s="179"/>
      <c r="I88" s="179" t="s">
        <v>227</v>
      </c>
      <c r="J88" s="179"/>
      <c r="K88" s="179"/>
      <c r="L88" s="179"/>
      <c r="M88" s="179"/>
      <c r="N88" s="179"/>
      <c r="O88" s="179"/>
      <c r="P88" s="179"/>
      <c r="Q88" s="185" t="s">
        <v>222</v>
      </c>
      <c r="S88" s="170"/>
    </row>
    <row r="89" ht="23.25" customHeight="1" spans="18:19" x14ac:dyDescent="0.25">
      <c r="R89" s="170"/>
      <c r="S89" s="170"/>
    </row>
    <row r="90" ht="23.25" customHeight="1" spans="3:12" x14ac:dyDescent="0.25">
      <c r="C90" s="166"/>
      <c r="D90" s="166"/>
      <c r="E90" s="166"/>
      <c r="F90" s="166"/>
      <c r="G90" s="166"/>
      <c r="H90" s="166"/>
      <c r="I90" s="166"/>
      <c r="J90" s="166"/>
      <c r="K90" s="166"/>
      <c r="L90" s="170"/>
    </row>
    <row r="91" ht="39.75" customHeight="1" spans="3:12" x14ac:dyDescent="0.25">
      <c r="C91" s="166"/>
      <c r="D91" s="166"/>
      <c r="E91" s="166"/>
      <c r="F91" s="166"/>
      <c r="G91" s="166"/>
      <c r="H91" s="166"/>
      <c r="I91" s="166"/>
      <c r="J91" s="166"/>
      <c r="K91" s="166"/>
      <c r="L91" s="170"/>
    </row>
    <row r="92" ht="15.75" customHeight="1" spans="1:29" x14ac:dyDescent="0.25">
      <c r="A92" s="559" t="s">
        <v>3</v>
      </c>
      <c r="B92" s="191"/>
      <c r="C92" s="191"/>
      <c r="D92" s="560" t="str">
        <f>初期入力!B3</f>
        <v>大阪市旭区新森　池田様邸新築工事						</v>
      </c>
      <c r="E92" s="191"/>
      <c r="F92" s="191"/>
      <c r="G92" s="191"/>
      <c r="H92" s="191"/>
      <c r="I92" s="191"/>
      <c r="J92" s="561"/>
      <c r="K92" s="562" t="s">
        <v>1163</v>
      </c>
      <c r="L92" s="191"/>
      <c r="M92" s="561"/>
      <c r="N92" s="563" t="s">
        <v>229</v>
      </c>
      <c r="O92" s="563"/>
      <c r="P92" s="191"/>
      <c r="Q92" s="191"/>
      <c r="R92" s="191"/>
      <c r="S92" s="191"/>
      <c r="T92" s="192"/>
      <c r="U92" s="196"/>
      <c r="V92" s="196"/>
      <c r="W92" s="196"/>
      <c r="X92" s="196"/>
      <c r="Y92" s="196"/>
      <c r="Z92" s="196"/>
      <c r="AA92" s="196"/>
      <c r="AB92" s="196"/>
      <c r="AC92" s="196"/>
    </row>
    <row r="93" ht="15.75" customHeight="1" spans="1:29" x14ac:dyDescent="0.25">
      <c r="A93" s="564"/>
      <c r="B93" s="9"/>
      <c r="C93" s="9"/>
      <c r="D93" s="9"/>
      <c r="E93" s="9"/>
      <c r="F93" s="9"/>
      <c r="G93" s="9"/>
      <c r="H93" s="9"/>
      <c r="I93" s="9"/>
      <c r="J93" s="10"/>
      <c r="K93" s="198" t="s">
        <v>230</v>
      </c>
      <c r="L93" s="9"/>
      <c r="M93" s="10"/>
      <c r="N93" s="98" t="str">
        <f>初期入力!B11</f>
        <v>共有</v>
      </c>
      <c r="O93" s="98"/>
      <c r="P93" s="9"/>
      <c r="Q93" s="9"/>
      <c r="R93" s="9"/>
      <c r="S93" s="9"/>
      <c r="T93" s="565"/>
      <c r="U93" s="196"/>
      <c r="V93" s="196"/>
      <c r="W93" s="196"/>
      <c r="X93" s="196"/>
      <c r="Y93" s="196"/>
      <c r="Z93" s="196"/>
      <c r="AA93" s="196"/>
      <c r="AB93" s="196"/>
      <c r="AC93" s="196"/>
    </row>
    <row r="94" ht="15.75" customHeight="1" spans="1:29" x14ac:dyDescent="0.25">
      <c r="A94" s="566" t="s">
        <v>40</v>
      </c>
      <c r="B94" s="28"/>
      <c r="C94" s="28"/>
      <c r="D94" s="567" t="str">
        <f>初期入力!B15</f>
        <v>大阪府大阪市旭区新森</v>
      </c>
      <c r="E94" s="28"/>
      <c r="F94" s="28"/>
      <c r="G94" s="28"/>
      <c r="H94" s="28"/>
      <c r="I94" s="28"/>
      <c r="J94" s="28"/>
      <c r="K94" s="28"/>
      <c r="L94" s="28"/>
      <c r="M94" s="28"/>
      <c r="N94" s="28"/>
      <c r="O94" s="28"/>
      <c r="P94" s="28"/>
      <c r="Q94" s="28"/>
      <c r="R94" s="28"/>
      <c r="S94" s="28"/>
      <c r="T94" s="568"/>
      <c r="U94" s="196"/>
      <c r="V94" s="196"/>
      <c r="W94" s="196"/>
      <c r="X94" s="196"/>
      <c r="Y94" s="196"/>
      <c r="Z94" s="196"/>
      <c r="AA94" s="196"/>
      <c r="AB94" s="196"/>
      <c r="AC94" s="196"/>
    </row>
    <row r="95" ht="15.75" customHeight="1" spans="1:29" x14ac:dyDescent="0.25">
      <c r="A95" s="564"/>
      <c r="B95" s="9"/>
      <c r="C95" s="9"/>
      <c r="D95" s="9"/>
      <c r="E95" s="9"/>
      <c r="F95" s="9"/>
      <c r="G95" s="9"/>
      <c r="H95" s="9"/>
      <c r="I95" s="9"/>
      <c r="J95" s="9"/>
      <c r="K95" s="9"/>
      <c r="L95" s="9"/>
      <c r="M95" s="9"/>
      <c r="N95" s="9"/>
      <c r="O95" s="9"/>
      <c r="P95" s="9"/>
      <c r="Q95" s="9"/>
      <c r="R95" s="9"/>
      <c r="S95" s="9"/>
      <c r="T95" s="565"/>
      <c r="U95" s="196"/>
      <c r="V95" s="196"/>
      <c r="W95" s="196"/>
      <c r="X95" s="196"/>
      <c r="Y95" s="196"/>
      <c r="Z95" s="196"/>
      <c r="AA95" s="196"/>
      <c r="AB95" s="196"/>
      <c r="AC95" s="196"/>
    </row>
    <row r="96" ht="15.75" customHeight="1" spans="1:29" x14ac:dyDescent="0.25">
      <c r="A96" s="566" t="s">
        <v>231</v>
      </c>
      <c r="B96" s="28"/>
      <c r="C96" s="28"/>
      <c r="D96" s="208" t="str">
        <f>初期入力!B16</f>
        <v>木造軸組工法</v>
      </c>
      <c r="E96" s="28"/>
      <c r="F96" s="28"/>
      <c r="G96" s="28"/>
      <c r="H96" s="28"/>
      <c r="I96" s="208"/>
      <c r="J96" s="213">
        <f>初期入力!B17</f>
        <v>2</v>
      </c>
      <c r="K96" s="28"/>
      <c r="L96" s="28"/>
      <c r="M96" s="208" t="s">
        <v>232</v>
      </c>
      <c r="N96" s="213">
        <f>初期入力!B18</f>
        <v>1</v>
      </c>
      <c r="O96" s="213"/>
      <c r="P96" s="28"/>
      <c r="Q96" s="28"/>
      <c r="R96" s="28"/>
      <c r="S96" s="28"/>
      <c r="T96" s="569" t="s">
        <v>233</v>
      </c>
      <c r="U96" s="196"/>
      <c r="V96" s="196"/>
      <c r="W96" s="196"/>
      <c r="X96" s="196"/>
      <c r="Y96" s="196"/>
      <c r="Z96" s="196"/>
      <c r="AA96" s="196"/>
      <c r="AB96" s="196"/>
      <c r="AC96" s="196"/>
    </row>
    <row r="97" ht="15.75" customHeight="1" spans="1:29" x14ac:dyDescent="0.25">
      <c r="A97" s="388"/>
      <c r="B97" s="199"/>
      <c r="C97" s="199"/>
      <c r="D97" s="199"/>
      <c r="E97" s="199"/>
      <c r="F97" s="199"/>
      <c r="G97" s="199"/>
      <c r="H97" s="199"/>
      <c r="I97" s="199"/>
      <c r="J97" s="199"/>
      <c r="K97" s="199"/>
      <c r="L97" s="199"/>
      <c r="M97" s="199"/>
      <c r="N97" s="199"/>
      <c r="O97" s="199"/>
      <c r="P97" s="199"/>
      <c r="Q97" s="199"/>
      <c r="R97" s="199"/>
      <c r="S97" s="199"/>
      <c r="T97" s="200"/>
      <c r="U97" s="196"/>
      <c r="V97" s="196"/>
      <c r="W97" s="196"/>
      <c r="X97" s="196"/>
      <c r="Y97" s="196"/>
      <c r="Z97" s="196"/>
      <c r="AA97" s="196"/>
      <c r="AB97" s="196"/>
      <c r="AC97" s="196"/>
    </row>
    <row r="98" ht="9.75" customHeight="1" spans="1:29" x14ac:dyDescent="0.25">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196"/>
    </row>
    <row r="99" ht="17.25" customHeight="1" spans="1:29" x14ac:dyDescent="0.25">
      <c r="A99" s="559" t="str">
        <f>初期入力!B20</f>
        <v>〇</v>
      </c>
      <c r="B99" s="570" t="s">
        <v>55</v>
      </c>
      <c r="C99" s="191"/>
      <c r="D99" s="191"/>
      <c r="E99" s="571" t="s">
        <v>131</v>
      </c>
      <c r="F99" s="572">
        <f>初期入力!F19</f>
        <v>0</v>
      </c>
      <c r="G99" s="191"/>
      <c r="H99" s="561"/>
      <c r="I99" s="573" t="s">
        <v>234</v>
      </c>
      <c r="J99" s="574"/>
      <c r="K99" s="575"/>
      <c r="L99" s="576" t="s">
        <v>235</v>
      </c>
      <c r="M99" s="576"/>
      <c r="N99" s="576"/>
      <c r="O99" s="576"/>
      <c r="P99" s="576"/>
      <c r="Q99" s="576"/>
      <c r="R99" s="576"/>
      <c r="S99" s="576"/>
      <c r="T99" s="577"/>
      <c r="U99" s="196"/>
      <c r="V99" s="196"/>
      <c r="W99" s="196"/>
      <c r="X99" s="196"/>
      <c r="Y99" s="196"/>
      <c r="Z99" s="196"/>
      <c r="AA99" s="196"/>
      <c r="AB99" s="196"/>
      <c r="AC99" s="196"/>
    </row>
    <row r="100" ht="17.25" customHeight="1" spans="1:29" x14ac:dyDescent="0.25">
      <c r="A100" s="578"/>
      <c r="B100" s="221"/>
      <c r="C100" s="221"/>
      <c r="D100" s="221"/>
      <c r="E100" s="222"/>
      <c r="F100" s="221"/>
      <c r="G100" s="221"/>
      <c r="H100" s="223"/>
      <c r="I100" s="224" t="s">
        <v>76</v>
      </c>
      <c r="J100" s="267"/>
      <c r="K100" s="579"/>
      <c r="L100" s="580">
        <f>初期入力!F27</f>
        <v>45861</v>
      </c>
      <c r="M100" s="580"/>
      <c r="N100" s="580"/>
      <c r="O100" s="580"/>
      <c r="P100" s="580"/>
      <c r="Q100" s="580"/>
      <c r="R100" s="580"/>
      <c r="S100" s="580"/>
      <c r="T100" s="581"/>
      <c r="U100" s="196"/>
      <c r="V100" s="196"/>
      <c r="W100" s="196"/>
      <c r="X100" s="196"/>
      <c r="Y100" s="196"/>
      <c r="Z100" s="196"/>
      <c r="AA100" s="196"/>
      <c r="AB100" s="196"/>
      <c r="AC100" s="196"/>
    </row>
    <row r="101" ht="17.25" customHeight="1" spans="1:29" x14ac:dyDescent="0.25">
      <c r="A101" s="582" t="str">
        <f>IF(初期入力!B22="","",初期入力!B22)</f>
        <v>〇</v>
      </c>
      <c r="B101" s="230" t="s">
        <v>63</v>
      </c>
      <c r="C101" s="231"/>
      <c r="D101" s="231"/>
      <c r="E101" s="232" t="s">
        <v>131</v>
      </c>
      <c r="F101" s="233">
        <f>初期入力!F21</f>
        <v>0</v>
      </c>
      <c r="G101" s="231"/>
      <c r="H101" s="234"/>
      <c r="I101" s="224"/>
      <c r="J101" s="267"/>
      <c r="K101" s="579"/>
      <c r="L101" s="583" t="s">
        <v>236</v>
      </c>
      <c r="M101" s="583"/>
      <c r="N101" s="583"/>
      <c r="O101" s="583"/>
      <c r="P101" s="583"/>
      <c r="Q101" s="583"/>
      <c r="R101" s="583"/>
      <c r="S101" s="583"/>
      <c r="T101" s="584"/>
      <c r="U101" s="196"/>
      <c r="V101" s="196"/>
      <c r="W101" s="196"/>
      <c r="X101" s="196"/>
      <c r="Y101" s="196"/>
      <c r="Z101" s="196"/>
      <c r="AA101" s="196"/>
      <c r="AB101" s="196"/>
      <c r="AC101" s="196"/>
    </row>
    <row r="102" ht="17.25" customHeight="1" spans="1:29" x14ac:dyDescent="0.25">
      <c r="A102" s="578"/>
      <c r="B102" s="221"/>
      <c r="C102" s="221"/>
      <c r="D102" s="221"/>
      <c r="E102" s="222"/>
      <c r="F102" s="221"/>
      <c r="G102" s="221"/>
      <c r="H102" s="223"/>
      <c r="I102" s="224" t="s">
        <v>79</v>
      </c>
      <c r="J102" s="267"/>
      <c r="K102" s="579"/>
      <c r="L102" s="580">
        <f>初期入力!F28</f>
        <v>46042</v>
      </c>
      <c r="M102" s="580"/>
      <c r="N102" s="580"/>
      <c r="O102" s="580"/>
      <c r="P102" s="580"/>
      <c r="Q102" s="580"/>
      <c r="R102" s="580"/>
      <c r="S102" s="580"/>
      <c r="T102" s="581"/>
      <c r="U102" s="196"/>
      <c r="V102" s="196"/>
      <c r="W102" s="196"/>
      <c r="X102" s="196"/>
      <c r="Y102" s="196"/>
      <c r="Z102" s="196"/>
      <c r="AA102" s="196"/>
      <c r="AB102" s="196"/>
      <c r="AC102" s="196"/>
    </row>
    <row r="103" ht="17.25" customHeight="1" spans="1:29" x14ac:dyDescent="0.25">
      <c r="A103" s="582">
        <f>IF(初期入力!B24="","",初期入力!B24)</f>
      </c>
      <c r="B103" s="230" t="s">
        <v>67</v>
      </c>
      <c r="C103" s="231"/>
      <c r="D103" s="231"/>
      <c r="E103" s="232" t="s">
        <v>131</v>
      </c>
      <c r="F103" s="585">
        <f>初期入力!F23</f>
        <v>0</v>
      </c>
      <c r="G103" s="586"/>
      <c r="H103" s="587"/>
      <c r="I103" s="224"/>
      <c r="J103" s="267"/>
      <c r="K103" s="579"/>
      <c r="L103" s="583" t="s">
        <v>237</v>
      </c>
      <c r="M103" s="583"/>
      <c r="N103" s="583"/>
      <c r="O103" s="583"/>
      <c r="P103" s="583"/>
      <c r="Q103" s="583"/>
      <c r="R103" s="583"/>
      <c r="S103" s="583"/>
      <c r="T103" s="584"/>
      <c r="U103" s="196"/>
      <c r="V103" s="196"/>
      <c r="W103" s="196"/>
      <c r="X103" s="196"/>
      <c r="Y103" s="196"/>
      <c r="Z103" s="196"/>
      <c r="AA103" s="196"/>
      <c r="AB103" s="196"/>
      <c r="AC103" s="196"/>
    </row>
    <row r="104" ht="17.25" customHeight="1" spans="1:29" x14ac:dyDescent="0.25">
      <c r="A104" s="578"/>
      <c r="B104" s="221"/>
      <c r="C104" s="221"/>
      <c r="D104" s="221"/>
      <c r="E104" s="222"/>
      <c r="F104" s="588"/>
      <c r="G104" s="588"/>
      <c r="H104" s="589"/>
      <c r="I104" s="224" t="s">
        <v>82</v>
      </c>
      <c r="J104" s="267"/>
      <c r="K104" s="579"/>
      <c r="L104" s="580">
        <f>初期入力!F27</f>
        <v>45861</v>
      </c>
      <c r="M104" s="580"/>
      <c r="N104" s="580"/>
      <c r="O104" s="580"/>
      <c r="P104" s="580"/>
      <c r="Q104" s="580"/>
      <c r="R104" s="580"/>
      <c r="S104" s="580"/>
      <c r="T104" s="581"/>
      <c r="U104" s="196"/>
      <c r="V104" s="196"/>
      <c r="W104" s="196"/>
      <c r="X104" s="196"/>
      <c r="Y104" s="196"/>
      <c r="Z104" s="196"/>
      <c r="AA104" s="196"/>
      <c r="AB104" s="196"/>
      <c r="AC104" s="196"/>
    </row>
    <row r="105" ht="17.25" customHeight="1" spans="1:29" x14ac:dyDescent="0.25">
      <c r="A105" s="582" t="str">
        <f>IF(初期入力!B26="","",初期入力!B26)</f>
        <v>〇</v>
      </c>
      <c r="B105" s="230" t="s">
        <v>72</v>
      </c>
      <c r="C105" s="231"/>
      <c r="D105" s="231"/>
      <c r="E105" s="232" t="s">
        <v>131</v>
      </c>
      <c r="F105" s="233">
        <f>初期入力!F25</f>
        <v>0</v>
      </c>
      <c r="G105" s="231"/>
      <c r="H105" s="234"/>
      <c r="I105" s="224"/>
      <c r="J105" s="267"/>
      <c r="K105" s="579"/>
      <c r="L105" s="583"/>
      <c r="M105" s="583"/>
      <c r="N105" s="583"/>
      <c r="O105" s="583"/>
      <c r="P105" s="583"/>
      <c r="Q105" s="583"/>
      <c r="R105" s="583"/>
      <c r="S105" s="583"/>
      <c r="T105" s="584"/>
      <c r="U105" s="196"/>
      <c r="V105" s="196"/>
      <c r="W105" s="196"/>
      <c r="X105" s="196"/>
      <c r="Y105" s="196"/>
      <c r="Z105" s="196"/>
      <c r="AA105" s="196"/>
      <c r="AB105" s="196"/>
      <c r="AC105" s="196"/>
    </row>
    <row r="106" ht="17.25" customHeight="1" spans="1:29" x14ac:dyDescent="0.25">
      <c r="A106" s="578"/>
      <c r="B106" s="221"/>
      <c r="C106" s="221"/>
      <c r="D106" s="221"/>
      <c r="E106" s="222"/>
      <c r="F106" s="221"/>
      <c r="G106" s="221"/>
      <c r="H106" s="223"/>
      <c r="I106" s="224"/>
      <c r="J106" s="267"/>
      <c r="K106" s="579"/>
      <c r="L106" s="580"/>
      <c r="M106" s="580"/>
      <c r="N106" s="580"/>
      <c r="O106" s="580"/>
      <c r="P106" s="580"/>
      <c r="Q106" s="580"/>
      <c r="R106" s="580"/>
      <c r="S106" s="580"/>
      <c r="T106" s="581"/>
      <c r="U106" s="196"/>
      <c r="V106" s="196"/>
      <c r="W106" s="196"/>
      <c r="X106" s="196"/>
      <c r="Y106" s="196"/>
      <c r="Z106" s="196"/>
      <c r="AA106" s="196"/>
      <c r="AB106" s="196"/>
      <c r="AC106" s="196"/>
    </row>
    <row r="107" ht="17.25" customHeight="1" spans="1:29" x14ac:dyDescent="0.25">
      <c r="A107" s="582"/>
      <c r="B107" s="230" t="s">
        <v>238</v>
      </c>
      <c r="C107" s="231"/>
      <c r="D107" s="231"/>
      <c r="E107" s="232" t="s">
        <v>131</v>
      </c>
      <c r="F107" s="233">
        <f>F99+F101+F103+F105</f>
        <v>0</v>
      </c>
      <c r="G107" s="231"/>
      <c r="H107" s="234"/>
      <c r="I107" s="224"/>
      <c r="J107" s="267"/>
      <c r="K107" s="579"/>
      <c r="L107" s="590"/>
      <c r="M107" s="267"/>
      <c r="N107" s="267"/>
      <c r="O107" s="267"/>
      <c r="P107" s="267"/>
      <c r="Q107" s="267"/>
      <c r="R107" s="267"/>
      <c r="S107" s="267"/>
      <c r="T107" s="243"/>
      <c r="U107" s="196"/>
      <c r="V107" s="196"/>
      <c r="W107" s="196"/>
      <c r="X107" s="196"/>
      <c r="Y107" s="196"/>
      <c r="Z107" s="196"/>
      <c r="AA107" s="196"/>
      <c r="AB107" s="196"/>
      <c r="AC107" s="196"/>
    </row>
    <row r="108" ht="17.25" customHeight="1" spans="1:29" x14ac:dyDescent="0.25">
      <c r="A108" s="388"/>
      <c r="B108" s="199"/>
      <c r="C108" s="199"/>
      <c r="D108" s="199"/>
      <c r="E108" s="591"/>
      <c r="F108" s="199"/>
      <c r="G108" s="199"/>
      <c r="H108" s="399"/>
      <c r="I108" s="592"/>
      <c r="J108" s="593"/>
      <c r="K108" s="594"/>
      <c r="L108" s="595"/>
      <c r="M108" s="593"/>
      <c r="N108" s="593"/>
      <c r="O108" s="593"/>
      <c r="P108" s="593"/>
      <c r="Q108" s="593"/>
      <c r="R108" s="593"/>
      <c r="S108" s="593"/>
      <c r="T108" s="596"/>
      <c r="U108" s="196"/>
      <c r="V108" s="196"/>
      <c r="W108" s="196"/>
      <c r="X108" s="196"/>
      <c r="Y108" s="196"/>
      <c r="Z108" s="196"/>
      <c r="AA108" s="196"/>
      <c r="AB108" s="196"/>
      <c r="AC108" s="196"/>
    </row>
    <row r="109" ht="9.75" customHeight="1" spans="1:29" x14ac:dyDescent="0.25">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row>
    <row r="110" ht="17.25" customHeight="1" spans="1:29" x14ac:dyDescent="0.25">
      <c r="A110" s="597" t="s">
        <v>239</v>
      </c>
      <c r="B110" s="598"/>
      <c r="C110" s="598"/>
      <c r="D110" s="598"/>
      <c r="E110" s="599"/>
      <c r="F110" s="600"/>
      <c r="G110" s="598"/>
      <c r="H110" s="601" t="s">
        <v>240</v>
      </c>
      <c r="I110" s="602">
        <f>初期入力!F31</f>
        <v>0</v>
      </c>
      <c r="J110" s="602"/>
      <c r="K110" s="602"/>
      <c r="L110" s="602"/>
      <c r="M110" s="603" t="s">
        <v>241</v>
      </c>
      <c r="N110" s="604"/>
      <c r="O110" s="605"/>
      <c r="P110" s="605"/>
      <c r="Q110" s="605"/>
      <c r="R110" s="605"/>
      <c r="S110" s="605"/>
      <c r="T110" s="606"/>
      <c r="U110" s="196"/>
      <c r="V110" s="196"/>
      <c r="W110" s="196"/>
      <c r="X110" s="196"/>
      <c r="Y110" s="196"/>
      <c r="Z110" s="196"/>
      <c r="AA110" s="196"/>
      <c r="AB110" s="196"/>
      <c r="AC110" s="196"/>
    </row>
    <row r="111" ht="17.25" customHeight="1" spans="1:29" x14ac:dyDescent="0.25">
      <c r="A111" s="607" t="s">
        <v>242</v>
      </c>
      <c r="B111" s="225"/>
      <c r="C111" s="225"/>
      <c r="D111" s="225"/>
      <c r="E111" s="262"/>
      <c r="F111" s="608"/>
      <c r="G111" s="609"/>
      <c r="H111" s="610" t="s">
        <v>240</v>
      </c>
      <c r="I111" s="611">
        <f>初期入力!F32</f>
        <v>0</v>
      </c>
      <c r="J111" s="611"/>
      <c r="K111" s="611"/>
      <c r="L111" s="611"/>
      <c r="M111" s="612" t="s">
        <v>241</v>
      </c>
      <c r="N111" s="613"/>
      <c r="O111" s="580"/>
      <c r="P111" s="580"/>
      <c r="Q111" s="580"/>
      <c r="R111" s="580"/>
      <c r="S111" s="580"/>
      <c r="T111" s="581"/>
      <c r="U111" s="196"/>
      <c r="V111" s="196"/>
      <c r="W111" s="196"/>
      <c r="X111" s="196"/>
      <c r="Y111" s="196"/>
      <c r="Z111" s="196"/>
      <c r="AA111" s="196"/>
      <c r="AB111" s="196"/>
      <c r="AC111" s="196"/>
    </row>
    <row r="112" ht="17.25" customHeight="1" spans="1:29" x14ac:dyDescent="0.25">
      <c r="A112" s="614" t="s">
        <v>243</v>
      </c>
      <c r="B112" s="615"/>
      <c r="C112" s="615"/>
      <c r="D112" s="615"/>
      <c r="E112" s="616"/>
      <c r="F112" s="617"/>
      <c r="G112" s="618"/>
      <c r="H112" s="619" t="s">
        <v>240</v>
      </c>
      <c r="I112" s="620">
        <f>初期入力!F33</f>
        <v>0</v>
      </c>
      <c r="J112" s="620"/>
      <c r="K112" s="620"/>
      <c r="L112" s="620"/>
      <c r="M112" s="621" t="s">
        <v>241</v>
      </c>
      <c r="N112" s="622"/>
      <c r="O112" s="623"/>
      <c r="P112" s="623"/>
      <c r="Q112" s="623"/>
      <c r="R112" s="623"/>
      <c r="S112" s="623"/>
      <c r="T112" s="624"/>
      <c r="U112" s="196"/>
      <c r="V112" s="196"/>
      <c r="W112" s="196"/>
      <c r="X112" s="196"/>
      <c r="Y112" s="196"/>
      <c r="Z112" s="196"/>
      <c r="AA112" s="196"/>
      <c r="AB112" s="196"/>
      <c r="AC112" s="196"/>
    </row>
    <row r="113" ht="9.75" customHeight="1" spans="1:29" x14ac:dyDescent="0.25">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c r="AA113" s="196"/>
      <c r="AB113" s="196"/>
      <c r="AC113" s="196"/>
    </row>
    <row r="114" ht="17.25" customHeight="1" spans="1:29" x14ac:dyDescent="0.25">
      <c r="A114" s="625" t="s">
        <v>244</v>
      </c>
      <c r="B114" s="626"/>
      <c r="C114" s="626"/>
      <c r="D114" s="627" t="s">
        <v>245</v>
      </c>
      <c r="E114" s="626"/>
      <c r="F114" s="626"/>
      <c r="G114" s="625" t="s">
        <v>246</v>
      </c>
      <c r="H114" s="627"/>
      <c r="I114" s="627"/>
      <c r="J114" s="627"/>
      <c r="K114" s="627"/>
      <c r="L114" s="627"/>
      <c r="M114" s="628"/>
      <c r="N114" s="627" t="s">
        <v>247</v>
      </c>
      <c r="O114" s="627"/>
      <c r="P114" s="627"/>
      <c r="Q114" s="627"/>
      <c r="R114" s="627"/>
      <c r="S114" s="627"/>
      <c r="T114" s="629"/>
      <c r="U114" s="196"/>
      <c r="V114" s="196"/>
      <c r="W114" s="196"/>
      <c r="X114" s="196"/>
      <c r="Y114" s="196"/>
      <c r="Z114" s="196"/>
      <c r="AA114" s="196"/>
      <c r="AB114" s="196"/>
      <c r="AC114" s="196"/>
    </row>
    <row r="115" ht="17.25" customHeight="1" spans="1:29" x14ac:dyDescent="0.25">
      <c r="A115" s="630" t="s">
        <v>248</v>
      </c>
      <c r="B115" s="631" t="s">
        <v>249</v>
      </c>
      <c r="C115" s="137"/>
      <c r="D115" s="311" t="s">
        <v>250</v>
      </c>
      <c r="E115" s="137"/>
      <c r="F115" s="137"/>
      <c r="G115" s="632"/>
      <c r="H115" s="288" t="s">
        <v>240</v>
      </c>
      <c r="I115" s="633">
        <f>初期入力!F34</f>
        <v>100000</v>
      </c>
      <c r="J115" s="633"/>
      <c r="K115" s="633"/>
      <c r="L115" s="633"/>
      <c r="M115" s="290" t="s">
        <v>241</v>
      </c>
      <c r="N115" s="634">
        <f>IF(初期入力!F35="","",初期入力!F35)</f>
        <v>45356</v>
      </c>
      <c r="O115" s="635"/>
      <c r="P115" s="635"/>
      <c r="Q115" s="635"/>
      <c r="R115" s="635"/>
      <c r="S115" s="635"/>
      <c r="T115" s="636"/>
      <c r="U115" s="637"/>
      <c r="V115" s="196"/>
      <c r="W115" s="196"/>
      <c r="X115" s="196"/>
      <c r="Y115" s="196"/>
      <c r="Z115" s="196"/>
      <c r="AA115" s="196"/>
      <c r="AB115" s="196"/>
      <c r="AC115" s="196"/>
    </row>
    <row r="116" ht="17.25" customHeight="1" spans="1:29" x14ac:dyDescent="0.25">
      <c r="A116" s="638"/>
      <c r="B116" s="224" t="s">
        <v>251</v>
      </c>
      <c r="C116" s="225"/>
      <c r="D116" s="296" t="s">
        <v>252</v>
      </c>
      <c r="E116" s="225"/>
      <c r="F116" s="225"/>
      <c r="G116" s="297"/>
      <c r="H116" s="639" t="s">
        <v>240</v>
      </c>
      <c r="I116" s="265">
        <f>初期入力!F36</f>
        <v>1000000</v>
      </c>
      <c r="J116" s="265"/>
      <c r="K116" s="265"/>
      <c r="L116" s="265"/>
      <c r="M116" s="266" t="s">
        <v>241</v>
      </c>
      <c r="N116" s="640">
        <f>初期入力!F37</f>
        <v>45376</v>
      </c>
      <c r="O116" s="641"/>
      <c r="P116" s="641"/>
      <c r="Q116" s="641"/>
      <c r="R116" s="641"/>
      <c r="S116" s="641"/>
      <c r="T116" s="642"/>
      <c r="U116" s="637"/>
      <c r="V116" s="196"/>
      <c r="W116" s="196"/>
      <c r="X116" s="196"/>
      <c r="Y116" s="196"/>
      <c r="Z116" s="196"/>
      <c r="AA116" s="196"/>
      <c r="AB116" s="196"/>
      <c r="AC116" s="196"/>
    </row>
    <row r="117" ht="17.25" customHeight="1" spans="1:29" x14ac:dyDescent="0.25">
      <c r="A117" s="638"/>
      <c r="B117" s="224" t="s">
        <v>253</v>
      </c>
      <c r="C117" s="225"/>
      <c r="D117" s="296" t="s">
        <v>254</v>
      </c>
      <c r="E117" s="225"/>
      <c r="F117" s="225"/>
      <c r="G117" s="297"/>
      <c r="H117" s="639" t="s">
        <v>240</v>
      </c>
      <c r="I117" s="265">
        <f>初期入力!F38</f>
        <v>8300000</v>
      </c>
      <c r="J117" s="265"/>
      <c r="K117" s="265"/>
      <c r="L117" s="265"/>
      <c r="M117" s="266" t="s">
        <v>241</v>
      </c>
      <c r="N117" s="640">
        <f>初期入力!F39</f>
        <v>46233</v>
      </c>
      <c r="O117" s="641"/>
      <c r="P117" s="641"/>
      <c r="Q117" s="641"/>
      <c r="R117" s="641"/>
      <c r="S117" s="641"/>
      <c r="T117" s="642"/>
      <c r="U117" s="637"/>
      <c r="V117" s="196"/>
      <c r="W117" s="196"/>
      <c r="X117" s="196"/>
      <c r="Y117" s="196"/>
      <c r="Z117" s="196"/>
      <c r="AA117" s="196"/>
      <c r="AB117" s="196"/>
      <c r="AC117" s="196"/>
    </row>
    <row r="118" ht="17.25" customHeight="1" spans="1:29" x14ac:dyDescent="0.25">
      <c r="A118" s="638"/>
      <c r="B118" s="224" t="s">
        <v>255</v>
      </c>
      <c r="C118" s="225"/>
      <c r="D118" s="296" t="s">
        <v>256</v>
      </c>
      <c r="E118" s="225"/>
      <c r="F118" s="225"/>
      <c r="G118" s="297"/>
      <c r="H118" s="639" t="s">
        <v>240</v>
      </c>
      <c r="I118" s="265">
        <f>初期入力!F40</f>
        <v>8300000</v>
      </c>
      <c r="J118" s="265"/>
      <c r="K118" s="265"/>
      <c r="L118" s="265"/>
      <c r="M118" s="266" t="s">
        <v>241</v>
      </c>
      <c r="N118" s="640">
        <f>初期入力!F41</f>
        <v>46273</v>
      </c>
      <c r="O118" s="641"/>
      <c r="P118" s="641"/>
      <c r="Q118" s="641"/>
      <c r="R118" s="641"/>
      <c r="S118" s="641"/>
      <c r="T118" s="642"/>
      <c r="U118" s="637"/>
      <c r="V118" s="196"/>
      <c r="W118" s="196"/>
      <c r="X118" s="196"/>
      <c r="Y118" s="196"/>
      <c r="Z118" s="196"/>
      <c r="AA118" s="196"/>
      <c r="AB118" s="196"/>
      <c r="AC118" s="196"/>
    </row>
    <row r="119" ht="17.25" customHeight="1" spans="1:29" x14ac:dyDescent="0.25">
      <c r="A119" s="638"/>
      <c r="B119" s="224" t="s">
        <v>257</v>
      </c>
      <c r="C119" s="225"/>
      <c r="D119" s="296" t="s">
        <v>258</v>
      </c>
      <c r="E119" s="225"/>
      <c r="F119" s="225"/>
      <c r="G119" s="297"/>
      <c r="H119" s="639" t="s">
        <v>240</v>
      </c>
      <c r="I119" s="265">
        <f>初期入力!F42</f>
        <v>-17700000</v>
      </c>
      <c r="J119" s="265"/>
      <c r="K119" s="265"/>
      <c r="L119" s="265"/>
      <c r="M119" s="266" t="s">
        <v>241</v>
      </c>
      <c r="N119" s="640">
        <f>初期入力!F43</f>
        <v>46066</v>
      </c>
      <c r="O119" s="641"/>
      <c r="P119" s="641"/>
      <c r="Q119" s="641"/>
      <c r="R119" s="641"/>
      <c r="S119" s="641"/>
      <c r="T119" s="642"/>
      <c r="U119" s="637"/>
      <c r="V119" s="196"/>
      <c r="W119" s="196"/>
      <c r="X119" s="196"/>
      <c r="Y119" s="196"/>
      <c r="Z119" s="196"/>
      <c r="AA119" s="196"/>
      <c r="AB119" s="196"/>
      <c r="AC119" s="196"/>
    </row>
    <row r="120" ht="17.25" customHeight="1" spans="1:29" x14ac:dyDescent="0.25">
      <c r="A120" s="638"/>
      <c r="B120" s="224"/>
      <c r="C120" s="225"/>
      <c r="D120" s="296"/>
      <c r="E120" s="225"/>
      <c r="F120" s="225"/>
      <c r="G120" s="263"/>
      <c r="H120" s="225"/>
      <c r="I120" s="225"/>
      <c r="J120" s="225"/>
      <c r="K120" s="225"/>
      <c r="L120" s="225"/>
      <c r="M120" s="262"/>
      <c r="N120" s="225"/>
      <c r="O120" s="225"/>
      <c r="P120" s="225"/>
      <c r="Q120" s="225"/>
      <c r="R120" s="225"/>
      <c r="S120" s="225"/>
      <c r="T120" s="643"/>
      <c r="U120" s="637"/>
      <c r="V120" s="196"/>
      <c r="W120" s="196"/>
      <c r="X120" s="196"/>
      <c r="Y120" s="196"/>
      <c r="Z120" s="196"/>
      <c r="AA120" s="196"/>
      <c r="AB120" s="196"/>
      <c r="AC120" s="196"/>
    </row>
    <row r="121" ht="17.25" customHeight="1" spans="1:29" x14ac:dyDescent="0.25">
      <c r="A121" s="644"/>
      <c r="B121" s="645"/>
      <c r="C121" s="615"/>
      <c r="D121" s="615"/>
      <c r="E121" s="615"/>
      <c r="F121" s="616"/>
      <c r="G121" s="646"/>
      <c r="H121" s="647"/>
      <c r="I121" s="647"/>
      <c r="J121" s="647"/>
      <c r="K121" s="647"/>
      <c r="L121" s="647"/>
      <c r="M121" s="648"/>
      <c r="N121" s="649"/>
      <c r="O121" s="649"/>
      <c r="P121" s="649"/>
      <c r="Q121" s="649"/>
      <c r="R121" s="649"/>
      <c r="S121" s="649"/>
      <c r="T121" s="650"/>
      <c r="U121" s="637"/>
      <c r="V121" s="196"/>
      <c r="W121" s="196"/>
      <c r="X121" s="196"/>
      <c r="Y121" s="196"/>
      <c r="Z121" s="196"/>
      <c r="AA121" s="196"/>
      <c r="AB121" s="196"/>
      <c r="AC121" s="196"/>
    </row>
    <row r="122" ht="17.25" customHeight="1" spans="1:29" x14ac:dyDescent="0.25">
      <c r="A122" s="310"/>
      <c r="B122" s="311"/>
      <c r="C122" s="311"/>
      <c r="D122" s="311"/>
      <c r="E122" s="311"/>
      <c r="F122" s="311"/>
      <c r="G122" s="196"/>
      <c r="H122" s="196"/>
      <c r="I122" s="196"/>
      <c r="J122" s="196"/>
      <c r="K122" s="196"/>
      <c r="L122" s="196"/>
      <c r="M122" s="196"/>
      <c r="N122" s="196"/>
      <c r="O122" s="196"/>
      <c r="P122" s="196"/>
      <c r="Q122" s="196"/>
      <c r="R122" s="196"/>
      <c r="S122" s="196"/>
      <c r="T122" s="196"/>
      <c r="U122" s="196"/>
      <c r="V122" s="196"/>
      <c r="W122" s="196"/>
      <c r="X122" s="196"/>
      <c r="Y122" s="196"/>
      <c r="Z122" s="196"/>
      <c r="AA122" s="196"/>
      <c r="AB122" s="196"/>
      <c r="AC122" s="196"/>
    </row>
    <row r="123" ht="17.25" customHeight="1" spans="1:29" x14ac:dyDescent="0.25">
      <c r="A123" s="310"/>
      <c r="B123" s="311"/>
      <c r="C123" s="311"/>
      <c r="D123" s="311"/>
      <c r="E123" s="311"/>
      <c r="F123" s="311"/>
      <c r="G123" s="196"/>
      <c r="H123" s="196"/>
      <c r="I123" s="196"/>
      <c r="J123" s="196"/>
      <c r="K123" s="196"/>
      <c r="L123" s="196"/>
      <c r="M123" s="196"/>
      <c r="N123" s="196"/>
      <c r="O123" s="196"/>
      <c r="P123" s="196"/>
      <c r="Q123" s="196"/>
      <c r="R123" s="196"/>
      <c r="S123" s="196"/>
      <c r="T123" s="196"/>
      <c r="U123" s="196"/>
      <c r="V123" s="196"/>
      <c r="W123" s="196"/>
      <c r="X123" s="196"/>
      <c r="Y123" s="196"/>
      <c r="Z123" s="196"/>
      <c r="AA123" s="196"/>
      <c r="AB123" s="196"/>
      <c r="AC123" s="196"/>
    </row>
    <row r="124" ht="15" customHeight="1" spans="1:29" x14ac:dyDescent="0.25">
      <c r="A124" s="310"/>
      <c r="B124" s="310"/>
      <c r="C124" s="310"/>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c r="AA124" s="196"/>
      <c r="AB124" s="196"/>
      <c r="AC124" s="196"/>
    </row>
    <row r="125" ht="15" customHeight="1" spans="1:29" x14ac:dyDescent="0.25">
      <c r="A125" s="312" t="s">
        <v>259</v>
      </c>
      <c r="B125" s="310"/>
      <c r="C125" s="310"/>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c r="AA125" s="196"/>
      <c r="AB125" s="196"/>
      <c r="AC125" s="196"/>
    </row>
    <row r="126" ht="6" customHeight="1" spans="1:29" x14ac:dyDescent="0.25">
      <c r="A126" s="312"/>
      <c r="B126" s="310"/>
      <c r="C126" s="310"/>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c r="AA126" s="196"/>
      <c r="AB126" s="196"/>
      <c r="AC126" s="196"/>
    </row>
    <row r="127" ht="15" customHeight="1" spans="1:29" x14ac:dyDescent="0.25">
      <c r="A127" s="196" t="s">
        <v>1164</v>
      </c>
      <c r="B127" s="310"/>
      <c r="C127" s="310"/>
      <c r="D127" s="196"/>
      <c r="E127" s="313"/>
      <c r="F127" s="196"/>
      <c r="G127" s="196"/>
      <c r="H127" s="196"/>
      <c r="I127" s="196"/>
      <c r="J127" s="196"/>
      <c r="K127" s="313"/>
      <c r="L127" s="196"/>
      <c r="M127" s="196"/>
      <c r="N127" s="196"/>
      <c r="O127" s="196"/>
      <c r="P127" s="196"/>
      <c r="Q127" s="196"/>
      <c r="R127" s="196"/>
      <c r="S127" s="196"/>
      <c r="T127" s="196"/>
      <c r="U127" s="196"/>
      <c r="V127" s="196"/>
      <c r="W127" s="196"/>
      <c r="X127" s="196"/>
      <c r="Y127" s="196"/>
      <c r="Z127" s="196"/>
      <c r="AA127" s="196"/>
      <c r="AB127" s="196"/>
      <c r="AC127" s="196"/>
    </row>
    <row r="128" ht="6" customHeight="1" spans="1:29" x14ac:dyDescent="0.25">
      <c r="A128" s="312"/>
      <c r="B128" s="310"/>
      <c r="C128" s="310"/>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c r="AA128" s="196"/>
      <c r="AB128" s="196"/>
      <c r="AC128" s="196"/>
    </row>
    <row r="129" ht="15" customHeight="1" spans="1:29" x14ac:dyDescent="0.25">
      <c r="A129" s="196" t="s">
        <v>1165</v>
      </c>
      <c r="B129" s="310"/>
      <c r="C129" s="310"/>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c r="AA129" s="196"/>
      <c r="AB129" s="196"/>
      <c r="AC129" s="196"/>
    </row>
    <row r="130" ht="15" customHeight="1" spans="1:29" x14ac:dyDescent="0.25">
      <c r="A130" s="196" t="s">
        <v>262</v>
      </c>
      <c r="B130" s="310"/>
      <c r="C130" s="310"/>
      <c r="D130" s="196"/>
      <c r="E130" s="196"/>
      <c r="F130" s="196"/>
      <c r="G130" s="196"/>
      <c r="H130" s="196"/>
      <c r="I130" s="196"/>
      <c r="J130" s="196"/>
      <c r="K130" s="196"/>
      <c r="L130" s="196"/>
      <c r="M130" s="196"/>
      <c r="N130" s="313"/>
      <c r="O130" s="313"/>
      <c r="P130" s="196"/>
      <c r="Q130" s="196"/>
      <c r="R130" s="196"/>
      <c r="S130" s="196"/>
      <c r="T130" s="196"/>
      <c r="U130" s="196"/>
      <c r="V130" s="196"/>
      <c r="W130" s="196"/>
      <c r="X130" s="196"/>
      <c r="Y130" s="196"/>
      <c r="Z130" s="196"/>
      <c r="AA130" s="196"/>
      <c r="AB130" s="196"/>
      <c r="AC130" s="196"/>
    </row>
    <row r="131" ht="15" customHeight="1" spans="1:29" x14ac:dyDescent="0.25">
      <c r="A131" s="196" t="s">
        <v>263</v>
      </c>
      <c r="B131" s="310"/>
      <c r="C131" s="310"/>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c r="AA131" s="196"/>
      <c r="AB131" s="196"/>
      <c r="AC131" s="196"/>
    </row>
    <row r="132" ht="15" customHeight="1" spans="1:29" x14ac:dyDescent="0.25">
      <c r="A132" s="196" t="s">
        <v>264</v>
      </c>
      <c r="B132" s="310"/>
      <c r="C132" s="310"/>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row>
    <row r="133" ht="15" customHeight="1" spans="1:29" x14ac:dyDescent="0.25">
      <c r="A133" s="196" t="s">
        <v>265</v>
      </c>
      <c r="B133" s="310"/>
      <c r="C133" s="310"/>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c r="AA133" s="196"/>
      <c r="AB133" s="196"/>
      <c r="AC133" s="196"/>
    </row>
    <row r="134" ht="15" customHeight="1" spans="1:29" x14ac:dyDescent="0.25">
      <c r="A134" s="196" t="s">
        <v>266</v>
      </c>
      <c r="B134" s="310"/>
      <c r="C134" s="310"/>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c r="AA134" s="196"/>
      <c r="AB134" s="196"/>
      <c r="AC134" s="196"/>
    </row>
    <row r="135" ht="15" customHeight="1" spans="1:29" x14ac:dyDescent="0.25">
      <c r="A135" s="196" t="s">
        <v>267</v>
      </c>
      <c r="B135" s="310"/>
      <c r="C135" s="310"/>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c r="AA135" s="196"/>
      <c r="AB135" s="196"/>
      <c r="AC135" s="196"/>
    </row>
    <row r="136" ht="15" customHeight="1" spans="1:29" x14ac:dyDescent="0.25">
      <c r="A136" s="196" t="s">
        <v>268</v>
      </c>
      <c r="B136" s="310"/>
      <c r="C136" s="310"/>
      <c r="D136" s="196"/>
      <c r="E136" s="196"/>
      <c r="F136" s="196"/>
      <c r="G136" s="196"/>
      <c r="H136" s="651"/>
      <c r="I136" s="652" t="s">
        <v>269</v>
      </c>
      <c r="J136" s="651"/>
      <c r="K136" s="651"/>
      <c r="L136" s="196"/>
      <c r="M136" s="196"/>
      <c r="N136" s="196"/>
      <c r="O136" s="196"/>
      <c r="P136" s="196"/>
      <c r="Q136" s="196"/>
      <c r="R136" s="196"/>
      <c r="S136" s="196"/>
      <c r="T136" s="196"/>
      <c r="U136" s="196"/>
      <c r="V136" s="196"/>
      <c r="W136" s="196"/>
      <c r="X136" s="196"/>
      <c r="Y136" s="196"/>
      <c r="Z136" s="196"/>
      <c r="AA136" s="196"/>
      <c r="AB136" s="196"/>
      <c r="AC136" s="196"/>
    </row>
    <row r="137" ht="6" customHeight="1" spans="1:29" x14ac:dyDescent="0.25">
      <c r="A137" s="312"/>
      <c r="B137" s="310"/>
      <c r="C137" s="310"/>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c r="AA137" s="196"/>
      <c r="AB137" s="196"/>
      <c r="AC137" s="196"/>
    </row>
    <row r="138" ht="15" customHeight="1" spans="1:29" x14ac:dyDescent="0.25">
      <c r="A138" s="196" t="s">
        <v>1166</v>
      </c>
      <c r="B138" s="310"/>
      <c r="C138" s="310"/>
      <c r="D138" s="196"/>
      <c r="E138" s="196"/>
      <c r="F138" s="196"/>
      <c r="G138" s="196"/>
      <c r="H138" s="196"/>
      <c r="I138" s="196"/>
      <c r="J138" s="313"/>
      <c r="K138" s="196"/>
      <c r="L138" s="196"/>
      <c r="M138" s="196"/>
      <c r="N138" s="196"/>
      <c r="O138" s="196"/>
      <c r="P138" s="196"/>
      <c r="Q138" s="196"/>
      <c r="R138" s="196"/>
      <c r="S138" s="196"/>
      <c r="T138" s="196"/>
      <c r="U138" s="196"/>
      <c r="V138" s="196"/>
      <c r="W138" s="196"/>
      <c r="X138" s="196"/>
      <c r="Y138" s="196"/>
      <c r="Z138" s="196"/>
      <c r="AA138" s="196"/>
      <c r="AB138" s="196"/>
      <c r="AC138" s="196"/>
    </row>
    <row r="139" ht="15" customHeight="1" spans="1:29" x14ac:dyDescent="0.25">
      <c r="A139" s="196" t="s">
        <v>271</v>
      </c>
      <c r="B139" s="310"/>
      <c r="C139" s="310"/>
      <c r="D139" s="196"/>
      <c r="E139" s="196"/>
      <c r="G139" s="653"/>
      <c r="H139" s="653"/>
      <c r="I139" s="653"/>
      <c r="J139" s="196"/>
      <c r="K139" s="196"/>
      <c r="L139" s="196"/>
      <c r="M139" s="196"/>
      <c r="N139" s="311"/>
      <c r="O139" s="311"/>
      <c r="P139" s="137"/>
      <c r="Q139" s="137"/>
      <c r="R139" s="137"/>
      <c r="S139" s="137"/>
      <c r="T139" s="137"/>
      <c r="U139" s="196"/>
      <c r="V139" s="196"/>
      <c r="W139" s="196"/>
      <c r="X139" s="196"/>
      <c r="Y139" s="196"/>
      <c r="Z139" s="196"/>
      <c r="AA139" s="196"/>
      <c r="AB139" s="196"/>
      <c r="AC139" s="196"/>
    </row>
    <row r="140" ht="15" customHeight="1" spans="1:29" x14ac:dyDescent="0.25">
      <c r="A140" s="196" t="s">
        <v>272</v>
      </c>
      <c r="B140" s="310"/>
      <c r="C140" s="310"/>
      <c r="D140" s="196"/>
      <c r="E140" s="196"/>
      <c r="F140" s="196"/>
      <c r="G140" s="654"/>
      <c r="H140" s="221"/>
      <c r="I140" s="221"/>
      <c r="J140" s="221"/>
      <c r="K140" s="221"/>
      <c r="L140" s="221"/>
      <c r="M140" s="221"/>
      <c r="N140" s="221"/>
      <c r="O140" s="221"/>
      <c r="P140" s="221"/>
      <c r="Q140" s="221"/>
      <c r="R140" s="221"/>
      <c r="S140" s="137"/>
      <c r="T140" s="137"/>
      <c r="U140" s="196"/>
      <c r="V140" s="196"/>
      <c r="W140" s="196"/>
      <c r="X140" s="196"/>
      <c r="Y140" s="196"/>
      <c r="Z140" s="196"/>
      <c r="AA140" s="196"/>
      <c r="AB140" s="196"/>
      <c r="AC140" s="196"/>
    </row>
    <row r="141" ht="15" customHeight="1" spans="1:29" x14ac:dyDescent="0.25">
      <c r="A141" s="196" t="s">
        <v>273</v>
      </c>
      <c r="B141" s="310"/>
      <c r="C141" s="310"/>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c r="AA141" s="196"/>
      <c r="AB141" s="196"/>
      <c r="AC141" s="196"/>
    </row>
    <row r="142" ht="15" customHeight="1" spans="1:29" x14ac:dyDescent="0.25">
      <c r="A142" s="196" t="s">
        <v>274</v>
      </c>
      <c r="B142" s="310"/>
      <c r="C142" s="310"/>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c r="AA142" s="196"/>
      <c r="AB142" s="196"/>
      <c r="AC142" s="196"/>
    </row>
    <row r="143" ht="15" customHeight="1" spans="1:29" x14ac:dyDescent="0.25">
      <c r="A143" s="196" t="s">
        <v>275</v>
      </c>
      <c r="B143" s="310"/>
      <c r="C143" s="310"/>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c r="AA143" s="196"/>
      <c r="AB143" s="196"/>
      <c r="AC143" s="196"/>
    </row>
    <row r="144" ht="15" customHeight="1" spans="1:29" x14ac:dyDescent="0.25">
      <c r="A144" s="196" t="s">
        <v>276</v>
      </c>
      <c r="B144" s="310"/>
      <c r="C144" s="310"/>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c r="AB144" s="196"/>
      <c r="AC144" s="196"/>
    </row>
    <row r="145" ht="9.75" customHeight="1" spans="1:29" x14ac:dyDescent="0.25">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row>
    <row r="146" ht="9.75" customHeight="1" spans="1:29" x14ac:dyDescent="0.25">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c r="AB146" s="196"/>
      <c r="AC146" s="196"/>
    </row>
    <row r="147" ht="9.75" customHeight="1" spans="1:29" x14ac:dyDescent="0.25">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row>
    <row r="148" ht="9.75" customHeight="1" spans="1:29" x14ac:dyDescent="0.25">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c r="AB148" s="196"/>
      <c r="AC148" s="196"/>
    </row>
    <row r="149" ht="15" customHeight="1" spans="1:29" x14ac:dyDescent="0.25">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row>
    <row r="150" ht="15" customHeight="1" spans="1:29" x14ac:dyDescent="0.25">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row>
    <row r="151" ht="17.25" customHeight="1" x14ac:dyDescent="0.25"/>
    <row r="152" ht="17.25" customHeight="1" spans="3:17" x14ac:dyDescent="0.25">
      <c r="C152" s="169" t="s">
        <v>277</v>
      </c>
      <c r="D152" s="137"/>
      <c r="E152" s="137"/>
      <c r="F152" s="137"/>
      <c r="G152" s="137"/>
      <c r="H152" s="137"/>
      <c r="I152" s="137"/>
      <c r="J152" s="137"/>
      <c r="K152" s="137"/>
      <c r="L152" s="137"/>
      <c r="M152" s="137"/>
      <c r="N152" s="137"/>
      <c r="O152" s="137"/>
      <c r="P152" s="137"/>
      <c r="Q152" s="137"/>
    </row>
    <row r="153" ht="24.75" customHeight="1" spans="3:17" x14ac:dyDescent="0.25">
      <c r="C153" s="137"/>
      <c r="D153" s="137"/>
      <c r="E153" s="137"/>
      <c r="F153" s="137"/>
      <c r="G153" s="137"/>
      <c r="H153" s="137"/>
      <c r="I153" s="137"/>
      <c r="J153" s="137"/>
      <c r="K153" s="137"/>
      <c r="L153" s="137"/>
      <c r="M153" s="137"/>
      <c r="N153" s="137"/>
      <c r="O153" s="137"/>
      <c r="P153" s="137"/>
      <c r="Q153" s="137"/>
    </row>
    <row r="154" ht="20.25" customHeight="1" spans="3:11" x14ac:dyDescent="0.25">
      <c r="C154" s="318"/>
      <c r="D154" s="318"/>
      <c r="E154" s="318"/>
      <c r="F154" s="318"/>
      <c r="G154" s="318"/>
      <c r="H154" s="318"/>
      <c r="I154" s="318"/>
      <c r="J154" s="318"/>
      <c r="K154" s="318"/>
    </row>
    <row r="155" ht="20.25" customHeight="1" spans="1:2" x14ac:dyDescent="0.25">
      <c r="A155" s="312" t="s">
        <v>1167</v>
      </c>
      <c r="B155" s="312"/>
    </row>
    <row r="156" ht="20.25" customHeight="1" spans="1:1" x14ac:dyDescent="0.25">
      <c r="A156" s="137" t="s">
        <v>1168</v>
      </c>
    </row>
    <row r="157" ht="20.25" customHeight="1" spans="1:1" x14ac:dyDescent="0.25">
      <c r="A157" s="137" t="s">
        <v>1169</v>
      </c>
    </row>
    <row r="158" ht="20.25" customHeight="1" spans="1:2" x14ac:dyDescent="0.25">
      <c r="A158" s="312" t="s">
        <v>1170</v>
      </c>
      <c r="B158" s="312"/>
    </row>
    <row r="159" ht="20.25" customHeight="1" spans="1:1" x14ac:dyDescent="0.25">
      <c r="A159" s="137" t="s">
        <v>1171</v>
      </c>
    </row>
    <row r="160" ht="20.25" customHeight="1" spans="1:1" x14ac:dyDescent="0.25">
      <c r="A160" s="137" t="s">
        <v>1172</v>
      </c>
    </row>
    <row r="161" ht="20.25" customHeight="1" spans="1:2" x14ac:dyDescent="0.25">
      <c r="A161" s="312" t="s">
        <v>1173</v>
      </c>
      <c r="B161" s="312"/>
    </row>
    <row r="162" ht="20.25" customHeight="1" spans="1:1" x14ac:dyDescent="0.25">
      <c r="A162" s="137" t="s">
        <v>1174</v>
      </c>
    </row>
    <row r="163" ht="20.25" customHeight="1" spans="1:1" x14ac:dyDescent="0.25">
      <c r="A163" s="312" t="s">
        <v>1175</v>
      </c>
    </row>
    <row r="164" ht="20.25" customHeight="1" spans="1:1" x14ac:dyDescent="0.25">
      <c r="A164" s="137" t="s">
        <v>1176</v>
      </c>
    </row>
    <row r="165" ht="20.25" customHeight="1" spans="1:1" x14ac:dyDescent="0.25">
      <c r="A165" s="137" t="s">
        <v>1177</v>
      </c>
    </row>
    <row r="166" ht="20.25" customHeight="1" spans="1:1" x14ac:dyDescent="0.25">
      <c r="A166" s="137" t="s">
        <v>1178</v>
      </c>
    </row>
    <row r="167" ht="20.25" customHeight="1" spans="1:1" x14ac:dyDescent="0.25">
      <c r="A167" s="137" t="s">
        <v>1179</v>
      </c>
    </row>
    <row r="168" ht="20.25" customHeight="1" spans="1:1" x14ac:dyDescent="0.25">
      <c r="A168" s="137" t="s">
        <v>1180</v>
      </c>
    </row>
    <row r="169" ht="20.25" customHeight="1" spans="1:1" x14ac:dyDescent="0.25">
      <c r="A169" s="137" t="s">
        <v>1181</v>
      </c>
    </row>
    <row r="170" ht="20.25" customHeight="1" spans="1:1" x14ac:dyDescent="0.25">
      <c r="A170" s="137" t="s">
        <v>1182</v>
      </c>
    </row>
    <row r="171" ht="20.25" customHeight="1" spans="1:2" x14ac:dyDescent="0.25">
      <c r="A171" s="312" t="s">
        <v>1183</v>
      </c>
      <c r="B171" s="312"/>
    </row>
    <row r="172" ht="20.25" customHeight="1" spans="1:1" x14ac:dyDescent="0.25">
      <c r="A172" s="137" t="s">
        <v>1184</v>
      </c>
    </row>
    <row r="173" ht="20.25" customHeight="1" spans="1:1" x14ac:dyDescent="0.25">
      <c r="A173" s="137" t="s">
        <v>1185</v>
      </c>
    </row>
    <row r="174" ht="20.25" customHeight="1" spans="1:1" x14ac:dyDescent="0.25">
      <c r="A174" s="137" t="s">
        <v>1186</v>
      </c>
    </row>
    <row r="175" ht="20.25" customHeight="1" spans="1:1" x14ac:dyDescent="0.25">
      <c r="A175" s="137" t="s">
        <v>1187</v>
      </c>
    </row>
    <row r="176" ht="20.25" customHeight="1" spans="1:1" x14ac:dyDescent="0.25">
      <c r="A176" s="137" t="s">
        <v>1188</v>
      </c>
    </row>
    <row r="177" ht="20.25" customHeight="1" spans="1:2" x14ac:dyDescent="0.25">
      <c r="A177" s="312" t="s">
        <v>1189</v>
      </c>
      <c r="B177" s="312"/>
    </row>
    <row r="178" ht="20.25" customHeight="1" spans="1:1" x14ac:dyDescent="0.25">
      <c r="A178" s="137" t="s">
        <v>1190</v>
      </c>
    </row>
    <row r="179" ht="20.25" customHeight="1" spans="1:1" x14ac:dyDescent="0.25">
      <c r="A179" s="137" t="s">
        <v>1191</v>
      </c>
    </row>
    <row r="180" ht="20.25" customHeight="1" spans="1:1" x14ac:dyDescent="0.25">
      <c r="A180" s="137" t="s">
        <v>1192</v>
      </c>
    </row>
    <row r="181" ht="20.25" customHeight="1" spans="1:2" x14ac:dyDescent="0.25">
      <c r="A181" s="312" t="s">
        <v>1193</v>
      </c>
      <c r="B181" s="312"/>
    </row>
    <row r="182" ht="20.25" customHeight="1" spans="1:1" x14ac:dyDescent="0.25">
      <c r="A182" s="137" t="s">
        <v>1194</v>
      </c>
    </row>
    <row r="183" ht="20.25" customHeight="1" spans="1:1" x14ac:dyDescent="0.25">
      <c r="A183" s="137" t="s">
        <v>1195</v>
      </c>
    </row>
    <row r="184" ht="20.25" customHeight="1" spans="1:1" x14ac:dyDescent="0.25">
      <c r="A184" s="137" t="s">
        <v>1196</v>
      </c>
    </row>
    <row r="185" ht="20.25" customHeight="1" spans="1:1" x14ac:dyDescent="0.25">
      <c r="A185" s="137" t="s">
        <v>1197</v>
      </c>
    </row>
    <row r="186" ht="20.25" customHeight="1" spans="1:1" x14ac:dyDescent="0.25">
      <c r="A186" s="137" t="s">
        <v>1198</v>
      </c>
    </row>
    <row r="187" ht="20.25" customHeight="1" spans="1:2" x14ac:dyDescent="0.25">
      <c r="A187" s="312" t="s">
        <v>1199</v>
      </c>
      <c r="B187" s="312"/>
    </row>
    <row r="188" ht="20.25" customHeight="1" spans="1:1" x14ac:dyDescent="0.25">
      <c r="A188" s="137" t="s">
        <v>1200</v>
      </c>
    </row>
    <row r="189" ht="20.25" customHeight="1" spans="1:20" x14ac:dyDescent="0.25">
      <c r="A189" s="166" t="s">
        <v>1201</v>
      </c>
      <c r="B189" s="166"/>
      <c r="C189" s="166"/>
      <c r="D189" s="166"/>
      <c r="E189" s="166"/>
      <c r="F189" s="166"/>
      <c r="G189" s="166"/>
      <c r="H189" s="166"/>
      <c r="I189" s="166"/>
      <c r="J189" s="166"/>
      <c r="K189" s="166"/>
      <c r="L189" s="166"/>
      <c r="M189" s="166"/>
      <c r="N189" s="166"/>
      <c r="O189" s="166"/>
      <c r="P189" s="166"/>
      <c r="Q189" s="166"/>
      <c r="R189" s="166"/>
      <c r="S189" s="166"/>
      <c r="T189" s="166"/>
    </row>
    <row r="190" ht="20.25" customHeight="1" spans="1:1" x14ac:dyDescent="0.25">
      <c r="A190" s="312" t="s">
        <v>1202</v>
      </c>
    </row>
    <row r="191" ht="20.25" customHeight="1" spans="1:1" x14ac:dyDescent="0.25">
      <c r="A191" s="137" t="s">
        <v>1203</v>
      </c>
    </row>
    <row r="192" ht="20.25" customHeight="1" spans="1:1" x14ac:dyDescent="0.25">
      <c r="A192" s="137" t="s">
        <v>1204</v>
      </c>
    </row>
    <row r="193" ht="20.25" customHeight="1" spans="1:1" x14ac:dyDescent="0.25">
      <c r="A193" s="137" t="s">
        <v>1205</v>
      </c>
    </row>
    <row r="194" ht="20.25" customHeight="1" spans="1:1" x14ac:dyDescent="0.25">
      <c r="A194" s="137" t="s">
        <v>1206</v>
      </c>
    </row>
    <row r="195" ht="20.25" customHeight="1" spans="1:1" x14ac:dyDescent="0.25">
      <c r="A195" s="137" t="s">
        <v>1207</v>
      </c>
    </row>
    <row r="196" ht="20.25" customHeight="1" spans="1:1" x14ac:dyDescent="0.25">
      <c r="A196" s="137" t="s">
        <v>1208</v>
      </c>
    </row>
    <row r="197" ht="20.25" customHeight="1" spans="1:1" x14ac:dyDescent="0.25">
      <c r="A197" s="137" t="s">
        <v>1209</v>
      </c>
    </row>
    <row r="198" ht="20.25" customHeight="1" spans="1:1" x14ac:dyDescent="0.25">
      <c r="A198" s="137" t="s">
        <v>1210</v>
      </c>
    </row>
    <row r="199" ht="20.25" customHeight="1" spans="1:1" x14ac:dyDescent="0.25">
      <c r="A199" s="137" t="s">
        <v>1211</v>
      </c>
    </row>
    <row r="200" ht="20.25" customHeight="1" spans="1:1" x14ac:dyDescent="0.25">
      <c r="A200" s="312" t="s">
        <v>1212</v>
      </c>
    </row>
    <row r="201" ht="20.25" customHeight="1" spans="1:1" x14ac:dyDescent="0.25">
      <c r="A201" s="137" t="s">
        <v>1213</v>
      </c>
    </row>
    <row r="202" ht="20.25" customHeight="1" spans="1:1" x14ac:dyDescent="0.25">
      <c r="A202" s="137" t="s">
        <v>1214</v>
      </c>
    </row>
    <row r="203" ht="20.25" customHeight="1" spans="1:1" x14ac:dyDescent="0.25">
      <c r="A203" s="137" t="s">
        <v>1215</v>
      </c>
    </row>
    <row r="204" ht="20.25" customHeight="1" spans="1:1" x14ac:dyDescent="0.25">
      <c r="A204" s="137" t="s">
        <v>1216</v>
      </c>
    </row>
    <row r="205" ht="20.25" customHeight="1" spans="1:1" x14ac:dyDescent="0.25">
      <c r="A205" s="137" t="s">
        <v>1217</v>
      </c>
    </row>
    <row r="206" ht="20.25" customHeight="1" spans="1:1" x14ac:dyDescent="0.25">
      <c r="A206" s="137" t="s">
        <v>1218</v>
      </c>
    </row>
    <row r="207" ht="20.25" customHeight="1" spans="1:1" x14ac:dyDescent="0.25">
      <c r="A207" s="137" t="s">
        <v>1219</v>
      </c>
    </row>
    <row r="208" ht="20.25" customHeight="1" spans="1:1" x14ac:dyDescent="0.25">
      <c r="A208" s="137" t="s">
        <v>1220</v>
      </c>
    </row>
    <row r="209" ht="20.25" customHeight="1" spans="1:1" x14ac:dyDescent="0.25">
      <c r="A209" s="137" t="s">
        <v>1221</v>
      </c>
    </row>
    <row r="210" ht="20.25" customHeight="1" spans="1:1" x14ac:dyDescent="0.25">
      <c r="A210" s="137" t="s">
        <v>1222</v>
      </c>
    </row>
    <row r="211" ht="20.25" customHeight="1" spans="1:1" x14ac:dyDescent="0.25">
      <c r="A211" s="137" t="s">
        <v>1223</v>
      </c>
    </row>
    <row r="212" ht="20.25" customHeight="1" spans="1:1" x14ac:dyDescent="0.25">
      <c r="A212" s="137" t="s">
        <v>1224</v>
      </c>
    </row>
    <row r="213" ht="20.25" customHeight="1" spans="1:1" x14ac:dyDescent="0.25">
      <c r="A213" s="137" t="s">
        <v>1225</v>
      </c>
    </row>
    <row r="214" ht="20.25" customHeight="1" spans="1:1" x14ac:dyDescent="0.25">
      <c r="A214" s="137" t="s">
        <v>1226</v>
      </c>
    </row>
    <row r="215" ht="20.25" customHeight="1" spans="1:1" x14ac:dyDescent="0.25">
      <c r="A215" s="137" t="s">
        <v>1227</v>
      </c>
    </row>
    <row r="216" ht="20.25" customHeight="1" spans="1:1" x14ac:dyDescent="0.25">
      <c r="A216" s="137" t="s">
        <v>1228</v>
      </c>
    </row>
    <row r="217" ht="20.25" customHeight="1" spans="1:1" x14ac:dyDescent="0.25">
      <c r="A217" s="312" t="s">
        <v>1229</v>
      </c>
    </row>
    <row r="218" ht="20.25" customHeight="1" spans="1:1" x14ac:dyDescent="0.25">
      <c r="A218" s="137" t="s">
        <v>1230</v>
      </c>
    </row>
    <row r="219" ht="20.25" customHeight="1" spans="1:1" x14ac:dyDescent="0.25">
      <c r="A219" s="137" t="s">
        <v>1231</v>
      </c>
    </row>
    <row r="220" ht="20.25" customHeight="1" spans="1:1" x14ac:dyDescent="0.25">
      <c r="A220" s="137" t="s">
        <v>1232</v>
      </c>
    </row>
    <row r="221" ht="20.25" customHeight="1" spans="1:1" x14ac:dyDescent="0.25">
      <c r="A221" s="137" t="s">
        <v>1233</v>
      </c>
    </row>
    <row r="222" ht="20.25" customHeight="1" spans="1:1" x14ac:dyDescent="0.25">
      <c r="A222" s="312" t="s">
        <v>1234</v>
      </c>
    </row>
    <row r="223" ht="20.25" customHeight="1" spans="1:24" x14ac:dyDescent="0.25">
      <c r="A223" s="137" t="s">
        <v>1235</v>
      </c>
      <c r="X223" s="319"/>
    </row>
    <row r="224" ht="20.25" customHeight="1" spans="1:24" x14ac:dyDescent="0.25">
      <c r="A224" s="137" t="s">
        <v>1236</v>
      </c>
      <c r="X224" s="319"/>
    </row>
    <row r="225" ht="20.25" customHeight="1" spans="1:24" x14ac:dyDescent="0.25">
      <c r="A225" s="137" t="s">
        <v>1237</v>
      </c>
      <c r="X225" s="319"/>
    </row>
    <row r="226" ht="20.25" customHeight="1" spans="1:24" x14ac:dyDescent="0.25">
      <c r="A226" s="137" t="s">
        <v>1238</v>
      </c>
      <c r="X226" s="319"/>
    </row>
    <row r="227" ht="20.25" customHeight="1" spans="1:24" x14ac:dyDescent="0.25">
      <c r="A227" s="137" t="s">
        <v>1239</v>
      </c>
      <c r="X227" s="319"/>
    </row>
    <row r="228" ht="20.25" customHeight="1" spans="1:24" x14ac:dyDescent="0.25">
      <c r="A228" s="137" t="s">
        <v>1240</v>
      </c>
      <c r="X228" s="319"/>
    </row>
    <row r="229" ht="20.25" customHeight="1" spans="1:24" x14ac:dyDescent="0.25">
      <c r="A229" s="137" t="s">
        <v>1241</v>
      </c>
      <c r="X229" s="319"/>
    </row>
    <row r="230" ht="20.25" customHeight="1" spans="1:24" x14ac:dyDescent="0.25">
      <c r="A230" s="312" t="s">
        <v>1242</v>
      </c>
      <c r="X230" s="319"/>
    </row>
    <row r="231" ht="20.25" customHeight="1" spans="1:24" x14ac:dyDescent="0.25">
      <c r="A231" s="137" t="s">
        <v>1243</v>
      </c>
      <c r="X231" s="319"/>
    </row>
    <row r="232" ht="20.25" customHeight="1" spans="1:24" x14ac:dyDescent="0.25">
      <c r="A232" s="137" t="s">
        <v>1244</v>
      </c>
      <c r="X232" s="319"/>
    </row>
    <row r="233" ht="20.25" customHeight="1" spans="1:1" x14ac:dyDescent="0.25">
      <c r="A233" s="137" t="s">
        <v>1245</v>
      </c>
    </row>
    <row r="234" ht="20.25" customHeight="1" spans="1:1" x14ac:dyDescent="0.25">
      <c r="A234" s="137" t="s">
        <v>1246</v>
      </c>
    </row>
    <row r="235" ht="20.25" customHeight="1" spans="1:1" x14ac:dyDescent="0.25">
      <c r="A235" s="137" t="s">
        <v>1247</v>
      </c>
    </row>
    <row r="236" ht="20.25" customHeight="1" spans="1:1" x14ac:dyDescent="0.25">
      <c r="A236" s="137" t="s">
        <v>1248</v>
      </c>
    </row>
    <row r="237" ht="20.25" customHeight="1" spans="1:1" x14ac:dyDescent="0.25">
      <c r="A237" s="137" t="s">
        <v>1249</v>
      </c>
    </row>
    <row r="238" ht="20.25" customHeight="1" spans="1:1" x14ac:dyDescent="0.25">
      <c r="A238" s="137" t="s">
        <v>1250</v>
      </c>
    </row>
    <row r="239" ht="20.25" customHeight="1" spans="1:1" x14ac:dyDescent="0.25">
      <c r="A239" s="137" t="s">
        <v>1251</v>
      </c>
    </row>
    <row r="240" ht="20.25" customHeight="1" spans="1:1" x14ac:dyDescent="0.25">
      <c r="A240" s="137" t="s">
        <v>1252</v>
      </c>
    </row>
    <row r="241" ht="20.25" customHeight="1" spans="1:1" x14ac:dyDescent="0.25">
      <c r="A241" s="137" t="s">
        <v>1253</v>
      </c>
    </row>
    <row r="242" ht="20.25" customHeight="1" spans="1:1" x14ac:dyDescent="0.25">
      <c r="A242" s="137" t="s">
        <v>1254</v>
      </c>
    </row>
    <row r="243" ht="20.25" customHeight="1" spans="1:1" x14ac:dyDescent="0.25">
      <c r="A243" s="137" t="s">
        <v>1255</v>
      </c>
    </row>
    <row r="244" ht="20.25" customHeight="1" spans="1:24" x14ac:dyDescent="0.25">
      <c r="A244" s="166" t="s">
        <v>1256</v>
      </c>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row>
    <row r="245" ht="20.25" customHeight="1" spans="1:1" x14ac:dyDescent="0.25">
      <c r="A245" s="137" t="s">
        <v>1257</v>
      </c>
    </row>
    <row r="246" ht="20.25" customHeight="1" spans="1:2" x14ac:dyDescent="0.25">
      <c r="A246" s="312" t="s">
        <v>1258</v>
      </c>
      <c r="B246" s="312"/>
    </row>
    <row r="247" ht="20.25" customHeight="1" spans="1:1" x14ac:dyDescent="0.25">
      <c r="A247" s="137" t="s">
        <v>1259</v>
      </c>
    </row>
    <row r="248" ht="20.25" customHeight="1" spans="1:1" x14ac:dyDescent="0.25">
      <c r="A248" s="137" t="s">
        <v>1260</v>
      </c>
    </row>
    <row r="249" ht="20.25" customHeight="1" spans="1:1" x14ac:dyDescent="0.25">
      <c r="A249" s="137" t="s">
        <v>1261</v>
      </c>
    </row>
    <row r="250" ht="20.25" customHeight="1" spans="1:1" x14ac:dyDescent="0.25">
      <c r="A250" s="137" t="s">
        <v>408</v>
      </c>
    </row>
    <row r="251" ht="20.25" customHeight="1" spans="1:1" x14ac:dyDescent="0.25">
      <c r="A251" s="137" t="s">
        <v>1262</v>
      </c>
    </row>
    <row r="252" ht="20.25" customHeight="1" spans="1:1" x14ac:dyDescent="0.25">
      <c r="A252" s="137" t="s">
        <v>1263</v>
      </c>
    </row>
    <row r="253" ht="20.25" customHeight="1" spans="1:1" x14ac:dyDescent="0.25">
      <c r="A253" s="137" t="s">
        <v>1264</v>
      </c>
    </row>
    <row r="254" ht="20.25" customHeight="1" spans="1:2" x14ac:dyDescent="0.25">
      <c r="A254" s="312" t="s">
        <v>1265</v>
      </c>
      <c r="B254" s="312"/>
    </row>
    <row r="255" ht="20.25" customHeight="1" spans="1:1" x14ac:dyDescent="0.25">
      <c r="A255" s="137" t="s">
        <v>1266</v>
      </c>
    </row>
    <row r="256" ht="20.25" customHeight="1" spans="1:1" x14ac:dyDescent="0.25">
      <c r="A256" s="137" t="s">
        <v>1267</v>
      </c>
    </row>
    <row r="257" ht="20.25" customHeight="1" spans="1:1" x14ac:dyDescent="0.25">
      <c r="A257" s="137" t="s">
        <v>1268</v>
      </c>
    </row>
    <row r="258" ht="20.25" customHeight="1" spans="1:1" x14ac:dyDescent="0.25">
      <c r="A258" s="137" t="s">
        <v>1269</v>
      </c>
    </row>
    <row r="259" ht="20.25" customHeight="1" spans="1:1" x14ac:dyDescent="0.25">
      <c r="A259" s="137" t="s">
        <v>1270</v>
      </c>
    </row>
    <row r="260" ht="20.25" customHeight="1" spans="1:1" x14ac:dyDescent="0.25">
      <c r="A260" s="137" t="s">
        <v>1271</v>
      </c>
    </row>
    <row r="261" ht="20.25" customHeight="1" spans="1:1" x14ac:dyDescent="0.25">
      <c r="A261" s="137" t="s">
        <v>1272</v>
      </c>
    </row>
    <row r="262" ht="20.25" customHeight="1" spans="1:1" x14ac:dyDescent="0.25">
      <c r="A262" s="137" t="s">
        <v>1273</v>
      </c>
    </row>
    <row r="263" ht="20.25" customHeight="1" spans="1:1" x14ac:dyDescent="0.25">
      <c r="A263" s="137" t="s">
        <v>1274</v>
      </c>
    </row>
    <row r="264" ht="20.25" customHeight="1" spans="1:2" x14ac:dyDescent="0.25">
      <c r="A264" s="312" t="s">
        <v>1275</v>
      </c>
      <c r="B264" s="312"/>
    </row>
    <row r="265" ht="20.25" customHeight="1" spans="1:1" x14ac:dyDescent="0.25">
      <c r="A265" s="137" t="s">
        <v>1276</v>
      </c>
    </row>
    <row r="266" ht="20.25" customHeight="1" spans="1:1" x14ac:dyDescent="0.25">
      <c r="A266" s="137" t="s">
        <v>1277</v>
      </c>
    </row>
    <row r="267" ht="20.25" customHeight="1" spans="1:1" x14ac:dyDescent="0.25">
      <c r="A267" s="137" t="s">
        <v>1278</v>
      </c>
    </row>
    <row r="268" ht="20.25" customHeight="1" spans="1:1" x14ac:dyDescent="0.25">
      <c r="A268" s="137" t="s">
        <v>1279</v>
      </c>
    </row>
    <row r="269" ht="20.25" customHeight="1" spans="1:1" x14ac:dyDescent="0.25">
      <c r="A269" s="137" t="s">
        <v>1280</v>
      </c>
    </row>
    <row r="270" ht="20.25" customHeight="1" spans="1:1" x14ac:dyDescent="0.25">
      <c r="A270" s="137" t="s">
        <v>1281</v>
      </c>
    </row>
    <row r="271" ht="20.25" customHeight="1" spans="1:1" x14ac:dyDescent="0.25">
      <c r="A271" s="137" t="s">
        <v>1282</v>
      </c>
    </row>
    <row r="272" ht="20.25" customHeight="1" spans="1:1" x14ac:dyDescent="0.25">
      <c r="A272" s="137" t="s">
        <v>1283</v>
      </c>
    </row>
    <row r="273" ht="20.25" customHeight="1" spans="1:1" x14ac:dyDescent="0.25">
      <c r="A273" s="137" t="s">
        <v>1284</v>
      </c>
    </row>
    <row r="274" ht="20.25" customHeight="1" spans="1:1" x14ac:dyDescent="0.25">
      <c r="A274" s="137" t="s">
        <v>1285</v>
      </c>
    </row>
    <row r="275" ht="20.25" customHeight="1" spans="1:1" x14ac:dyDescent="0.25">
      <c r="A275" s="137" t="s">
        <v>1286</v>
      </c>
    </row>
    <row r="276" ht="20.25" customHeight="1" spans="1:1" x14ac:dyDescent="0.25">
      <c r="A276" s="137" t="s">
        <v>1287</v>
      </c>
    </row>
    <row r="277" ht="20.25" customHeight="1" spans="1:1" x14ac:dyDescent="0.25">
      <c r="A277" s="137" t="s">
        <v>1244</v>
      </c>
    </row>
    <row r="278" ht="20.25" customHeight="1" spans="1:2" x14ac:dyDescent="0.25">
      <c r="A278" s="312" t="s">
        <v>1288</v>
      </c>
      <c r="B278" s="320"/>
    </row>
    <row r="279" ht="20.25" customHeight="1" spans="1:1" x14ac:dyDescent="0.25">
      <c r="A279" s="137" t="s">
        <v>1289</v>
      </c>
    </row>
    <row r="280" ht="20.25" customHeight="1" spans="1:1" x14ac:dyDescent="0.25">
      <c r="A280" s="137" t="s">
        <v>1290</v>
      </c>
    </row>
    <row r="281" ht="20.25" customHeight="1" spans="1:1" x14ac:dyDescent="0.25">
      <c r="A281" s="137" t="s">
        <v>1291</v>
      </c>
    </row>
    <row r="282" ht="20.25" customHeight="1" spans="1:1" x14ac:dyDescent="0.25">
      <c r="A282" s="137" t="s">
        <v>1292</v>
      </c>
    </row>
    <row r="283" ht="20.25" customHeight="1" spans="1:2" x14ac:dyDescent="0.25">
      <c r="A283" s="312" t="s">
        <v>1293</v>
      </c>
      <c r="B283" s="320"/>
    </row>
    <row r="284" ht="20.25" customHeight="1" spans="1:1" x14ac:dyDescent="0.25">
      <c r="A284" s="137" t="s">
        <v>1294</v>
      </c>
    </row>
    <row r="285" ht="20.25" customHeight="1" spans="1:1" x14ac:dyDescent="0.25">
      <c r="A285" s="137" t="s">
        <v>1295</v>
      </c>
    </row>
    <row r="286" ht="20.25" customHeight="1" spans="1:1" x14ac:dyDescent="0.25">
      <c r="A286" s="137" t="s">
        <v>1296</v>
      </c>
    </row>
    <row r="287" ht="20.25" customHeight="1" spans="1:1" x14ac:dyDescent="0.25">
      <c r="A287" s="137" t="s">
        <v>1297</v>
      </c>
    </row>
    <row r="288" ht="20.25" customHeight="1" spans="1:1" x14ac:dyDescent="0.25">
      <c r="A288" s="137" t="s">
        <v>1298</v>
      </c>
    </row>
    <row r="289" ht="20.25" customHeight="1" spans="1:1" x14ac:dyDescent="0.25">
      <c r="A289" s="137" t="s">
        <v>1299</v>
      </c>
    </row>
    <row r="290" ht="20.25" customHeight="1" spans="1:1" x14ac:dyDescent="0.25">
      <c r="A290" s="137" t="s">
        <v>1300</v>
      </c>
    </row>
    <row r="291" ht="20.25" customHeight="1" spans="1:1" x14ac:dyDescent="0.25">
      <c r="A291" s="312" t="s">
        <v>1301</v>
      </c>
    </row>
    <row r="292" ht="20.25" customHeight="1" spans="1:1" x14ac:dyDescent="0.25">
      <c r="A292" s="137" t="s">
        <v>1302</v>
      </c>
    </row>
    <row r="293" ht="20.25" customHeight="1" spans="1:1" x14ac:dyDescent="0.25">
      <c r="A293" s="137" t="s">
        <v>1303</v>
      </c>
    </row>
    <row r="294" ht="20.25" customHeight="1" spans="1:1" x14ac:dyDescent="0.25">
      <c r="A294" s="137" t="s">
        <v>1304</v>
      </c>
    </row>
    <row r="295" ht="20.25" customHeight="1" spans="1:2" x14ac:dyDescent="0.25">
      <c r="A295" s="312" t="s">
        <v>1305</v>
      </c>
      <c r="B295" s="320"/>
    </row>
    <row r="296" ht="20.25" customHeight="1" spans="1:1" x14ac:dyDescent="0.25">
      <c r="A296" s="137" t="s">
        <v>1306</v>
      </c>
    </row>
    <row r="297" ht="20.25" customHeight="1" spans="1:1" x14ac:dyDescent="0.25">
      <c r="A297" s="137" t="s">
        <v>1307</v>
      </c>
    </row>
    <row r="298" ht="20.25" customHeight="1" spans="1:1" x14ac:dyDescent="0.25">
      <c r="A298" s="137" t="s">
        <v>1308</v>
      </c>
    </row>
    <row r="299" ht="20.25" customHeight="1" spans="1:1" x14ac:dyDescent="0.25">
      <c r="A299" s="137" t="s">
        <v>1309</v>
      </c>
    </row>
    <row r="300" ht="20.25" customHeight="1" spans="1:1" x14ac:dyDescent="0.25">
      <c r="A300" s="137" t="s">
        <v>1310</v>
      </c>
    </row>
    <row r="301" ht="20.25" customHeight="1" spans="1:2" x14ac:dyDescent="0.25">
      <c r="A301" s="312" t="s">
        <v>1311</v>
      </c>
      <c r="B301" s="320"/>
    </row>
    <row r="302" ht="20.25" customHeight="1" spans="1:1" x14ac:dyDescent="0.25">
      <c r="A302" s="137" t="s">
        <v>1312</v>
      </c>
    </row>
    <row r="303" ht="20.25" customHeight="1" spans="1:1" x14ac:dyDescent="0.25">
      <c r="A303" s="137" t="s">
        <v>1313</v>
      </c>
    </row>
    <row r="304" ht="20.25" customHeight="1" spans="1:1" x14ac:dyDescent="0.25">
      <c r="A304" s="137" t="s">
        <v>1314</v>
      </c>
    </row>
    <row r="305" ht="20.25" customHeight="1" spans="1:1" x14ac:dyDescent="0.25">
      <c r="A305" s="137" t="s">
        <v>1315</v>
      </c>
    </row>
    <row r="306" ht="20.25" customHeight="1" spans="1:1" x14ac:dyDescent="0.25">
      <c r="A306" s="137" t="s">
        <v>1316</v>
      </c>
    </row>
    <row r="307" ht="20.25" customHeight="1" spans="1:1" x14ac:dyDescent="0.25">
      <c r="A307" s="137" t="s">
        <v>1317</v>
      </c>
    </row>
    <row r="308" ht="20.25" customHeight="1" spans="1:1" x14ac:dyDescent="0.25">
      <c r="A308" s="137" t="s">
        <v>1318</v>
      </c>
    </row>
    <row r="309" ht="20.25" customHeight="1" spans="1:1" x14ac:dyDescent="0.25">
      <c r="A309" s="137" t="s">
        <v>615</v>
      </c>
    </row>
    <row r="310" ht="20.25" customHeight="1" spans="1:2" x14ac:dyDescent="0.25">
      <c r="A310" s="312" t="s">
        <v>1319</v>
      </c>
      <c r="B310" s="320"/>
    </row>
    <row r="311" ht="20.25" customHeight="1" spans="1:1" x14ac:dyDescent="0.25">
      <c r="A311" s="137" t="s">
        <v>1320</v>
      </c>
    </row>
    <row r="312" ht="20.25" customHeight="1" spans="1:1" x14ac:dyDescent="0.25">
      <c r="A312" s="137" t="s">
        <v>1321</v>
      </c>
    </row>
    <row r="313" ht="20.25" customHeight="1" spans="1:1" x14ac:dyDescent="0.25">
      <c r="A313" s="137" t="s">
        <v>1322</v>
      </c>
    </row>
    <row r="314" ht="20.25" customHeight="1" spans="1:1" x14ac:dyDescent="0.25">
      <c r="A314" s="137" t="s">
        <v>1323</v>
      </c>
    </row>
    <row r="315" ht="20.25" customHeight="1" spans="1:1" x14ac:dyDescent="0.25">
      <c r="A315" s="137" t="s">
        <v>1324</v>
      </c>
    </row>
    <row r="316" ht="20.25" customHeight="1" spans="1:1" x14ac:dyDescent="0.25">
      <c r="A316" s="137" t="s">
        <v>1325</v>
      </c>
    </row>
    <row r="317" ht="20.25" customHeight="1" spans="1:1" x14ac:dyDescent="0.25">
      <c r="A317" s="137" t="s">
        <v>1326</v>
      </c>
    </row>
    <row r="318" ht="20.25" customHeight="1" spans="1:1" x14ac:dyDescent="0.25">
      <c r="A318" s="137" t="s">
        <v>1327</v>
      </c>
    </row>
    <row r="319" ht="20.25" customHeight="1" spans="1:1" x14ac:dyDescent="0.25">
      <c r="A319" s="137" t="s">
        <v>1328</v>
      </c>
    </row>
    <row r="320" ht="20.25" customHeight="1" spans="1:1" x14ac:dyDescent="0.25">
      <c r="A320" s="137" t="s">
        <v>1329</v>
      </c>
    </row>
    <row r="321" ht="20.25" customHeight="1" spans="1:1" x14ac:dyDescent="0.25">
      <c r="A321" s="137" t="s">
        <v>1330</v>
      </c>
    </row>
    <row r="322" ht="20.25" customHeight="1" spans="1:1" x14ac:dyDescent="0.25">
      <c r="A322" s="137" t="s">
        <v>1331</v>
      </c>
    </row>
    <row r="323" ht="20.25" customHeight="1" spans="1:1" x14ac:dyDescent="0.25">
      <c r="A323" s="137" t="s">
        <v>1332</v>
      </c>
    </row>
    <row r="324" ht="20.25" customHeight="1" spans="1:1" x14ac:dyDescent="0.25">
      <c r="A324" s="137" t="s">
        <v>1333</v>
      </c>
    </row>
    <row r="325" ht="20.25" customHeight="1" spans="1:1" x14ac:dyDescent="0.25">
      <c r="A325" s="137" t="s">
        <v>1334</v>
      </c>
    </row>
    <row r="326" ht="20.25" customHeight="1" spans="1:1" x14ac:dyDescent="0.25">
      <c r="A326" s="312" t="s">
        <v>1335</v>
      </c>
    </row>
    <row r="327" ht="20.25" customHeight="1" spans="1:1" x14ac:dyDescent="0.25">
      <c r="A327" s="137" t="s">
        <v>1336</v>
      </c>
    </row>
    <row r="328" ht="20.25" customHeight="1" spans="1:1" x14ac:dyDescent="0.25">
      <c r="A328" s="137" t="s">
        <v>1337</v>
      </c>
    </row>
    <row r="329" ht="20.25" customHeight="1" spans="1:1" x14ac:dyDescent="0.25">
      <c r="A329" s="137" t="s">
        <v>1338</v>
      </c>
    </row>
    <row r="330" ht="20.25" customHeight="1" spans="1:1" x14ac:dyDescent="0.25">
      <c r="A330" s="312" t="s">
        <v>1339</v>
      </c>
    </row>
    <row r="331" ht="20.25" customHeight="1" spans="1:1" x14ac:dyDescent="0.25">
      <c r="A331" s="137" t="s">
        <v>1340</v>
      </c>
    </row>
    <row r="332" ht="20.25" customHeight="1" spans="1:1" x14ac:dyDescent="0.25">
      <c r="A332" s="137" t="s">
        <v>1341</v>
      </c>
    </row>
    <row r="333" ht="19.5" customHeight="1" spans="1:1" x14ac:dyDescent="0.25">
      <c r="A333" s="137" t="s">
        <v>1342</v>
      </c>
    </row>
    <row r="334" ht="19.5" customHeight="1" spans="1:1" x14ac:dyDescent="0.25">
      <c r="A334" s="137" t="s">
        <v>1343</v>
      </c>
    </row>
    <row r="335" ht="19.5" customHeight="1" spans="1:1" x14ac:dyDescent="0.25">
      <c r="A335" s="137" t="s">
        <v>1344</v>
      </c>
    </row>
    <row r="336" ht="19.5" customHeight="1" spans="1:1" x14ac:dyDescent="0.25">
      <c r="A336" s="312" t="s">
        <v>1345</v>
      </c>
    </row>
    <row r="337" ht="19.5" customHeight="1" spans="1:1" x14ac:dyDescent="0.25">
      <c r="A337" s="137" t="s">
        <v>1346</v>
      </c>
    </row>
    <row r="338" ht="19.5" customHeight="1" spans="1:1" x14ac:dyDescent="0.25">
      <c r="A338" s="137" t="s">
        <v>1347</v>
      </c>
    </row>
    <row r="339" ht="19.5" customHeight="1" spans="1:1" x14ac:dyDescent="0.25">
      <c r="A339" s="137" t="s">
        <v>1348</v>
      </c>
    </row>
    <row r="340" ht="19.5" customHeight="1" spans="1:1" x14ac:dyDescent="0.25">
      <c r="A340" s="137" t="s">
        <v>1349</v>
      </c>
    </row>
    <row r="341" ht="19.5" customHeight="1" spans="1:1" x14ac:dyDescent="0.25">
      <c r="A341" s="137" t="s">
        <v>1350</v>
      </c>
    </row>
    <row r="342" ht="19.5" customHeight="1" spans="1:1" x14ac:dyDescent="0.25">
      <c r="A342" s="137" t="s">
        <v>1351</v>
      </c>
    </row>
    <row r="343" ht="19.5" customHeight="1" spans="1:1" x14ac:dyDescent="0.25">
      <c r="A343" s="312" t="s">
        <v>1352</v>
      </c>
    </row>
    <row r="344" ht="19.5" customHeight="1" spans="1:1" x14ac:dyDescent="0.25">
      <c r="A344" s="137" t="s">
        <v>1353</v>
      </c>
    </row>
    <row r="345" ht="19.5" customHeight="1" spans="1:1" x14ac:dyDescent="0.25">
      <c r="A345" s="137" t="s">
        <v>1354</v>
      </c>
    </row>
    <row r="346" ht="19.5" customHeight="1" spans="1:1" x14ac:dyDescent="0.25">
      <c r="A346" s="137" t="s">
        <v>1355</v>
      </c>
    </row>
    <row r="347" ht="19.5" customHeight="1" spans="1:1" x14ac:dyDescent="0.25">
      <c r="A347" s="137" t="s">
        <v>1356</v>
      </c>
    </row>
    <row r="348" ht="19.5" customHeight="1" spans="1:1" x14ac:dyDescent="0.25">
      <c r="A348" s="137" t="s">
        <v>1357</v>
      </c>
    </row>
    <row r="349" ht="19.5" customHeight="1" spans="1:1" x14ac:dyDescent="0.25">
      <c r="A349" s="137" t="s">
        <v>1358</v>
      </c>
    </row>
    <row r="350" ht="19.5" customHeight="1" spans="1:1" x14ac:dyDescent="0.25">
      <c r="A350" s="137" t="s">
        <v>1359</v>
      </c>
    </row>
    <row r="351" ht="19.5" customHeight="1" spans="1:1" x14ac:dyDescent="0.25">
      <c r="A351" s="312" t="s">
        <v>1360</v>
      </c>
    </row>
    <row r="352" ht="19.5" customHeight="1" spans="1:1" x14ac:dyDescent="0.25">
      <c r="A352" s="137" t="s">
        <v>1361</v>
      </c>
    </row>
    <row r="353" ht="19.5" customHeight="1" spans="1:1" x14ac:dyDescent="0.25">
      <c r="A353" s="137" t="s">
        <v>1362</v>
      </c>
    </row>
    <row r="354" ht="19.5" customHeight="1" spans="1:1" x14ac:dyDescent="0.25">
      <c r="A354" s="137" t="s">
        <v>1363</v>
      </c>
    </row>
    <row r="355" ht="19.5" customHeight="1" spans="1:1" x14ac:dyDescent="0.25">
      <c r="A355" s="137" t="s">
        <v>1364</v>
      </c>
    </row>
    <row r="356" ht="19.5" customHeight="1" spans="1:1" x14ac:dyDescent="0.25">
      <c r="A356" s="137" t="s">
        <v>1365</v>
      </c>
    </row>
    <row r="357" ht="20.25" customHeight="1" spans="1:1" x14ac:dyDescent="0.25">
      <c r="A357" s="137" t="s">
        <v>1366</v>
      </c>
    </row>
    <row r="358" ht="20.25" customHeight="1" spans="1:1" x14ac:dyDescent="0.25">
      <c r="A358" s="137" t="s">
        <v>1367</v>
      </c>
    </row>
    <row r="359" ht="20.25" customHeight="1" spans="1:1" x14ac:dyDescent="0.25">
      <c r="A359" s="137" t="s">
        <v>1368</v>
      </c>
    </row>
    <row r="360" ht="20.25" customHeight="1" spans="1:1" x14ac:dyDescent="0.25">
      <c r="A360" s="137" t="s">
        <v>1369</v>
      </c>
    </row>
    <row r="361" ht="20.25" customHeight="1" spans="1:1" x14ac:dyDescent="0.25">
      <c r="A361" s="137" t="s">
        <v>1370</v>
      </c>
    </row>
    <row r="362" ht="20.25" customHeight="1" spans="1:1" x14ac:dyDescent="0.25">
      <c r="A362" s="137" t="s">
        <v>1371</v>
      </c>
    </row>
    <row r="363" ht="20.25" customHeight="1" spans="1:1" x14ac:dyDescent="0.25">
      <c r="A363" s="137" t="s">
        <v>1372</v>
      </c>
    </row>
    <row r="364" ht="20.25" customHeight="1" spans="1:1" x14ac:dyDescent="0.25">
      <c r="A364" s="137" t="s">
        <v>1373</v>
      </c>
    </row>
    <row r="365" ht="20.25" customHeight="1" spans="1:1" x14ac:dyDescent="0.25">
      <c r="A365" s="137" t="s">
        <v>1374</v>
      </c>
    </row>
    <row r="366" ht="20.25" customHeight="1" spans="1:1" x14ac:dyDescent="0.25">
      <c r="A366" s="137" t="s">
        <v>1375</v>
      </c>
    </row>
    <row r="367" ht="20.25" customHeight="1" spans="1:1" x14ac:dyDescent="0.25">
      <c r="A367" s="137" t="s">
        <v>1376</v>
      </c>
    </row>
    <row r="368" ht="20.25" customHeight="1" spans="1:1" x14ac:dyDescent="0.25">
      <c r="A368" s="137" t="s">
        <v>1377</v>
      </c>
    </row>
    <row r="369" ht="20.25" customHeight="1" spans="1:1" x14ac:dyDescent="0.25">
      <c r="A369" s="137" t="s">
        <v>1378</v>
      </c>
    </row>
    <row r="370" ht="20.25" customHeight="1" spans="1:1" x14ac:dyDescent="0.25">
      <c r="A370" s="137" t="s">
        <v>1379</v>
      </c>
    </row>
    <row r="371" ht="20.25" customHeight="1" spans="1:1" x14ac:dyDescent="0.25">
      <c r="A371" s="137" t="s">
        <v>1380</v>
      </c>
    </row>
    <row r="372" ht="20.25" customHeight="1" spans="1:1" x14ac:dyDescent="0.25">
      <c r="A372" s="137" t="s">
        <v>1381</v>
      </c>
    </row>
    <row r="373" ht="20.25" customHeight="1" spans="1:1" x14ac:dyDescent="0.25">
      <c r="A373" s="137" t="s">
        <v>1382</v>
      </c>
    </row>
    <row r="374" ht="20.25" customHeight="1" spans="1:1" x14ac:dyDescent="0.25">
      <c r="A374" s="137" t="s">
        <v>1383</v>
      </c>
    </row>
    <row r="375" ht="20.25" customHeight="1" spans="1:1" x14ac:dyDescent="0.25">
      <c r="A375" s="137" t="s">
        <v>1384</v>
      </c>
    </row>
    <row r="376" ht="20.25" customHeight="1" spans="1:1" x14ac:dyDescent="0.25">
      <c r="A376" s="137" t="s">
        <v>1385</v>
      </c>
    </row>
    <row r="377" ht="20.25" customHeight="1" spans="1:1" x14ac:dyDescent="0.25">
      <c r="A377" s="137" t="s">
        <v>1386</v>
      </c>
    </row>
    <row r="378" ht="20.25" customHeight="1" spans="1:1" x14ac:dyDescent="0.25">
      <c r="A378" s="137" t="s">
        <v>1387</v>
      </c>
    </row>
    <row r="379" ht="20.25" customHeight="1" spans="1:1" x14ac:dyDescent="0.25">
      <c r="A379" s="137" t="s">
        <v>1388</v>
      </c>
    </row>
    <row r="380" ht="20.25" customHeight="1" spans="1:1" x14ac:dyDescent="0.25">
      <c r="A380" s="137" t="s">
        <v>1389</v>
      </c>
    </row>
    <row r="381" ht="20.25" customHeight="1" spans="1:1" x14ac:dyDescent="0.25">
      <c r="A381" s="137" t="s">
        <v>1390</v>
      </c>
    </row>
    <row r="382" ht="20.25" customHeight="1" spans="1:1" x14ac:dyDescent="0.25">
      <c r="A382" s="137" t="s">
        <v>1391</v>
      </c>
    </row>
    <row r="383" ht="20.25" customHeight="1" spans="1:1" x14ac:dyDescent="0.25">
      <c r="A383" s="137" t="s">
        <v>1392</v>
      </c>
    </row>
    <row r="384" ht="20.25" customHeight="1" spans="1:1" x14ac:dyDescent="0.25">
      <c r="A384" s="137" t="s">
        <v>1393</v>
      </c>
    </row>
    <row r="385" ht="20.25" customHeight="1" spans="1:1" x14ac:dyDescent="0.25">
      <c r="A385" s="137" t="s">
        <v>1394</v>
      </c>
    </row>
    <row r="386" ht="20.25" customHeight="1" spans="1:1" x14ac:dyDescent="0.25">
      <c r="A386" s="137" t="s">
        <v>1395</v>
      </c>
    </row>
    <row r="387" ht="20.25" customHeight="1" spans="1:1" x14ac:dyDescent="0.25">
      <c r="A387" s="137" t="s">
        <v>1396</v>
      </c>
    </row>
    <row r="388" ht="20.25" customHeight="1" spans="1:1" x14ac:dyDescent="0.25">
      <c r="A388" s="137" t="s">
        <v>1397</v>
      </c>
    </row>
    <row r="389" ht="20.25" customHeight="1" spans="1:1" x14ac:dyDescent="0.25">
      <c r="A389" s="137" t="s">
        <v>1398</v>
      </c>
    </row>
    <row r="390" ht="20.25" customHeight="1" spans="1:1" x14ac:dyDescent="0.25">
      <c r="A390" s="137" t="s">
        <v>1399</v>
      </c>
    </row>
    <row r="391" ht="20.25" customHeight="1" spans="1:1" x14ac:dyDescent="0.25">
      <c r="A391" s="137" t="s">
        <v>1400</v>
      </c>
    </row>
    <row r="392" ht="20.25" customHeight="1" spans="1:1" x14ac:dyDescent="0.25">
      <c r="A392" s="137" t="s">
        <v>1401</v>
      </c>
    </row>
    <row r="393" ht="20.25" customHeight="1" spans="1:2" x14ac:dyDescent="0.25">
      <c r="A393" s="312" t="s">
        <v>1402</v>
      </c>
      <c r="B393" s="320"/>
    </row>
    <row r="394" ht="20.25" customHeight="1" spans="1:1" x14ac:dyDescent="0.25">
      <c r="A394" s="137" t="s">
        <v>1403</v>
      </c>
    </row>
    <row r="395" ht="20.25" customHeight="1" spans="1:1" x14ac:dyDescent="0.25">
      <c r="A395" s="137" t="s">
        <v>1404</v>
      </c>
    </row>
    <row r="396" ht="20.25" customHeight="1" spans="1:1" x14ac:dyDescent="0.25">
      <c r="A396" s="137" t="s">
        <v>1405</v>
      </c>
    </row>
    <row r="397" ht="20.25" customHeight="1" spans="1:1" x14ac:dyDescent="0.25">
      <c r="A397" s="137" t="s">
        <v>1406</v>
      </c>
    </row>
    <row r="398" ht="20.25" customHeight="1" spans="1:1" x14ac:dyDescent="0.25">
      <c r="A398" s="137" t="s">
        <v>1407</v>
      </c>
    </row>
    <row r="399" ht="20.25" customHeight="1" spans="1:1" x14ac:dyDescent="0.25">
      <c r="A399" s="137" t="s">
        <v>1408</v>
      </c>
    </row>
    <row r="400" ht="20.25" customHeight="1" spans="1:1" x14ac:dyDescent="0.25">
      <c r="A400" s="137" t="s">
        <v>1409</v>
      </c>
    </row>
    <row r="401" ht="20.25" customHeight="1" spans="1:2" x14ac:dyDescent="0.25">
      <c r="A401" s="312" t="s">
        <v>1410</v>
      </c>
      <c r="B401" s="320"/>
    </row>
    <row r="402" ht="20.25" customHeight="1" spans="1:2" x14ac:dyDescent="0.25">
      <c r="A402" s="137" t="s">
        <v>1411</v>
      </c>
      <c r="B402" s="320"/>
    </row>
    <row r="403" ht="20.25" customHeight="1" spans="1:2" x14ac:dyDescent="0.25">
      <c r="A403" s="137" t="s">
        <v>1412</v>
      </c>
      <c r="B403" s="320"/>
    </row>
    <row r="404" ht="20.25" customHeight="1" spans="1:2" x14ac:dyDescent="0.25">
      <c r="A404" s="137" t="s">
        <v>1413</v>
      </c>
      <c r="B404" s="320"/>
    </row>
    <row r="405" ht="20.25" customHeight="1" spans="1:2" x14ac:dyDescent="0.25">
      <c r="A405" s="137" t="s">
        <v>1414</v>
      </c>
      <c r="B405" s="320"/>
    </row>
    <row r="406" ht="20.25" customHeight="1" spans="1:2" x14ac:dyDescent="0.25">
      <c r="A406" s="137" t="s">
        <v>1415</v>
      </c>
      <c r="B406" s="320"/>
    </row>
    <row r="407" ht="20.25" customHeight="1" spans="1:2" x14ac:dyDescent="0.25">
      <c r="A407" s="137" t="s">
        <v>1416</v>
      </c>
      <c r="B407" s="320"/>
    </row>
    <row r="408" ht="20.25" customHeight="1" spans="1:2" x14ac:dyDescent="0.25">
      <c r="A408" s="137" t="s">
        <v>1417</v>
      </c>
      <c r="B408" s="320"/>
    </row>
    <row r="409" ht="20.25" customHeight="1" spans="1:2" x14ac:dyDescent="0.25">
      <c r="A409" s="137" t="s">
        <v>1418</v>
      </c>
      <c r="B409" s="320"/>
    </row>
    <row r="410" ht="20.25" customHeight="1" spans="1:2" x14ac:dyDescent="0.25">
      <c r="A410" s="137" t="s">
        <v>1419</v>
      </c>
      <c r="B410" s="320"/>
    </row>
    <row r="411" ht="20.25" customHeight="1" spans="1:2" x14ac:dyDescent="0.25">
      <c r="A411" s="137" t="s">
        <v>1420</v>
      </c>
      <c r="B411" s="320"/>
    </row>
    <row r="412" ht="20.25" customHeight="1" spans="1:2" x14ac:dyDescent="0.25">
      <c r="A412" s="137" t="s">
        <v>1421</v>
      </c>
      <c r="B412" s="320"/>
    </row>
    <row r="413" ht="20.25" customHeight="1" spans="1:2" x14ac:dyDescent="0.25">
      <c r="A413" s="137" t="s">
        <v>1422</v>
      </c>
      <c r="B413" s="320"/>
    </row>
    <row r="414" ht="20.25" customHeight="1" spans="1:2" x14ac:dyDescent="0.25">
      <c r="A414" s="137" t="s">
        <v>1423</v>
      </c>
      <c r="B414" s="320"/>
    </row>
    <row r="415" ht="20.25" customHeight="1" spans="1:2" x14ac:dyDescent="0.25">
      <c r="A415" s="137" t="s">
        <v>1424</v>
      </c>
      <c r="B415" s="320"/>
    </row>
    <row r="416" ht="20.25" customHeight="1" spans="1:1" x14ac:dyDescent="0.25">
      <c r="A416" s="137" t="s">
        <v>1425</v>
      </c>
    </row>
    <row r="417" ht="20.25" customHeight="1" spans="1:1" x14ac:dyDescent="0.25">
      <c r="A417" s="137" t="s">
        <v>1426</v>
      </c>
    </row>
    <row r="418" ht="20.25" customHeight="1" spans="1:2" x14ac:dyDescent="0.25">
      <c r="A418" s="312" t="s">
        <v>1427</v>
      </c>
      <c r="B418" s="320"/>
    </row>
    <row r="419" ht="20.25" customHeight="1" spans="1:1" x14ac:dyDescent="0.25">
      <c r="A419" s="137" t="s">
        <v>1428</v>
      </c>
    </row>
    <row r="420" ht="20.25" customHeight="1" spans="1:1" x14ac:dyDescent="0.25">
      <c r="A420" s="137" t="s">
        <v>1429</v>
      </c>
    </row>
    <row r="421" ht="20.25" customHeight="1" spans="1:1" x14ac:dyDescent="0.25">
      <c r="A421" s="137" t="s">
        <v>1430</v>
      </c>
    </row>
    <row r="422" ht="20.25" customHeight="1" spans="1:1" x14ac:dyDescent="0.25">
      <c r="A422" s="137" t="s">
        <v>1431</v>
      </c>
    </row>
    <row r="423" ht="20.25" customHeight="1" spans="1:1" x14ac:dyDescent="0.25">
      <c r="A423" s="137" t="s">
        <v>1432</v>
      </c>
    </row>
    <row r="424" ht="20.25" customHeight="1" spans="1:1" x14ac:dyDescent="0.25">
      <c r="A424" s="137" t="s">
        <v>1433</v>
      </c>
    </row>
    <row r="425" ht="20.25" customHeight="1" spans="1:1" x14ac:dyDescent="0.25">
      <c r="A425" s="137" t="s">
        <v>1434</v>
      </c>
    </row>
    <row r="426" ht="20.25" customHeight="1" spans="1:1" x14ac:dyDescent="0.25">
      <c r="A426" s="137" t="s">
        <v>1435</v>
      </c>
    </row>
    <row r="427" ht="20.25" customHeight="1" spans="1:1" x14ac:dyDescent="0.25">
      <c r="A427" s="137" t="s">
        <v>1436</v>
      </c>
    </row>
    <row r="428" ht="20.25" customHeight="1" spans="1:1" x14ac:dyDescent="0.25">
      <c r="A428" s="137" t="s">
        <v>1437</v>
      </c>
    </row>
    <row r="429" ht="20.25" customHeight="1" spans="1:1" x14ac:dyDescent="0.25">
      <c r="A429" s="137" t="s">
        <v>1438</v>
      </c>
    </row>
    <row r="430" ht="20.25" customHeight="1" spans="1:1" x14ac:dyDescent="0.25">
      <c r="A430" s="137" t="s">
        <v>1439</v>
      </c>
    </row>
    <row r="431" ht="20.25" customHeight="1" spans="1:1" x14ac:dyDescent="0.25">
      <c r="A431" s="137" t="s">
        <v>1440</v>
      </c>
    </row>
    <row r="432" ht="20.25" customHeight="1" spans="1:1" x14ac:dyDescent="0.25">
      <c r="A432" s="137" t="s">
        <v>1441</v>
      </c>
    </row>
    <row r="433" ht="20.25" customHeight="1" spans="1:1" x14ac:dyDescent="0.25">
      <c r="A433" s="137" t="s">
        <v>1442</v>
      </c>
    </row>
    <row r="434" ht="20.25" customHeight="1" spans="1:1" x14ac:dyDescent="0.25">
      <c r="A434" s="137" t="s">
        <v>1443</v>
      </c>
    </row>
    <row r="435" ht="20.25" customHeight="1" spans="1:1" x14ac:dyDescent="0.25">
      <c r="A435" s="137" t="s">
        <v>1444</v>
      </c>
    </row>
    <row r="436" ht="20.25" customHeight="1" spans="1:1" x14ac:dyDescent="0.25">
      <c r="A436" s="312" t="s">
        <v>1445</v>
      </c>
    </row>
    <row r="437" ht="20.25" customHeight="1" spans="1:1" x14ac:dyDescent="0.25">
      <c r="A437" s="137" t="s">
        <v>1446</v>
      </c>
    </row>
    <row r="438" ht="20.25" customHeight="1" spans="1:1" x14ac:dyDescent="0.25">
      <c r="A438" s="137" t="s">
        <v>1447</v>
      </c>
    </row>
    <row r="439" ht="20.25" customHeight="1" spans="1:1" x14ac:dyDescent="0.25">
      <c r="A439" s="137" t="s">
        <v>1448</v>
      </c>
    </row>
    <row r="440" ht="20.25" customHeight="1" spans="1:1" x14ac:dyDescent="0.25">
      <c r="A440" s="137" t="s">
        <v>1449</v>
      </c>
    </row>
    <row r="441" ht="20.25" customHeight="1" spans="1:1" x14ac:dyDescent="0.25">
      <c r="A441" s="137" t="s">
        <v>1450</v>
      </c>
    </row>
    <row r="442" ht="20.25" customHeight="1" spans="1:1" x14ac:dyDescent="0.25">
      <c r="A442" s="137" t="s">
        <v>1451</v>
      </c>
    </row>
    <row r="443" ht="20.25" customHeight="1" spans="1:1" x14ac:dyDescent="0.25">
      <c r="A443" s="137" t="s">
        <v>1452</v>
      </c>
    </row>
    <row r="444" ht="20.25" customHeight="1" spans="1:1" x14ac:dyDescent="0.25">
      <c r="A444" s="137" t="s">
        <v>1453</v>
      </c>
    </row>
    <row r="445" ht="20.25" customHeight="1" spans="1:1" x14ac:dyDescent="0.25">
      <c r="A445" s="137" t="s">
        <v>1454</v>
      </c>
    </row>
    <row r="446" ht="20.25" customHeight="1" spans="1:1" x14ac:dyDescent="0.25">
      <c r="A446" s="137" t="s">
        <v>1455</v>
      </c>
    </row>
    <row r="447" ht="20.25" customHeight="1" spans="1:1" x14ac:dyDescent="0.25">
      <c r="A447" s="137" t="s">
        <v>1456</v>
      </c>
    </row>
    <row r="448" ht="20.25" customHeight="1" spans="1:1" x14ac:dyDescent="0.25">
      <c r="A448" s="137" t="s">
        <v>1457</v>
      </c>
    </row>
    <row r="449" ht="20.25" customHeight="1" spans="1:1" x14ac:dyDescent="0.25">
      <c r="A449" s="312" t="s">
        <v>1458</v>
      </c>
    </row>
    <row r="450" ht="20.25" customHeight="1" spans="1:1" x14ac:dyDescent="0.25">
      <c r="A450" s="137" t="s">
        <v>1459</v>
      </c>
    </row>
    <row r="451" ht="20.25" customHeight="1" spans="1:1" x14ac:dyDescent="0.25">
      <c r="A451" s="137" t="s">
        <v>1460</v>
      </c>
    </row>
    <row r="452" ht="20.25" customHeight="1" spans="1:1" x14ac:dyDescent="0.25">
      <c r="A452" s="137" t="s">
        <v>1461</v>
      </c>
    </row>
    <row r="453" ht="20.25" customHeight="1" spans="1:1" x14ac:dyDescent="0.25">
      <c r="A453" s="137" t="s">
        <v>1462</v>
      </c>
    </row>
    <row r="454" ht="20.25" customHeight="1" spans="1:1" x14ac:dyDescent="0.25">
      <c r="A454" s="137" t="s">
        <v>1463</v>
      </c>
    </row>
    <row r="455" ht="20.25" customHeight="1" spans="1:1" x14ac:dyDescent="0.25">
      <c r="A455" s="137" t="s">
        <v>1464</v>
      </c>
    </row>
    <row r="456" ht="20.25" customHeight="1" spans="1:1" x14ac:dyDescent="0.25">
      <c r="A456" s="137" t="s">
        <v>1465</v>
      </c>
    </row>
    <row r="457" ht="20.25" customHeight="1" spans="1:1" x14ac:dyDescent="0.25">
      <c r="A457" s="137" t="s">
        <v>1466</v>
      </c>
    </row>
    <row r="458" ht="20.25" customHeight="1" spans="1:1" x14ac:dyDescent="0.25">
      <c r="A458" s="137" t="s">
        <v>1467</v>
      </c>
    </row>
    <row r="459" ht="20.25" customHeight="1" spans="1:1" x14ac:dyDescent="0.25">
      <c r="A459" s="312" t="s">
        <v>1468</v>
      </c>
    </row>
    <row r="460" ht="20.25" customHeight="1" spans="1:1" x14ac:dyDescent="0.25">
      <c r="A460" s="137" t="s">
        <v>1469</v>
      </c>
    </row>
    <row r="461" ht="20.25" customHeight="1" spans="1:1" x14ac:dyDescent="0.25">
      <c r="A461" s="137" t="s">
        <v>1470</v>
      </c>
    </row>
    <row r="462" ht="20.25" customHeight="1" spans="1:1" x14ac:dyDescent="0.25">
      <c r="A462" s="137" t="s">
        <v>1471</v>
      </c>
    </row>
    <row r="463" ht="20.25" customHeight="1" spans="1:1" x14ac:dyDescent="0.25">
      <c r="A463" s="137" t="s">
        <v>1472</v>
      </c>
    </row>
    <row r="464" ht="20.25" customHeight="1" spans="1:1" x14ac:dyDescent="0.25">
      <c r="A464" s="137" t="s">
        <v>1473</v>
      </c>
    </row>
    <row r="465" ht="20.25" customHeight="1" spans="1:2" x14ac:dyDescent="0.25">
      <c r="A465" s="312" t="s">
        <v>1474</v>
      </c>
      <c r="B465" s="320"/>
    </row>
    <row r="466" ht="20.25" customHeight="1" spans="1:1" x14ac:dyDescent="0.25">
      <c r="A466" s="137" t="s">
        <v>1475</v>
      </c>
    </row>
    <row r="467" ht="20.25" customHeight="1" spans="1:1" x14ac:dyDescent="0.25">
      <c r="A467" s="137" t="s">
        <v>1476</v>
      </c>
    </row>
    <row r="468" ht="20.25" customHeight="1" spans="1:2" x14ac:dyDescent="0.25">
      <c r="A468" s="312" t="s">
        <v>1477</v>
      </c>
      <c r="B468" s="320"/>
    </row>
    <row r="469" ht="20.25" customHeight="1" spans="1:1" x14ac:dyDescent="0.25">
      <c r="A469" s="137" t="s">
        <v>1478</v>
      </c>
    </row>
    <row r="470" ht="20.25" customHeight="1" spans="1:1" x14ac:dyDescent="0.25">
      <c r="A470" s="137" t="s">
        <v>1479</v>
      </c>
    </row>
    <row r="471" ht="20.25" customHeight="1" spans="1:1" x14ac:dyDescent="0.25">
      <c r="A471" s="312" t="s">
        <v>1480</v>
      </c>
    </row>
    <row r="472" ht="20.25" customHeight="1" spans="1:1" x14ac:dyDescent="0.25">
      <c r="A472" s="137" t="s">
        <v>1481</v>
      </c>
    </row>
    <row r="473" ht="20.25" customHeight="1" spans="1:1" x14ac:dyDescent="0.25">
      <c r="A473" s="137" t="s">
        <v>1482</v>
      </c>
    </row>
    <row r="474" ht="20.25" customHeight="1" spans="1:1" x14ac:dyDescent="0.25">
      <c r="A474" s="137" t="s">
        <v>1483</v>
      </c>
    </row>
    <row r="475" ht="20.25" customHeight="1" spans="1:1" x14ac:dyDescent="0.25">
      <c r="A475" s="137" t="s">
        <v>1484</v>
      </c>
    </row>
    <row r="476" ht="20.25" customHeight="1" spans="1:1" x14ac:dyDescent="0.25">
      <c r="A476" s="137" t="s">
        <v>1485</v>
      </c>
    </row>
    <row r="477" ht="20.25" customHeight="1" spans="1:1" x14ac:dyDescent="0.25">
      <c r="A477" s="137" t="s">
        <v>1486</v>
      </c>
    </row>
    <row r="478" ht="20.25" customHeight="1" spans="1:1" x14ac:dyDescent="0.25">
      <c r="A478" s="137" t="s">
        <v>1487</v>
      </c>
    </row>
    <row r="479" ht="20.25" customHeight="1" spans="1:1" x14ac:dyDescent="0.25">
      <c r="A479" s="137" t="s">
        <v>1488</v>
      </c>
    </row>
    <row r="480" ht="20.25" customHeight="1" spans="1:1" x14ac:dyDescent="0.25">
      <c r="A480" s="137" t="s">
        <v>1489</v>
      </c>
    </row>
    <row r="481" ht="20.25" customHeight="1" spans="1:1" x14ac:dyDescent="0.25">
      <c r="A481" s="137" t="s">
        <v>1490</v>
      </c>
    </row>
    <row r="482" ht="20.25" customHeight="1" spans="1:1" x14ac:dyDescent="0.25">
      <c r="A482" s="137" t="s">
        <v>1491</v>
      </c>
    </row>
    <row r="483" ht="15" customHeight="1" spans="1:1" x14ac:dyDescent="0.25">
      <c r="A483" s="137" t="s">
        <v>1492</v>
      </c>
    </row>
    <row r="484" ht="20.25" customHeight="1" spans="1:1" x14ac:dyDescent="0.25">
      <c r="A484" s="137" t="s">
        <v>1493</v>
      </c>
    </row>
    <row r="485" ht="20.25" customHeight="1" spans="1:1" x14ac:dyDescent="0.25">
      <c r="A485" s="137" t="s">
        <v>1494</v>
      </c>
    </row>
    <row r="486" ht="20.25" customHeight="1" spans="1:1" x14ac:dyDescent="0.25">
      <c r="A486" s="137" t="s">
        <v>1495</v>
      </c>
    </row>
    <row r="487" ht="20.25" customHeight="1" spans="1:1" x14ac:dyDescent="0.25">
      <c r="A487" s="137" t="s">
        <v>1496</v>
      </c>
    </row>
    <row r="488" ht="20.25" customHeight="1" spans="1:1" x14ac:dyDescent="0.25">
      <c r="A488" s="137" t="s">
        <v>1497</v>
      </c>
    </row>
    <row r="489" ht="20.25" customHeight="1" spans="1:1" x14ac:dyDescent="0.25">
      <c r="A489" s="137" t="s">
        <v>1498</v>
      </c>
    </row>
    <row r="490" ht="20.25" customHeight="1" spans="1:1" x14ac:dyDescent="0.25">
      <c r="A490" s="137" t="s">
        <v>1499</v>
      </c>
    </row>
    <row r="491" ht="20.25" customHeight="1" spans="1:1" x14ac:dyDescent="0.25">
      <c r="A491" s="137" t="s">
        <v>1500</v>
      </c>
    </row>
    <row r="492" ht="20.25" customHeight="1" spans="1:1" x14ac:dyDescent="0.25">
      <c r="A492" s="137" t="s">
        <v>1501</v>
      </c>
    </row>
    <row r="493" ht="20.25" customHeight="1" spans="1:1" x14ac:dyDescent="0.25">
      <c r="A493" s="137" t="s">
        <v>1502</v>
      </c>
    </row>
    <row r="494" ht="20.25" customHeight="1" spans="1:1" x14ac:dyDescent="0.25">
      <c r="A494" s="137" t="s">
        <v>1503</v>
      </c>
    </row>
    <row r="495" ht="20.25" customHeight="1" spans="1:1" x14ac:dyDescent="0.25">
      <c r="A495" s="137" t="s">
        <v>1504</v>
      </c>
    </row>
    <row r="496" ht="20.25" customHeight="1" spans="1:1" x14ac:dyDescent="0.25">
      <c r="A496" s="137" t="s">
        <v>1505</v>
      </c>
    </row>
    <row r="497" ht="20.25" customHeight="1" spans="1:1" x14ac:dyDescent="0.25">
      <c r="A497" s="312" t="s">
        <v>1506</v>
      </c>
    </row>
    <row r="498" ht="20.25" customHeight="1" spans="1:1" x14ac:dyDescent="0.25">
      <c r="A498" s="137" t="s">
        <v>1507</v>
      </c>
    </row>
    <row r="499" ht="20.25" customHeight="1" spans="1:1" x14ac:dyDescent="0.25">
      <c r="A499" s="137" t="s">
        <v>1508</v>
      </c>
    </row>
    <row r="500" ht="20.25" customHeight="1" spans="1:1" x14ac:dyDescent="0.25">
      <c r="A500" s="137" t="s">
        <v>1509</v>
      </c>
    </row>
    <row r="501" ht="20.25" customHeight="1" spans="1:1" x14ac:dyDescent="0.25">
      <c r="A501" s="137" t="s">
        <v>1510</v>
      </c>
    </row>
    <row r="502" ht="20.25" customHeight="1" spans="1:1" x14ac:dyDescent="0.25">
      <c r="A502" s="137" t="s">
        <v>1511</v>
      </c>
    </row>
    <row r="503" ht="20.25" customHeight="1" spans="1:1" x14ac:dyDescent="0.25">
      <c r="A503" s="137" t="s">
        <v>1512</v>
      </c>
    </row>
    <row r="504" ht="20.25" customHeight="1" spans="1:1" x14ac:dyDescent="0.25">
      <c r="A504" s="137" t="s">
        <v>1513</v>
      </c>
    </row>
    <row r="505" ht="20.25" customHeight="1" spans="1:1" x14ac:dyDescent="0.25">
      <c r="A505" s="137" t="s">
        <v>1514</v>
      </c>
    </row>
    <row r="506" ht="20.25" customHeight="1" spans="1:1" x14ac:dyDescent="0.25">
      <c r="A506" s="137" t="s">
        <v>1515</v>
      </c>
    </row>
    <row r="507" ht="20.25" customHeight="1" x14ac:dyDescent="0.25"/>
    <row r="508" ht="20.25" customHeight="1" x14ac:dyDescent="0.25"/>
    <row r="509" ht="20.25" customHeight="1" x14ac:dyDescent="0.25"/>
    <row r="510" ht="20.25" customHeight="1" x14ac:dyDescent="0.25"/>
    <row r="511" ht="20.25" customHeight="1" x14ac:dyDescent="0.25"/>
    <row r="512" ht="10.15" customHeight="1" x14ac:dyDescent="0.25"/>
    <row r="513" ht="20.25" customHeight="1" spans="1:21" x14ac:dyDescent="0.25">
      <c r="A513" s="169" t="s">
        <v>1036</v>
      </c>
      <c r="B513" s="169"/>
      <c r="C513" s="169"/>
      <c r="D513" s="169"/>
      <c r="E513" s="169"/>
      <c r="F513" s="169"/>
      <c r="G513" s="169"/>
      <c r="H513" s="169"/>
      <c r="I513" s="169"/>
      <c r="J513" s="169"/>
      <c r="K513" s="169"/>
      <c r="L513" s="169"/>
      <c r="M513" s="169"/>
      <c r="N513" s="169"/>
      <c r="O513" s="169"/>
      <c r="P513" s="169"/>
      <c r="Q513" s="169"/>
      <c r="R513" s="169"/>
      <c r="S513" s="169"/>
      <c r="T513" s="169"/>
      <c r="U513" s="169"/>
    </row>
    <row r="514" ht="20.25" customHeight="1" x14ac:dyDescent="0.25"/>
    <row r="515" ht="20.25" customHeight="1" spans="1:9" x14ac:dyDescent="0.25">
      <c r="A515" s="137" t="s">
        <v>1037</v>
      </c>
      <c r="C515" s="487" t="str">
        <f>初期入力!B4&amp;"　　"&amp;初期入力!B6</f>
        <v>　　</v>
      </c>
      <c r="D515" s="487"/>
      <c r="E515" s="487"/>
      <c r="F515" s="487"/>
      <c r="G515" s="487"/>
      <c r="H515" s="487"/>
      <c r="I515" s="137" t="s">
        <v>1516</v>
      </c>
    </row>
    <row r="516" ht="20.25" customHeight="1" spans="1:23" x14ac:dyDescent="0.25">
      <c r="A516" s="137" t="s">
        <v>1517</v>
      </c>
      <c r="B516" s="488"/>
      <c r="D516" s="488"/>
      <c r="E516" s="488"/>
      <c r="F516" s="488"/>
      <c r="G516" s="488"/>
      <c r="H516" s="488"/>
      <c r="I516" s="488"/>
      <c r="J516" s="488"/>
      <c r="M516" s="488"/>
      <c r="N516" s="488"/>
      <c r="O516" s="488"/>
      <c r="P516" s="488"/>
      <c r="Q516" s="488"/>
      <c r="R516" s="488"/>
      <c r="S516" s="488"/>
      <c r="T516" s="488"/>
      <c r="U516" s="488"/>
      <c r="V516" s="488"/>
      <c r="W516" s="489"/>
    </row>
    <row r="517" ht="20.25" customHeight="1" spans="1:23" x14ac:dyDescent="0.25">
      <c r="A517" s="137" t="s">
        <v>1518</v>
      </c>
      <c r="M517" s="165">
        <f>初期入力!C14</f>
        <v>2026</v>
      </c>
      <c r="N517" s="165"/>
      <c r="O517" s="137" t="s">
        <v>33</v>
      </c>
      <c r="P517" s="165">
        <f>初期入力!E14</f>
        <v>12</v>
      </c>
      <c r="Q517" s="488" t="s">
        <v>34</v>
      </c>
      <c r="R517" s="165">
        <f>初期入力!G14</f>
        <v>25</v>
      </c>
      <c r="S517" s="496" t="s">
        <v>35</v>
      </c>
      <c r="T517" s="496" t="s">
        <v>1041</v>
      </c>
      <c r="U517" s="496"/>
      <c r="V517" s="496"/>
      <c r="W517" s="196"/>
    </row>
    <row r="518" ht="20.25" customHeight="1" spans="1:23" x14ac:dyDescent="0.25">
      <c r="A518" s="137" t="s">
        <v>1042</v>
      </c>
      <c r="I518" s="170"/>
      <c r="W518" s="196"/>
    </row>
    <row r="519" ht="12" customHeight="1" spans="23:23" x14ac:dyDescent="0.25">
      <c r="W519" s="196"/>
    </row>
    <row r="520" ht="20.25" customHeight="1" spans="1:23" x14ac:dyDescent="0.25">
      <c r="A520" s="137" t="s">
        <v>1043</v>
      </c>
      <c r="W520" s="196"/>
    </row>
    <row r="521" ht="20.25" customHeight="1" spans="1:23" x14ac:dyDescent="0.25">
      <c r="A521" s="137" t="s">
        <v>1519</v>
      </c>
      <c r="T521" s="170"/>
      <c r="U521" s="170"/>
      <c r="V521" s="170"/>
      <c r="W521" s="204"/>
    </row>
    <row r="522" ht="20.25" customHeight="1" spans="1:23" x14ac:dyDescent="0.25">
      <c r="A522" s="137" t="s">
        <v>1520</v>
      </c>
      <c r="J522" s="490"/>
      <c r="K522" s="490"/>
      <c r="L522" s="490"/>
      <c r="M522" s="490"/>
      <c r="N522" s="490"/>
      <c r="O522" s="490"/>
      <c r="P522" s="490"/>
      <c r="Q522" s="490"/>
      <c r="R522" s="490"/>
      <c r="S522" s="490"/>
      <c r="T522" s="490"/>
      <c r="U522" s="490"/>
      <c r="V522" s="490"/>
      <c r="W522" s="491"/>
    </row>
    <row r="523" ht="20.25" customHeight="1" spans="1:23" x14ac:dyDescent="0.25">
      <c r="A523" s="166" t="s">
        <v>1521</v>
      </c>
      <c r="B523" s="166"/>
      <c r="C523" s="166"/>
      <c r="D523" s="166"/>
      <c r="E523" s="166"/>
      <c r="F523" s="166"/>
      <c r="G523" s="166"/>
      <c r="H523" s="166"/>
      <c r="I523" s="166"/>
      <c r="J523" s="492"/>
      <c r="K523" s="492"/>
      <c r="L523" s="492"/>
      <c r="M523" s="492"/>
      <c r="N523" s="492"/>
      <c r="O523" s="492"/>
      <c r="P523" s="492"/>
      <c r="Q523" s="492"/>
      <c r="R523" s="492"/>
      <c r="S523" s="492"/>
      <c r="T523" s="492"/>
      <c r="U523" s="492"/>
      <c r="V523" s="492"/>
      <c r="W523" s="493"/>
    </row>
    <row r="524" ht="14.25" customHeight="1" spans="23:23" x14ac:dyDescent="0.25">
      <c r="W524" s="196"/>
    </row>
    <row r="525" ht="20.25" customHeight="1" spans="1:23" x14ac:dyDescent="0.25">
      <c r="A525" s="137" t="s">
        <v>1047</v>
      </c>
      <c r="W525" s="196"/>
    </row>
    <row r="526" ht="20.25" customHeight="1" spans="1:23" x14ac:dyDescent="0.25">
      <c r="A526" s="137" t="s">
        <v>1522</v>
      </c>
      <c r="W526" s="196"/>
    </row>
    <row r="527" ht="20.25" customHeight="1" spans="1:23" x14ac:dyDescent="0.25">
      <c r="A527" s="137" t="s">
        <v>1523</v>
      </c>
      <c r="W527" s="196"/>
    </row>
    <row r="528" ht="20.25" customHeight="1" spans="1:23" x14ac:dyDescent="0.25">
      <c r="A528" s="137" t="s">
        <v>1524</v>
      </c>
      <c r="W528" s="196"/>
    </row>
    <row r="529" ht="20.25" customHeight="1" spans="1:23" x14ac:dyDescent="0.25">
      <c r="A529" s="137" t="s">
        <v>1525</v>
      </c>
      <c r="W529" s="196"/>
    </row>
    <row r="530" ht="20.25" customHeight="1" spans="1:23" x14ac:dyDescent="0.25">
      <c r="A530" s="137" t="s">
        <v>1526</v>
      </c>
      <c r="W530" s="196"/>
    </row>
    <row r="531" ht="20.25" customHeight="1" spans="1:23" x14ac:dyDescent="0.25">
      <c r="A531" s="137" t="s">
        <v>1527</v>
      </c>
      <c r="W531" s="196"/>
    </row>
    <row r="532" ht="14.25" customHeight="1" spans="23:23" x14ac:dyDescent="0.25">
      <c r="W532" s="196"/>
    </row>
    <row r="533" ht="20.25" customHeight="1" spans="1:23" x14ac:dyDescent="0.25">
      <c r="A533" s="137" t="s">
        <v>1054</v>
      </c>
      <c r="W533" s="196"/>
    </row>
    <row r="534" ht="20.25" customHeight="1" spans="1:23" x14ac:dyDescent="0.25">
      <c r="A534" s="137" t="s">
        <v>1528</v>
      </c>
      <c r="W534" s="196"/>
    </row>
    <row r="535" ht="20.25" customHeight="1" spans="1:23" x14ac:dyDescent="0.25">
      <c r="A535" s="137" t="s">
        <v>1529</v>
      </c>
      <c r="W535" s="196"/>
    </row>
    <row r="536" ht="20.25" customHeight="1" spans="1:23" x14ac:dyDescent="0.25">
      <c r="A536" s="137" t="s">
        <v>1530</v>
      </c>
      <c r="W536" s="196"/>
    </row>
    <row r="537" ht="11.1" customHeight="1" spans="23:23" x14ac:dyDescent="0.25">
      <c r="W537" s="196"/>
    </row>
    <row r="538" ht="20.25" customHeight="1" spans="1:23" x14ac:dyDescent="0.25">
      <c r="A538" s="137" t="s">
        <v>1058</v>
      </c>
      <c r="W538" s="196"/>
    </row>
    <row r="539" ht="20.25" customHeight="1" spans="1:23" x14ac:dyDescent="0.25">
      <c r="A539" s="137" t="s">
        <v>1531</v>
      </c>
      <c r="W539" s="196"/>
    </row>
    <row r="540" ht="20.25" customHeight="1" spans="1:23" x14ac:dyDescent="0.25">
      <c r="A540" s="137" t="s">
        <v>1532</v>
      </c>
      <c r="F540" s="166"/>
      <c r="G540" s="166"/>
      <c r="W540" s="196"/>
    </row>
    <row r="541" ht="11.1" customHeight="1" spans="23:23" x14ac:dyDescent="0.25">
      <c r="W541" s="196"/>
    </row>
    <row r="542" ht="20.25" customHeight="1" spans="1:23" x14ac:dyDescent="0.25">
      <c r="A542" s="137" t="s">
        <v>1061</v>
      </c>
      <c r="T542" s="165"/>
      <c r="U542" s="165"/>
      <c r="V542" s="165"/>
      <c r="W542" s="494"/>
    </row>
    <row r="543" ht="20.25" customHeight="1" spans="1:23" x14ac:dyDescent="0.25">
      <c r="A543" s="137" t="s">
        <v>1533</v>
      </c>
      <c r="W543" s="196"/>
    </row>
    <row r="544" ht="20.25" customHeight="1" spans="8:23" x14ac:dyDescent="0.25">
      <c r="H544" s="165"/>
      <c r="I544" s="165"/>
      <c r="J544" s="165"/>
      <c r="K544" s="165"/>
      <c r="L544" s="165"/>
      <c r="M544" s="165"/>
      <c r="W544" s="196"/>
    </row>
    <row r="545" ht="20.25" customHeight="1" spans="1:23" x14ac:dyDescent="0.25">
      <c r="A545" s="137" t="s">
        <v>1534</v>
      </c>
      <c r="W545" s="196"/>
    </row>
    <row r="546" ht="20.25" customHeight="1" spans="1:23" x14ac:dyDescent="0.25">
      <c r="A546" s="137" t="s">
        <v>1535</v>
      </c>
      <c r="H546" s="165"/>
      <c r="I546" s="165"/>
      <c r="J546" s="165"/>
      <c r="K546" s="165"/>
      <c r="L546" s="165"/>
      <c r="M546" s="165"/>
      <c r="W546" s="196"/>
    </row>
    <row r="547" ht="20.25" customHeight="1" x14ac:dyDescent="0.25"/>
    <row r="548" ht="20.25" customHeight="1" spans="3:9" x14ac:dyDescent="0.25">
      <c r="C548" s="495">
        <f>初期入力!C14</f>
        <v>2026</v>
      </c>
      <c r="D548" s="495"/>
      <c r="E548" s="488" t="s">
        <v>33</v>
      </c>
      <c r="F548" s="495">
        <f>初期入力!E14</f>
        <v>12</v>
      </c>
      <c r="G548" s="488" t="s">
        <v>34</v>
      </c>
      <c r="H548" s="495">
        <f>初期入力!G14</f>
        <v>25</v>
      </c>
      <c r="I548" s="137" t="s">
        <v>35</v>
      </c>
    </row>
    <row r="549" ht="20.25" customHeight="1" x14ac:dyDescent="0.25"/>
    <row r="550" ht="20.25" customHeight="1" spans="4:22" x14ac:dyDescent="0.25">
      <c r="D550" s="166" t="s">
        <v>1536</v>
      </c>
      <c r="E550" s="166"/>
      <c r="F550" s="166"/>
      <c r="G550" s="166"/>
      <c r="H550" s="177">
        <f>初期入力!B5</f>
        <v>0</v>
      </c>
      <c r="I550" s="177"/>
      <c r="J550" s="177"/>
      <c r="K550" s="177"/>
      <c r="L550" s="177"/>
      <c r="M550" s="177"/>
      <c r="N550" s="177"/>
      <c r="O550" s="177"/>
      <c r="P550" s="177"/>
      <c r="Q550" s="177"/>
      <c r="R550" s="177"/>
      <c r="S550" s="177"/>
      <c r="T550" s="177"/>
      <c r="U550" s="177"/>
      <c r="V550" s="496"/>
    </row>
    <row r="551" ht="12" customHeight="1" x14ac:dyDescent="0.25"/>
    <row r="552" ht="20.25" customHeight="1" spans="4:20" x14ac:dyDescent="0.25">
      <c r="D552" s="170" t="s">
        <v>198</v>
      </c>
      <c r="E552" s="170"/>
      <c r="F552" s="170"/>
      <c r="G552" s="170"/>
      <c r="H552" s="166">
        <f>初期入力!B4</f>
        <v>0</v>
      </c>
      <c r="I552" s="166"/>
      <c r="J552" s="166"/>
      <c r="K552" s="166"/>
      <c r="L552" s="166"/>
      <c r="M552" s="166"/>
      <c r="N552" s="166"/>
      <c r="O552" s="166"/>
      <c r="P552" s="166"/>
      <c r="Q552" s="655" t="s">
        <v>222</v>
      </c>
      <c r="R552" s="170"/>
      <c r="S552" s="170"/>
      <c r="T552" s="170"/>
    </row>
    <row r="553" ht="27" customHeight="1" spans="4:20" x14ac:dyDescent="0.25">
      <c r="D553" s="170"/>
      <c r="E553" s="170"/>
      <c r="F553" s="170"/>
      <c r="G553" s="170"/>
      <c r="H553" s="166"/>
      <c r="I553" s="166"/>
      <c r="J553" s="166"/>
      <c r="K553" s="166"/>
      <c r="L553" s="166"/>
      <c r="M553" s="166"/>
      <c r="N553" s="166"/>
      <c r="O553" s="166"/>
      <c r="P553" s="166"/>
      <c r="Q553" s="166"/>
      <c r="R553" s="170"/>
      <c r="S553" s="170"/>
      <c r="T553" s="170"/>
    </row>
    <row r="554" ht="20.25" customHeight="1" spans="4:21" x14ac:dyDescent="0.25">
      <c r="D554" s="166" t="s">
        <v>1536</v>
      </c>
      <c r="E554" s="166"/>
      <c r="F554" s="166"/>
      <c r="G554" s="166"/>
      <c r="H554" s="177">
        <f>IF(初期入力!B7="","",初期入力!B7)</f>
      </c>
      <c r="I554" s="177"/>
      <c r="J554" s="177"/>
      <c r="K554" s="177"/>
      <c r="L554" s="177"/>
      <c r="M554" s="177"/>
      <c r="N554" s="177"/>
      <c r="O554" s="177"/>
      <c r="P554" s="177"/>
      <c r="Q554" s="177"/>
      <c r="R554" s="177"/>
      <c r="S554" s="177"/>
      <c r="T554" s="177"/>
      <c r="U554" s="177"/>
    </row>
    <row r="555" ht="12" customHeight="1" x14ac:dyDescent="0.25"/>
    <row r="556" ht="20.25" customHeight="1" spans="4:20" x14ac:dyDescent="0.25">
      <c r="D556" s="170" t="s">
        <v>198</v>
      </c>
      <c r="E556" s="170"/>
      <c r="F556" s="170"/>
      <c r="G556" s="170"/>
      <c r="H556" s="166">
        <f>IF(初期入力!B6="","",初期入力!B6)</f>
      </c>
      <c r="I556" s="166"/>
      <c r="J556" s="166"/>
      <c r="K556" s="166"/>
      <c r="L556" s="166"/>
      <c r="M556" s="166"/>
      <c r="N556" s="166"/>
      <c r="O556" s="166"/>
      <c r="P556" s="166"/>
      <c r="Q556" s="655" t="s">
        <v>222</v>
      </c>
      <c r="R556" s="170"/>
      <c r="S556" s="170"/>
      <c r="T556" s="170"/>
    </row>
    <row r="557" ht="27" customHeight="1" x14ac:dyDescent="0.25"/>
    <row r="558" ht="20.25" customHeight="1" spans="4:20" x14ac:dyDescent="0.25">
      <c r="D558" s="166" t="s">
        <v>1537</v>
      </c>
      <c r="E558" s="166"/>
      <c r="F558" s="166"/>
      <c r="G558" s="166"/>
      <c r="H558" s="166" t="s">
        <v>119</v>
      </c>
      <c r="I558" s="166"/>
      <c r="J558" s="166"/>
      <c r="K558" s="166"/>
      <c r="L558" s="166"/>
      <c r="M558" s="166"/>
      <c r="N558" s="166"/>
      <c r="O558" s="166"/>
      <c r="P558" s="166"/>
      <c r="Q558" s="166"/>
      <c r="R558" s="170"/>
      <c r="S558" s="170"/>
      <c r="T558" s="170"/>
    </row>
    <row r="559" ht="12" customHeight="1" x14ac:dyDescent="0.25"/>
    <row r="560" ht="20.25" customHeight="1" spans="4:20" x14ac:dyDescent="0.25">
      <c r="D560" s="170" t="s">
        <v>198</v>
      </c>
      <c r="E560" s="170"/>
      <c r="F560" s="170"/>
      <c r="G560" s="170"/>
      <c r="H560" s="166" t="s">
        <v>1068</v>
      </c>
      <c r="I560" s="166"/>
      <c r="J560" s="166"/>
      <c r="K560" s="166"/>
      <c r="L560" s="166"/>
      <c r="M560" s="166"/>
      <c r="N560" s="166"/>
      <c r="O560" s="166"/>
      <c r="P560" s="166"/>
      <c r="Q560" s="655" t="s">
        <v>222</v>
      </c>
      <c r="R560" s="170"/>
      <c r="S560" s="170"/>
      <c r="T560" s="170"/>
    </row>
    <row r="561" ht="20.25" customHeight="1" spans="4:20" x14ac:dyDescent="0.25">
      <c r="D561" s="166"/>
      <c r="E561" s="166"/>
      <c r="F561" s="166"/>
      <c r="G561" s="166"/>
      <c r="H561" s="166"/>
      <c r="I561" s="166"/>
      <c r="J561" s="166"/>
      <c r="K561" s="166"/>
      <c r="L561" s="166"/>
      <c r="M561" s="166"/>
      <c r="N561" s="166"/>
      <c r="O561" s="166"/>
      <c r="P561" s="166"/>
      <c r="Q561" s="166"/>
      <c r="R561" s="166"/>
      <c r="S561" s="166"/>
      <c r="T561" s="166"/>
    </row>
    <row r="562" ht="20.25" customHeight="1" spans="1:21" x14ac:dyDescent="0.25">
      <c r="A562" s="181"/>
      <c r="B562" s="181"/>
      <c r="C562" s="181"/>
      <c r="D562" s="181"/>
      <c r="E562" s="181"/>
      <c r="F562" s="181"/>
      <c r="G562" s="181"/>
      <c r="H562" s="181"/>
      <c r="I562" s="181"/>
      <c r="J562" s="181"/>
      <c r="K562" s="181"/>
      <c r="L562" s="181"/>
      <c r="M562" s="181"/>
      <c r="N562" s="181"/>
      <c r="O562" s="181"/>
      <c r="P562" s="181"/>
      <c r="Q562" s="181"/>
      <c r="R562" s="181"/>
      <c r="S562" s="181"/>
      <c r="T562" s="181"/>
      <c r="U562" s="181"/>
    </row>
    <row r="563" ht="20.25" customHeight="1" spans="1:21" x14ac:dyDescent="0.25">
      <c r="A563" s="181"/>
      <c r="B563" s="181"/>
      <c r="C563" s="181"/>
      <c r="D563" s="181"/>
      <c r="E563" s="181"/>
      <c r="F563" s="181"/>
      <c r="G563" s="181"/>
      <c r="H563" s="181"/>
      <c r="I563" s="181"/>
      <c r="J563" s="181"/>
      <c r="K563" s="181"/>
      <c r="L563" s="181"/>
      <c r="M563" s="181"/>
      <c r="N563" s="181"/>
      <c r="O563" s="181"/>
      <c r="P563" s="181"/>
      <c r="Q563" s="181"/>
      <c r="R563" s="181"/>
      <c r="S563" s="181"/>
      <c r="T563" s="181"/>
      <c r="U563" s="181"/>
    </row>
    <row r="564" ht="20.25" customHeight="1" spans="1:21" x14ac:dyDescent="0.25">
      <c r="A564" s="181"/>
      <c r="B564" s="181"/>
      <c r="C564" s="181"/>
      <c r="D564" s="181"/>
      <c r="E564" s="181"/>
      <c r="F564" s="181"/>
      <c r="G564" s="181"/>
      <c r="H564" s="181"/>
      <c r="I564" s="181"/>
      <c r="J564" s="181"/>
      <c r="K564" s="181"/>
      <c r="L564" s="181"/>
      <c r="M564" s="181"/>
      <c r="N564" s="656">
        <f>初期入力!C14</f>
        <v>2026</v>
      </c>
      <c r="O564" s="656"/>
      <c r="P564" s="657" t="s">
        <v>33</v>
      </c>
      <c r="Q564" s="656">
        <f>初期入力!E14</f>
        <v>12</v>
      </c>
      <c r="R564" s="657" t="s">
        <v>34</v>
      </c>
      <c r="S564" s="657">
        <f>初期入力!G14</f>
        <v>25</v>
      </c>
      <c r="T564" s="657" t="s">
        <v>35</v>
      </c>
      <c r="U564" s="181"/>
    </row>
    <row r="565" ht="20.25" customHeight="1" spans="1:21" x14ac:dyDescent="0.25">
      <c r="A565" s="181"/>
      <c r="B565" s="181"/>
      <c r="C565" s="181"/>
      <c r="D565" s="181"/>
      <c r="E565" s="181"/>
      <c r="F565" s="181"/>
      <c r="G565" s="181"/>
      <c r="H565" s="181"/>
      <c r="I565" s="181"/>
      <c r="J565" s="181"/>
      <c r="K565" s="181"/>
      <c r="L565" s="181"/>
      <c r="M565" s="181"/>
      <c r="N565" s="181"/>
      <c r="O565" s="181"/>
      <c r="P565" s="181"/>
      <c r="Q565" s="181"/>
      <c r="R565" s="181"/>
      <c r="S565" s="181"/>
      <c r="T565" s="181"/>
      <c r="U565" s="181"/>
    </row>
    <row r="566" ht="25.15" customHeight="1" spans="1:21" x14ac:dyDescent="0.25">
      <c r="A566" s="658" t="s">
        <v>1538</v>
      </c>
      <c r="B566" s="76"/>
      <c r="C566" s="76"/>
      <c r="D566" s="76"/>
      <c r="E566" s="76"/>
      <c r="F566" s="76"/>
      <c r="G566" s="181"/>
      <c r="H566" s="181"/>
      <c r="I566" s="181"/>
      <c r="J566" s="181"/>
      <c r="K566" s="181"/>
      <c r="L566" s="181"/>
      <c r="M566" s="181"/>
      <c r="N566" s="181"/>
      <c r="O566" s="181"/>
      <c r="P566" s="181"/>
      <c r="Q566" s="181"/>
      <c r="R566" s="181"/>
      <c r="S566" s="181"/>
      <c r="T566" s="181"/>
      <c r="U566" s="181"/>
    </row>
    <row r="567" ht="25.15" customHeight="1" spans="1:21" x14ac:dyDescent="0.25">
      <c r="A567" s="659" t="s">
        <v>1539</v>
      </c>
      <c r="B567" s="660"/>
      <c r="C567" s="660"/>
      <c r="D567" s="660"/>
      <c r="E567" s="660"/>
      <c r="F567" s="660"/>
      <c r="G567" s="181"/>
      <c r="H567" s="181"/>
      <c r="I567" s="181"/>
      <c r="J567" s="181"/>
      <c r="K567" s="181"/>
      <c r="L567" s="181"/>
      <c r="M567" s="181"/>
      <c r="N567" s="181"/>
      <c r="O567" s="181"/>
      <c r="P567" s="181"/>
      <c r="Q567" s="181"/>
      <c r="R567" s="181"/>
      <c r="S567" s="181"/>
      <c r="T567" s="181"/>
      <c r="U567" s="181"/>
    </row>
    <row r="568" ht="25.15" customHeight="1" spans="1:21" x14ac:dyDescent="0.25">
      <c r="A568" s="661"/>
      <c r="B568" s="661"/>
      <c r="C568" s="661"/>
      <c r="D568" s="661"/>
      <c r="E568" s="661"/>
      <c r="F568" s="661"/>
      <c r="G568" s="181"/>
      <c r="H568" s="181"/>
      <c r="I568" s="181"/>
      <c r="J568" s="662" t="s">
        <v>1540</v>
      </c>
      <c r="K568" s="663">
        <f>初期入力!B5</f>
        <v>0</v>
      </c>
      <c r="L568" s="663"/>
      <c r="M568" s="663"/>
      <c r="N568" s="663"/>
      <c r="O568" s="663"/>
      <c r="P568" s="663"/>
      <c r="Q568" s="663"/>
      <c r="R568" s="663"/>
      <c r="S568" s="663"/>
      <c r="T568" s="663"/>
      <c r="U568" s="181"/>
    </row>
    <row r="569" ht="39" customHeight="1" spans="1:21" x14ac:dyDescent="0.25">
      <c r="A569" s="661"/>
      <c r="B569" s="661"/>
      <c r="C569" s="661"/>
      <c r="D569" s="661"/>
      <c r="E569" s="661"/>
      <c r="F569" s="661"/>
      <c r="G569" s="181"/>
      <c r="H569" s="181"/>
      <c r="I569" s="181"/>
      <c r="J569" s="662" t="s">
        <v>198</v>
      </c>
      <c r="K569" s="664" t="str">
        <f>初期入力!B4&amp;"　　"&amp;初期入力!B6</f>
        <v>　　</v>
      </c>
      <c r="L569" s="664"/>
      <c r="M569" s="664"/>
      <c r="N569" s="664"/>
      <c r="O569" s="664"/>
      <c r="P569" s="664"/>
      <c r="Q569" s="664"/>
      <c r="R569" s="664"/>
      <c r="S569" s="664"/>
      <c r="T569" s="664"/>
      <c r="U569" s="181"/>
    </row>
    <row r="570" ht="30" customHeight="1" spans="1:21" x14ac:dyDescent="0.25">
      <c r="A570" s="661"/>
      <c r="B570" s="661"/>
      <c r="C570" s="661"/>
      <c r="D570" s="661"/>
      <c r="E570" s="661"/>
      <c r="F570" s="661"/>
      <c r="G570" s="181"/>
      <c r="H570" s="181"/>
      <c r="I570" s="181"/>
      <c r="J570" s="665"/>
      <c r="K570" s="657"/>
      <c r="L570" s="657"/>
      <c r="M570" s="657"/>
      <c r="N570" s="657"/>
      <c r="O570" s="657"/>
      <c r="P570" s="657"/>
      <c r="Q570" s="657"/>
      <c r="R570" s="657"/>
      <c r="S570" s="657"/>
      <c r="T570" s="657"/>
      <c r="U570" s="181"/>
    </row>
    <row r="571" ht="25.15" customHeight="1" spans="1:21" x14ac:dyDescent="0.25">
      <c r="A571" s="181"/>
      <c r="B571" s="181"/>
      <c r="C571" s="181"/>
      <c r="D571" s="181"/>
      <c r="E571" s="181"/>
      <c r="F571" s="181"/>
      <c r="G571" s="181"/>
      <c r="H571" s="181"/>
      <c r="I571" s="181"/>
      <c r="J571" s="181"/>
      <c r="K571" s="181"/>
      <c r="L571" s="181"/>
      <c r="M571" s="181"/>
      <c r="N571" s="181"/>
      <c r="O571" s="181"/>
      <c r="P571" s="181"/>
      <c r="Q571" s="181"/>
      <c r="R571" s="181"/>
      <c r="S571" s="181"/>
      <c r="T571" s="181"/>
      <c r="U571" s="181"/>
    </row>
    <row r="572" ht="20.25" customHeight="1" spans="1:21" x14ac:dyDescent="0.25">
      <c r="A572" s="171" t="s">
        <v>1541</v>
      </c>
      <c r="B572" s="171"/>
      <c r="C572" s="171"/>
      <c r="D572" s="171"/>
      <c r="E572" s="171"/>
      <c r="F572" s="171"/>
      <c r="G572" s="171"/>
      <c r="H572" s="171"/>
      <c r="I572" s="171"/>
      <c r="J572" s="171"/>
      <c r="K572" s="171"/>
      <c r="L572" s="171"/>
      <c r="M572" s="171"/>
      <c r="N572" s="171"/>
      <c r="O572" s="171"/>
      <c r="P572" s="171"/>
      <c r="Q572" s="171"/>
      <c r="R572" s="171"/>
      <c r="S572" s="171"/>
      <c r="T572" s="181"/>
      <c r="U572" s="181"/>
    </row>
    <row r="573" ht="20.25" customHeight="1" spans="1:21" x14ac:dyDescent="0.25">
      <c r="A573" s="666"/>
      <c r="B573" s="666"/>
      <c r="C573" s="666"/>
      <c r="D573" s="666"/>
      <c r="E573" s="666"/>
      <c r="F573" s="666"/>
      <c r="G573" s="666"/>
      <c r="H573" s="666"/>
      <c r="I573" s="666"/>
      <c r="J573" s="666"/>
      <c r="K573" s="666"/>
      <c r="L573" s="666"/>
      <c r="M573" s="666"/>
      <c r="N573" s="666"/>
      <c r="O573" s="666"/>
      <c r="P573" s="666"/>
      <c r="Q573" s="666"/>
      <c r="R573" s="666"/>
      <c r="S573" s="666"/>
      <c r="T573" s="181"/>
      <c r="U573" s="181"/>
    </row>
    <row r="574" ht="20.25" customHeight="1" spans="1:21" x14ac:dyDescent="0.25">
      <c r="A574" s="667"/>
      <c r="B574" s="667"/>
      <c r="C574" s="667"/>
      <c r="D574" s="667"/>
      <c r="E574" s="667"/>
      <c r="F574" s="667"/>
      <c r="G574" s="667"/>
      <c r="H574" s="667"/>
      <c r="I574" s="667"/>
      <c r="J574" s="667"/>
      <c r="K574" s="667"/>
      <c r="L574" s="667"/>
      <c r="M574" s="667"/>
      <c r="N574" s="667"/>
      <c r="O574" s="667"/>
      <c r="P574" s="667"/>
      <c r="Q574" s="181"/>
      <c r="R574" s="181"/>
      <c r="S574" s="181"/>
      <c r="T574" s="181"/>
      <c r="U574" s="181"/>
    </row>
    <row r="575" ht="20.25" customHeight="1" spans="1:21" x14ac:dyDescent="0.25">
      <c r="A575" s="667" t="s">
        <v>1542</v>
      </c>
      <c r="B575" s="667"/>
      <c r="C575" s="667"/>
      <c r="D575" s="667"/>
      <c r="E575" s="667"/>
      <c r="F575" s="667"/>
      <c r="G575" s="667"/>
      <c r="H575" s="667"/>
      <c r="I575" s="667"/>
      <c r="J575" s="667"/>
      <c r="K575" s="667"/>
      <c r="L575" s="667"/>
      <c r="M575" s="667"/>
      <c r="N575" s="667"/>
      <c r="O575" s="667"/>
      <c r="P575" s="667"/>
      <c r="Q575" s="667"/>
      <c r="R575" s="667"/>
      <c r="S575" s="181"/>
      <c r="T575" s="181"/>
      <c r="U575" s="181"/>
    </row>
    <row r="576" ht="20.25" customHeight="1" spans="1:21" x14ac:dyDescent="0.25">
      <c r="A576" s="181"/>
      <c r="B576" s="668"/>
      <c r="C576" s="668"/>
      <c r="D576" s="668"/>
      <c r="E576" s="668"/>
      <c r="F576" s="668"/>
      <c r="G576" s="668"/>
      <c r="H576" s="668"/>
      <c r="I576" s="668"/>
      <c r="J576" s="668"/>
      <c r="K576" s="668"/>
      <c r="L576" s="668"/>
      <c r="M576" s="668"/>
      <c r="N576" s="668"/>
      <c r="O576" s="668"/>
      <c r="P576" s="668"/>
      <c r="Q576" s="181"/>
      <c r="R576" s="181"/>
      <c r="S576" s="181"/>
      <c r="T576" s="181"/>
      <c r="U576" s="181"/>
    </row>
    <row r="577" ht="20.25" customHeight="1" spans="1:21" x14ac:dyDescent="0.25">
      <c r="A577" s="181"/>
      <c r="B577" s="668"/>
      <c r="C577" s="668"/>
      <c r="D577" s="668"/>
      <c r="E577" s="668"/>
      <c r="F577" s="668"/>
      <c r="G577" s="668"/>
      <c r="H577" s="668"/>
      <c r="I577" s="668"/>
      <c r="J577" s="668"/>
      <c r="K577" s="668"/>
      <c r="L577" s="668"/>
      <c r="M577" s="668"/>
      <c r="N577" s="668"/>
      <c r="O577" s="668"/>
      <c r="P577" s="668"/>
      <c r="Q577" s="181"/>
      <c r="R577" s="181"/>
      <c r="S577" s="181"/>
      <c r="T577" s="181"/>
      <c r="U577" s="181"/>
    </row>
    <row r="578" ht="20.25" customHeight="1" spans="1:21" x14ac:dyDescent="0.25">
      <c r="A578" s="181"/>
      <c r="B578" s="668"/>
      <c r="C578" s="668"/>
      <c r="D578" s="668"/>
      <c r="E578" s="668"/>
      <c r="F578" s="668"/>
      <c r="G578" s="668"/>
      <c r="H578" s="181"/>
      <c r="I578" s="668"/>
      <c r="J578" s="669" t="s">
        <v>1073</v>
      </c>
      <c r="K578" s="668"/>
      <c r="L578" s="668"/>
      <c r="M578" s="668"/>
      <c r="N578" s="668"/>
      <c r="O578" s="668"/>
      <c r="P578" s="668"/>
      <c r="Q578" s="181"/>
      <c r="R578" s="181"/>
      <c r="S578" s="181"/>
      <c r="T578" s="181"/>
      <c r="U578" s="181"/>
    </row>
    <row r="579" ht="20.25" customHeight="1" spans="1:21" x14ac:dyDescent="0.25">
      <c r="A579" s="181"/>
      <c r="B579" s="668"/>
      <c r="C579" s="668"/>
      <c r="D579" s="668"/>
      <c r="E579" s="668"/>
      <c r="F579" s="668"/>
      <c r="G579" s="668"/>
      <c r="H579" s="669"/>
      <c r="I579" s="668"/>
      <c r="J579" s="668"/>
      <c r="K579" s="668"/>
      <c r="L579" s="668"/>
      <c r="M579" s="668"/>
      <c r="N579" s="668"/>
      <c r="O579" s="668"/>
      <c r="P579" s="668"/>
      <c r="Q579" s="181"/>
      <c r="R579" s="181"/>
      <c r="S579" s="181"/>
      <c r="T579" s="181"/>
      <c r="U579" s="181"/>
    </row>
    <row r="580" ht="20.25" customHeight="1" spans="1:21" x14ac:dyDescent="0.25">
      <c r="A580" s="320" t="s">
        <v>1543</v>
      </c>
      <c r="B580" s="668"/>
      <c r="C580" s="668"/>
      <c r="D580" s="668"/>
      <c r="E580" s="668"/>
      <c r="F580" s="668"/>
      <c r="G580" s="668"/>
      <c r="H580" s="668"/>
      <c r="I580" s="668"/>
      <c r="J580" s="668"/>
      <c r="K580" s="668"/>
      <c r="L580" s="668"/>
      <c r="M580" s="668"/>
      <c r="N580" s="668"/>
      <c r="O580" s="668"/>
      <c r="P580" s="668"/>
      <c r="Q580" s="181"/>
      <c r="R580" s="181"/>
      <c r="S580" s="181"/>
      <c r="T580" s="181"/>
      <c r="U580" s="181"/>
    </row>
    <row r="581" ht="20.25" customHeight="1" spans="1:21" x14ac:dyDescent="0.25">
      <c r="A581" s="181" t="s">
        <v>1544</v>
      </c>
      <c r="B581" s="508"/>
      <c r="C581" s="508"/>
      <c r="D581" s="508"/>
      <c r="E581" s="508"/>
      <c r="F581" s="508"/>
      <c r="G581" s="508"/>
      <c r="H581" s="508"/>
      <c r="I581" s="508"/>
      <c r="J581" s="508"/>
      <c r="K581" s="508"/>
      <c r="L581" s="508"/>
      <c r="M581" s="508"/>
      <c r="N581" s="508"/>
      <c r="O581" s="508"/>
      <c r="P581" s="508"/>
      <c r="Q581" s="181"/>
      <c r="R581" s="181"/>
      <c r="S581" s="181"/>
      <c r="T581" s="181"/>
      <c r="U581" s="181"/>
    </row>
    <row r="582" ht="20.25" customHeight="1" spans="1:21" x14ac:dyDescent="0.25">
      <c r="A582" s="670"/>
      <c r="B582" s="670" t="s">
        <v>1545</v>
      </c>
      <c r="C582" s="670"/>
      <c r="D582" s="670"/>
      <c r="E582" s="670"/>
      <c r="F582" s="670"/>
      <c r="G582" s="670"/>
      <c r="H582" s="670"/>
      <c r="I582" s="670"/>
      <c r="J582" s="670"/>
      <c r="K582" s="670"/>
      <c r="L582" s="670"/>
      <c r="M582" s="670"/>
      <c r="N582" s="670"/>
      <c r="O582" s="670"/>
      <c r="P582" s="670"/>
      <c r="Q582" s="670"/>
      <c r="R582" s="670"/>
      <c r="S582" s="670"/>
      <c r="T582" s="670"/>
      <c r="U582" s="670"/>
    </row>
    <row r="583" ht="20.25" customHeight="1" spans="1:21" x14ac:dyDescent="0.25">
      <c r="A583" s="670"/>
      <c r="B583" s="181" t="s">
        <v>1546</v>
      </c>
      <c r="C583" s="668"/>
      <c r="D583" s="668"/>
      <c r="E583" s="668"/>
      <c r="F583" s="668"/>
      <c r="G583" s="668"/>
      <c r="H583" s="668"/>
      <c r="I583" s="668"/>
      <c r="J583" s="668"/>
      <c r="K583" s="668"/>
      <c r="L583" s="668"/>
      <c r="M583" s="668"/>
      <c r="N583" s="668"/>
      <c r="O583" s="668"/>
      <c r="P583" s="668"/>
      <c r="Q583" s="668"/>
      <c r="R583" s="668"/>
      <c r="S583" s="668"/>
      <c r="T583" s="670"/>
      <c r="U583" s="670"/>
    </row>
    <row r="584" ht="20.25" customHeight="1" spans="1:21" x14ac:dyDescent="0.25">
      <c r="A584" s="670"/>
      <c r="B584" s="181" t="s">
        <v>1547</v>
      </c>
      <c r="C584" s="668"/>
      <c r="D584" s="668"/>
      <c r="E584" s="668"/>
      <c r="F584" s="668"/>
      <c r="G584" s="668"/>
      <c r="H584" s="668"/>
      <c r="I584" s="668"/>
      <c r="J584" s="668"/>
      <c r="K584" s="668"/>
      <c r="L584" s="668"/>
      <c r="M584" s="668"/>
      <c r="N584" s="668"/>
      <c r="O584" s="668"/>
      <c r="P584" s="668"/>
      <c r="Q584" s="668"/>
      <c r="R584" s="668"/>
      <c r="S584" s="668"/>
      <c r="T584" s="670"/>
      <c r="U584" s="670"/>
    </row>
    <row r="585" ht="20.25" customHeight="1" spans="1:21" x14ac:dyDescent="0.25">
      <c r="A585" s="670"/>
      <c r="B585" s="181" t="s">
        <v>1548</v>
      </c>
      <c r="C585" s="668"/>
      <c r="D585" s="668"/>
      <c r="E585" s="668"/>
      <c r="F585" s="668"/>
      <c r="G585" s="668"/>
      <c r="H585" s="668"/>
      <c r="I585" s="668"/>
      <c r="J585" s="668"/>
      <c r="K585" s="668"/>
      <c r="L585" s="668"/>
      <c r="M585" s="668"/>
      <c r="N585" s="668"/>
      <c r="O585" s="668"/>
      <c r="P585" s="668"/>
      <c r="Q585" s="668"/>
      <c r="R585" s="668"/>
      <c r="S585" s="668"/>
      <c r="T585" s="670"/>
      <c r="U585" s="670"/>
    </row>
    <row r="586" ht="20.25" customHeight="1" spans="1:21" x14ac:dyDescent="0.25">
      <c r="A586" s="670"/>
      <c r="B586" s="181" t="s">
        <v>1549</v>
      </c>
      <c r="C586" s="668"/>
      <c r="D586" s="668"/>
      <c r="E586" s="668"/>
      <c r="F586" s="668"/>
      <c r="G586" s="668"/>
      <c r="H586" s="668"/>
      <c r="I586" s="668"/>
      <c r="J586" s="668"/>
      <c r="K586" s="668"/>
      <c r="L586" s="668"/>
      <c r="M586" s="668"/>
      <c r="N586" s="668"/>
      <c r="O586" s="668"/>
      <c r="P586" s="668"/>
      <c r="Q586" s="668"/>
      <c r="R586" s="668"/>
      <c r="S586" s="670"/>
      <c r="T586" s="670"/>
      <c r="U586" s="670"/>
    </row>
    <row r="587" ht="20.25" customHeight="1" spans="1:21" x14ac:dyDescent="0.25">
      <c r="A587" s="670"/>
      <c r="B587" s="181" t="s">
        <v>1550</v>
      </c>
      <c r="C587" s="668"/>
      <c r="D587" s="668"/>
      <c r="E587" s="668"/>
      <c r="F587" s="668"/>
      <c r="G587" s="668"/>
      <c r="H587" s="668"/>
      <c r="I587" s="668"/>
      <c r="J587" s="668"/>
      <c r="K587" s="668"/>
      <c r="L587" s="668"/>
      <c r="M587" s="668"/>
      <c r="N587" s="668"/>
      <c r="O587" s="668"/>
      <c r="P587" s="668"/>
      <c r="Q587" s="668"/>
      <c r="R587" s="668"/>
      <c r="S587" s="670"/>
      <c r="T587" s="670"/>
      <c r="U587" s="670"/>
    </row>
    <row r="588" ht="20.25" customHeight="1" spans="1:21" x14ac:dyDescent="0.25">
      <c r="A588" s="670"/>
      <c r="B588" s="668"/>
      <c r="C588" s="668"/>
      <c r="D588" s="668"/>
      <c r="E588" s="668"/>
      <c r="F588" s="668"/>
      <c r="G588" s="668"/>
      <c r="H588" s="668"/>
      <c r="I588" s="668"/>
      <c r="J588" s="668"/>
      <c r="K588" s="668"/>
      <c r="L588" s="668"/>
      <c r="M588" s="668"/>
      <c r="N588" s="668"/>
      <c r="O588" s="668"/>
      <c r="P588" s="668"/>
      <c r="Q588" s="668"/>
      <c r="R588" s="668"/>
      <c r="S588" s="670"/>
      <c r="T588" s="670"/>
      <c r="U588" s="670"/>
    </row>
    <row r="589" ht="20.25" customHeight="1" spans="1:21" x14ac:dyDescent="0.25">
      <c r="A589" s="670"/>
      <c r="B589" s="670" t="s">
        <v>1551</v>
      </c>
      <c r="C589" s="670"/>
      <c r="D589" s="670"/>
      <c r="E589" s="670"/>
      <c r="F589" s="670"/>
      <c r="G589" s="670"/>
      <c r="H589" s="670"/>
      <c r="I589" s="670"/>
      <c r="J589" s="670"/>
      <c r="K589" s="670"/>
      <c r="L589" s="670"/>
      <c r="M589" s="670"/>
      <c r="N589" s="670"/>
      <c r="O589" s="670"/>
      <c r="P589" s="670"/>
      <c r="Q589" s="670"/>
      <c r="R589" s="670"/>
      <c r="S589" s="670"/>
      <c r="T589" s="670"/>
      <c r="U589" s="670"/>
    </row>
    <row r="590" ht="20.25" customHeight="1" spans="1:21" x14ac:dyDescent="0.25">
      <c r="A590" s="670"/>
      <c r="B590" s="670" t="s">
        <v>1552</v>
      </c>
      <c r="C590" s="670"/>
      <c r="D590" s="670"/>
      <c r="E590" s="670"/>
      <c r="F590" s="670"/>
      <c r="G590" s="670"/>
      <c r="H590" s="670"/>
      <c r="I590" s="670"/>
      <c r="J590" s="670"/>
      <c r="K590" s="670"/>
      <c r="L590" s="670"/>
      <c r="M590" s="670"/>
      <c r="N590" s="670"/>
      <c r="O590" s="670"/>
      <c r="P590" s="670"/>
      <c r="Q590" s="670"/>
      <c r="R590" s="670"/>
      <c r="S590" s="670"/>
      <c r="T590" s="670"/>
      <c r="U590" s="670"/>
    </row>
    <row r="591" ht="20.25" customHeight="1" spans="1:21" x14ac:dyDescent="0.25">
      <c r="A591" s="670"/>
      <c r="B591" s="181" t="s">
        <v>1553</v>
      </c>
      <c r="C591" s="668"/>
      <c r="D591" s="668"/>
      <c r="E591" s="668"/>
      <c r="F591" s="668"/>
      <c r="G591" s="668"/>
      <c r="H591" s="668"/>
      <c r="I591" s="668"/>
      <c r="J591" s="668"/>
      <c r="K591" s="668"/>
      <c r="L591" s="668"/>
      <c r="M591" s="668"/>
      <c r="N591" s="668"/>
      <c r="O591" s="668"/>
      <c r="P591" s="668"/>
      <c r="Q591" s="668"/>
      <c r="R591" s="668"/>
      <c r="S591" s="670"/>
      <c r="T591" s="670"/>
      <c r="U591" s="670"/>
    </row>
    <row r="592" ht="20.25" customHeight="1" spans="1:21" x14ac:dyDescent="0.25">
      <c r="A592" s="670"/>
      <c r="B592" s="181" t="s">
        <v>1550</v>
      </c>
      <c r="C592" s="668"/>
      <c r="D592" s="668"/>
      <c r="E592" s="668"/>
      <c r="F592" s="668"/>
      <c r="G592" s="668"/>
      <c r="H592" s="668"/>
      <c r="I592" s="668"/>
      <c r="J592" s="668"/>
      <c r="K592" s="668"/>
      <c r="L592" s="668"/>
      <c r="M592" s="668"/>
      <c r="N592" s="668"/>
      <c r="O592" s="668"/>
      <c r="P592" s="668"/>
      <c r="Q592" s="668"/>
      <c r="R592" s="668"/>
      <c r="S592" s="670"/>
      <c r="T592" s="670"/>
      <c r="U592" s="670"/>
    </row>
    <row r="593" ht="20.25" customHeight="1" spans="1:21" x14ac:dyDescent="0.25">
      <c r="A593" s="670"/>
      <c r="B593" s="668"/>
      <c r="C593" s="668"/>
      <c r="D593" s="668"/>
      <c r="E593" s="668"/>
      <c r="F593" s="668"/>
      <c r="G593" s="668"/>
      <c r="H593" s="668"/>
      <c r="I593" s="668"/>
      <c r="J593" s="668"/>
      <c r="K593" s="668"/>
      <c r="L593" s="668"/>
      <c r="M593" s="668"/>
      <c r="N593" s="668"/>
      <c r="O593" s="668"/>
      <c r="P593" s="668"/>
      <c r="Q593" s="668"/>
      <c r="R593" s="668"/>
      <c r="S593" s="670"/>
      <c r="T593" s="670"/>
      <c r="U593" s="670"/>
    </row>
    <row r="594" ht="20.25" customHeight="1" spans="1:21" x14ac:dyDescent="0.25">
      <c r="A594" s="670"/>
      <c r="B594" s="668"/>
      <c r="C594" s="668"/>
      <c r="D594" s="668"/>
      <c r="E594" s="668"/>
      <c r="F594" s="668"/>
      <c r="G594" s="668"/>
      <c r="H594" s="668"/>
      <c r="I594" s="668"/>
      <c r="J594" s="668"/>
      <c r="K594" s="668"/>
      <c r="L594" s="668"/>
      <c r="M594" s="668"/>
      <c r="N594" s="668"/>
      <c r="O594" s="668"/>
      <c r="P594" s="668"/>
      <c r="Q594" s="668"/>
      <c r="R594" s="668"/>
      <c r="S594" s="670"/>
      <c r="T594" s="670"/>
      <c r="U594" s="670"/>
    </row>
    <row r="595" ht="20.25" customHeight="1" spans="1:21" x14ac:dyDescent="0.25">
      <c r="A595" s="671" t="s">
        <v>1554</v>
      </c>
      <c r="B595" s="181"/>
      <c r="C595" s="181"/>
      <c r="D595" s="181"/>
      <c r="E595" s="181"/>
      <c r="F595" s="181"/>
      <c r="G595" s="181"/>
      <c r="H595" s="181"/>
      <c r="I595" s="181"/>
      <c r="J595" s="181"/>
      <c r="K595" s="181"/>
      <c r="L595" s="181"/>
      <c r="M595" s="181"/>
      <c r="N595" s="181"/>
      <c r="O595" s="181"/>
      <c r="P595" s="181"/>
      <c r="Q595" s="670"/>
      <c r="R595" s="670"/>
      <c r="S595" s="670"/>
      <c r="T595" s="670"/>
      <c r="U595" s="670"/>
    </row>
    <row r="596" ht="20.25" customHeight="1" spans="1:21" x14ac:dyDescent="0.25">
      <c r="A596" s="508"/>
      <c r="B596" s="181" t="s">
        <v>1555</v>
      </c>
      <c r="C596" s="668"/>
      <c r="D596" s="668"/>
      <c r="E596" s="668"/>
      <c r="F596" s="668"/>
      <c r="G596" s="668"/>
      <c r="H596" s="668"/>
      <c r="I596" s="668"/>
      <c r="J596" s="668"/>
      <c r="K596" s="668"/>
      <c r="L596" s="668"/>
      <c r="M596" s="668"/>
      <c r="N596" s="668"/>
      <c r="O596" s="668"/>
      <c r="P596" s="668"/>
      <c r="Q596" s="668"/>
      <c r="R596" s="668"/>
      <c r="S596" s="508"/>
      <c r="T596" s="508"/>
      <c r="U596" s="508"/>
    </row>
    <row r="597" ht="20.25" customHeight="1" spans="1:21" x14ac:dyDescent="0.25">
      <c r="A597" s="670"/>
      <c r="B597" s="181" t="s">
        <v>1556</v>
      </c>
      <c r="C597" s="668"/>
      <c r="D597" s="668"/>
      <c r="E597" s="668"/>
      <c r="F597" s="668"/>
      <c r="G597" s="668"/>
      <c r="H597" s="668"/>
      <c r="I597" s="668"/>
      <c r="J597" s="668"/>
      <c r="K597" s="668"/>
      <c r="L597" s="668"/>
      <c r="M597" s="668"/>
      <c r="N597" s="668"/>
      <c r="O597" s="668"/>
      <c r="P597" s="668"/>
      <c r="Q597" s="668"/>
      <c r="R597" s="668"/>
      <c r="S597" s="670"/>
      <c r="T597" s="670"/>
      <c r="U597" s="670"/>
    </row>
    <row r="598" ht="20.25" customHeight="1" spans="1:21" x14ac:dyDescent="0.25">
      <c r="A598" s="181"/>
      <c r="B598" s="181" t="s">
        <v>1557</v>
      </c>
      <c r="C598" s="668"/>
      <c r="D598" s="668"/>
      <c r="E598" s="668"/>
      <c r="F598" s="668"/>
      <c r="G598" s="668"/>
      <c r="H598" s="668"/>
      <c r="I598" s="668"/>
      <c r="J598" s="668"/>
      <c r="K598" s="668"/>
      <c r="L598" s="668"/>
      <c r="M598" s="668"/>
      <c r="N598" s="668"/>
      <c r="O598" s="668"/>
      <c r="P598" s="668"/>
      <c r="Q598" s="668"/>
      <c r="R598" s="668"/>
      <c r="S598" s="181"/>
      <c r="T598" s="181"/>
      <c r="U598" s="181"/>
    </row>
    <row r="599" ht="20.25" customHeight="1" spans="1:21" x14ac:dyDescent="0.25">
      <c r="A599" s="181"/>
      <c r="B599" s="181"/>
      <c r="C599" s="181"/>
      <c r="D599" s="181"/>
      <c r="E599" s="181"/>
      <c r="F599" s="181"/>
      <c r="G599" s="181"/>
      <c r="H599" s="181"/>
      <c r="I599" s="181"/>
      <c r="J599" s="181"/>
      <c r="K599" s="181"/>
      <c r="L599" s="181"/>
      <c r="M599" s="181"/>
      <c r="N599" s="181"/>
      <c r="O599" s="181"/>
      <c r="P599" s="181"/>
      <c r="Q599" s="181"/>
      <c r="R599" s="181"/>
      <c r="S599" s="181"/>
      <c r="T599" s="181"/>
      <c r="U599" s="181"/>
    </row>
    <row r="600" ht="20.25" customHeight="1" spans="1:21" x14ac:dyDescent="0.25">
      <c r="A600" s="181"/>
      <c r="B600" s="181"/>
      <c r="C600" s="181"/>
      <c r="D600" s="181"/>
      <c r="E600" s="181"/>
      <c r="F600" s="181"/>
      <c r="G600" s="181"/>
      <c r="H600" s="181"/>
      <c r="I600" s="181"/>
      <c r="J600" s="181"/>
      <c r="K600" s="181"/>
      <c r="L600" s="181"/>
      <c r="M600" s="181"/>
      <c r="N600" s="181"/>
      <c r="O600" s="181"/>
      <c r="P600" s="181"/>
      <c r="Q600" s="181"/>
      <c r="R600" s="181"/>
      <c r="S600" s="181"/>
      <c r="T600" s="181"/>
      <c r="U600" s="181"/>
    </row>
    <row r="601" ht="20.25" customHeight="1" spans="1:21" x14ac:dyDescent="0.25">
      <c r="A601" s="181"/>
      <c r="B601" s="181"/>
      <c r="C601" s="181"/>
      <c r="D601" s="181"/>
      <c r="E601" s="181"/>
      <c r="F601" s="181"/>
      <c r="G601" s="181"/>
      <c r="H601" s="181"/>
      <c r="I601" s="181"/>
      <c r="J601" s="181"/>
      <c r="K601" s="181"/>
      <c r="L601" s="181"/>
      <c r="M601" s="181"/>
      <c r="N601" s="181"/>
      <c r="O601" s="181"/>
      <c r="P601" s="181"/>
      <c r="Q601" s="181"/>
      <c r="R601" s="181" t="s">
        <v>943</v>
      </c>
      <c r="S601" s="181"/>
      <c r="T601" s="181"/>
      <c r="U601" s="181"/>
    </row>
    <row r="602" ht="20.25" customHeight="1" spans="1:21" x14ac:dyDescent="0.25">
      <c r="A602" s="181"/>
      <c r="B602" s="181"/>
      <c r="C602" s="181"/>
      <c r="D602" s="181"/>
      <c r="E602" s="181"/>
      <c r="F602" s="181"/>
      <c r="G602" s="181"/>
      <c r="H602" s="181"/>
      <c r="I602" s="181"/>
      <c r="J602" s="181"/>
      <c r="K602" s="181"/>
      <c r="L602" s="181"/>
      <c r="M602" s="181"/>
      <c r="N602" s="181"/>
      <c r="O602" s="181"/>
      <c r="P602" s="181"/>
      <c r="Q602" s="181"/>
      <c r="R602" s="181"/>
      <c r="S602" s="181"/>
      <c r="T602" s="181"/>
      <c r="U602" s="181"/>
    </row>
    <row r="603" ht="20.25" customHeight="1" spans="1:21" x14ac:dyDescent="0.25">
      <c r="A603" s="181"/>
      <c r="B603" s="181"/>
      <c r="C603" s="181"/>
      <c r="D603" s="181"/>
      <c r="E603" s="181"/>
      <c r="F603" s="181"/>
      <c r="G603" s="181"/>
      <c r="H603" s="181"/>
      <c r="I603" s="181"/>
      <c r="J603" s="181"/>
      <c r="K603" s="181"/>
      <c r="L603" s="181"/>
      <c r="M603" s="181"/>
      <c r="N603" s="181"/>
      <c r="O603" s="181"/>
      <c r="P603" s="181"/>
      <c r="Q603" s="181"/>
      <c r="R603" s="181"/>
      <c r="S603" s="181"/>
      <c r="T603" s="181"/>
      <c r="U603" s="181"/>
    </row>
    <row r="604" ht="20.25" customHeight="1" spans="1:21" x14ac:dyDescent="0.25">
      <c r="A604" s="181"/>
      <c r="B604" s="181"/>
      <c r="C604" s="181"/>
      <c r="D604" s="181"/>
      <c r="E604" s="181"/>
      <c r="F604" s="181"/>
      <c r="G604" s="181"/>
      <c r="H604" s="181"/>
      <c r="I604" s="181"/>
      <c r="J604" s="181"/>
      <c r="K604" s="181"/>
      <c r="L604" s="181"/>
      <c r="M604" s="181"/>
      <c r="N604" s="181"/>
      <c r="O604" s="181"/>
      <c r="P604" s="181"/>
      <c r="Q604" s="181"/>
      <c r="R604" s="181"/>
      <c r="S604" s="181"/>
      <c r="T604" s="181"/>
      <c r="U604" s="181"/>
    </row>
    <row r="605" ht="20.25" customHeight="1" spans="1:21" x14ac:dyDescent="0.25">
      <c r="A605" s="181"/>
      <c r="B605" s="181"/>
      <c r="C605" s="181"/>
      <c r="D605" s="181"/>
      <c r="E605" s="181"/>
      <c r="F605" s="181"/>
      <c r="G605" s="181"/>
      <c r="H605" s="181"/>
      <c r="I605" s="181"/>
      <c r="J605" s="181"/>
      <c r="K605" s="181"/>
      <c r="L605" s="181"/>
      <c r="M605" s="181"/>
      <c r="N605" s="181"/>
      <c r="O605" s="181"/>
      <c r="P605" s="181"/>
      <c r="Q605" s="181"/>
      <c r="R605" s="181"/>
      <c r="S605" s="181"/>
      <c r="T605" s="181"/>
      <c r="U605" s="181"/>
    </row>
    <row r="606" ht="20.25" customHeight="1" spans="1:21" x14ac:dyDescent="0.25">
      <c r="A606" s="181"/>
      <c r="B606" s="181"/>
      <c r="C606" s="181"/>
      <c r="D606" s="181"/>
      <c r="E606" s="181"/>
      <c r="F606" s="181"/>
      <c r="G606" s="181"/>
      <c r="H606" s="181"/>
      <c r="I606" s="181"/>
      <c r="J606" s="181"/>
      <c r="K606" s="181"/>
      <c r="L606" s="181"/>
      <c r="M606" s="181"/>
      <c r="N606" s="181"/>
      <c r="O606" s="181"/>
      <c r="P606" s="181"/>
      <c r="Q606" s="181"/>
      <c r="R606" s="181"/>
      <c r="S606" s="181"/>
      <c r="T606" s="181"/>
      <c r="U606" s="181"/>
    </row>
    <row r="607" ht="20.25" customHeight="1" spans="1:21" x14ac:dyDescent="0.25">
      <c r="A607" s="181"/>
      <c r="B607" s="181"/>
      <c r="C607" s="181"/>
      <c r="D607" s="181"/>
      <c r="E607" s="181"/>
      <c r="F607" s="181"/>
      <c r="G607" s="181"/>
      <c r="H607" s="181"/>
      <c r="I607" s="181"/>
      <c r="J607" s="181"/>
      <c r="K607" s="181"/>
      <c r="L607" s="181"/>
      <c r="M607" s="181"/>
      <c r="N607" s="181"/>
      <c r="O607" s="181"/>
      <c r="P607" s="181"/>
      <c r="Q607" s="181"/>
      <c r="R607" s="181"/>
      <c r="S607" s="181"/>
      <c r="T607" s="181"/>
      <c r="U607" s="181"/>
    </row>
    <row r="608" ht="25.15" customHeight="1" spans="4:22" x14ac:dyDescent="0.25">
      <c r="D608" s="166"/>
      <c r="E608" s="166"/>
      <c r="F608" s="166"/>
      <c r="G608" s="166"/>
      <c r="H608" s="166"/>
      <c r="I608" s="166"/>
      <c r="J608" s="166"/>
      <c r="K608" s="166"/>
      <c r="L608" s="166"/>
      <c r="M608" s="166"/>
      <c r="N608" s="166"/>
      <c r="O608" s="166"/>
      <c r="P608" s="166"/>
      <c r="Q608" s="166"/>
      <c r="R608" s="166"/>
      <c r="S608" s="166"/>
      <c r="T608" s="166"/>
      <c r="V608" s="181"/>
    </row>
    <row r="609" ht="25.15" customHeight="1" spans="2:22" x14ac:dyDescent="0.25">
      <c r="B609" s="181"/>
      <c r="C609" s="181"/>
      <c r="D609" s="670"/>
      <c r="E609" s="670"/>
      <c r="F609" s="670"/>
      <c r="G609" s="670"/>
      <c r="H609" s="670"/>
      <c r="I609" s="670"/>
      <c r="J609" s="670"/>
      <c r="K609" s="670"/>
      <c r="L609" s="670"/>
      <c r="M609" s="181"/>
      <c r="N609" s="288">
        <f>初期入力!C14</f>
        <v>2026</v>
      </c>
      <c r="O609" s="288"/>
      <c r="P609" s="667" t="s">
        <v>33</v>
      </c>
      <c r="Q609" s="667">
        <f>初期入力!E14</f>
        <v>12</v>
      </c>
      <c r="R609" s="668" t="s">
        <v>34</v>
      </c>
      <c r="S609" s="667">
        <f>初期入力!G14</f>
        <v>25</v>
      </c>
      <c r="T609" s="672" t="s">
        <v>35</v>
      </c>
      <c r="V609" s="181"/>
    </row>
    <row r="610" ht="25.15" customHeight="1" spans="2:22" x14ac:dyDescent="0.25">
      <c r="B610" s="181"/>
      <c r="C610" s="181"/>
      <c r="D610" s="181"/>
      <c r="E610" s="181"/>
      <c r="F610" s="181"/>
      <c r="G610" s="181"/>
      <c r="H610" s="181"/>
      <c r="I610" s="181"/>
      <c r="J610" s="181"/>
      <c r="K610" s="181"/>
      <c r="L610" s="181"/>
      <c r="M610" s="181"/>
      <c r="N610" s="181"/>
      <c r="O610" s="181"/>
      <c r="P610" s="181"/>
      <c r="Q610" s="181"/>
      <c r="R610" s="181"/>
      <c r="S610" s="181"/>
      <c r="T610" s="181"/>
      <c r="V610" s="181"/>
    </row>
    <row r="611" ht="25.15" customHeight="1" spans="2:22" x14ac:dyDescent="0.25">
      <c r="B611" s="673">
        <f>初期入力!B5</f>
        <v>0</v>
      </c>
      <c r="C611" s="673"/>
      <c r="D611" s="673"/>
      <c r="E611" s="673"/>
      <c r="F611" s="673"/>
      <c r="G611" s="673"/>
      <c r="H611" s="673"/>
      <c r="I611" s="673"/>
      <c r="J611" s="181"/>
      <c r="K611" s="181"/>
      <c r="L611" s="181"/>
      <c r="M611" s="181"/>
      <c r="N611" s="181"/>
      <c r="O611" s="181"/>
      <c r="P611" s="181"/>
      <c r="Q611" s="181"/>
      <c r="R611" s="181"/>
      <c r="S611" s="181"/>
      <c r="T611" s="181"/>
      <c r="V611" s="181"/>
    </row>
    <row r="612" ht="25.15" customHeight="1" spans="2:22" x14ac:dyDescent="0.25">
      <c r="B612" s="674">
        <f>初期入力!B4</f>
        <v>0</v>
      </c>
      <c r="C612" s="674"/>
      <c r="D612" s="674"/>
      <c r="E612" s="674"/>
      <c r="F612" s="674"/>
      <c r="G612" s="662" t="s">
        <v>12</v>
      </c>
      <c r="H612" s="81"/>
      <c r="I612" s="81"/>
      <c r="J612" s="181"/>
      <c r="K612" s="181"/>
      <c r="L612" s="181"/>
      <c r="M612" s="181"/>
      <c r="N612" s="181"/>
      <c r="O612" s="181"/>
      <c r="P612" s="181"/>
      <c r="Q612" s="181"/>
      <c r="R612" s="181"/>
      <c r="S612" s="181"/>
      <c r="T612" s="181"/>
      <c r="V612" s="181"/>
    </row>
    <row r="613" ht="25.15" customHeight="1" spans="2:22" x14ac:dyDescent="0.25">
      <c r="B613" s="675">
        <f>初期入力!B6</f>
        <v>0</v>
      </c>
      <c r="C613" s="675"/>
      <c r="D613" s="675"/>
      <c r="E613" s="675"/>
      <c r="F613" s="675"/>
      <c r="G613" s="662" t="s">
        <v>12</v>
      </c>
      <c r="H613" s="81"/>
      <c r="I613" s="81"/>
      <c r="J613" s="181"/>
      <c r="K613" s="181"/>
      <c r="L613" s="181"/>
      <c r="M613" s="181"/>
      <c r="N613" s="181"/>
      <c r="O613" s="181"/>
      <c r="P613" s="181"/>
      <c r="Q613" s="181"/>
      <c r="R613" s="181"/>
      <c r="S613" s="181"/>
      <c r="T613" s="181"/>
      <c r="V613" s="181"/>
    </row>
    <row r="614" ht="25.15" customHeight="1" spans="22:22" x14ac:dyDescent="0.25">
      <c r="V614" s="181"/>
    </row>
    <row r="615" ht="25.15" customHeight="1" spans="22:22" x14ac:dyDescent="0.25">
      <c r="V615" s="181"/>
    </row>
    <row r="616" ht="25.15" customHeight="1" spans="22:22" x14ac:dyDescent="0.25">
      <c r="V616" s="181"/>
    </row>
    <row r="617" ht="25.15" customHeight="1" spans="7:22" x14ac:dyDescent="0.25">
      <c r="G617" s="676" t="s">
        <v>1558</v>
      </c>
      <c r="V617" s="181"/>
    </row>
    <row r="618" ht="25.15" customHeight="1" spans="22:22" x14ac:dyDescent="0.25">
      <c r="V618" s="181"/>
    </row>
    <row r="619" ht="25.15" customHeight="1" spans="22:22" x14ac:dyDescent="0.25">
      <c r="V619" s="181"/>
    </row>
    <row r="620" ht="25.15" customHeight="1" spans="2:22" x14ac:dyDescent="0.25">
      <c r="B620" s="181"/>
      <c r="C620" s="677" t="s">
        <v>1559</v>
      </c>
      <c r="D620" s="181"/>
      <c r="E620" s="181"/>
      <c r="F620" s="181"/>
      <c r="G620" s="181"/>
      <c r="H620" s="181"/>
      <c r="I620" s="181"/>
      <c r="J620" s="181"/>
      <c r="K620" s="181"/>
      <c r="L620" s="181"/>
      <c r="M620" s="181"/>
      <c r="N620" s="181"/>
      <c r="O620" s="181"/>
      <c r="P620" s="181"/>
      <c r="Q620" s="181"/>
      <c r="R620" s="181"/>
      <c r="S620" s="181"/>
      <c r="T620" s="181"/>
      <c r="V620" s="181"/>
    </row>
    <row r="621" ht="25.15" customHeight="1" spans="2:22" x14ac:dyDescent="0.25">
      <c r="B621" s="181"/>
      <c r="C621" s="81" t="s">
        <v>1560</v>
      </c>
      <c r="D621" s="181"/>
      <c r="E621" s="181"/>
      <c r="F621" s="181"/>
      <c r="G621" s="181"/>
      <c r="H621" s="181"/>
      <c r="I621" s="181"/>
      <c r="J621" s="181"/>
      <c r="K621" s="181"/>
      <c r="L621" s="181"/>
      <c r="M621" s="181"/>
      <c r="N621" s="181"/>
      <c r="O621" s="181"/>
      <c r="P621" s="181"/>
      <c r="Q621" s="181"/>
      <c r="R621" s="181"/>
      <c r="S621" s="181"/>
      <c r="T621" s="181"/>
      <c r="V621" s="181"/>
    </row>
    <row r="622" ht="25.15" customHeight="1" spans="2:22" x14ac:dyDescent="0.25">
      <c r="B622" s="181"/>
      <c r="C622" s="181"/>
      <c r="D622" s="181"/>
      <c r="E622" s="181"/>
      <c r="F622" s="181"/>
      <c r="G622" s="181"/>
      <c r="H622" s="181"/>
      <c r="I622" s="181"/>
      <c r="J622" s="181"/>
      <c r="K622" s="181"/>
      <c r="L622" s="181"/>
      <c r="M622" s="181"/>
      <c r="N622" s="181"/>
      <c r="O622" s="181"/>
      <c r="P622" s="181"/>
      <c r="Q622" s="181"/>
      <c r="R622" s="181"/>
      <c r="S622" s="181"/>
      <c r="T622" s="181"/>
      <c r="V622" s="181"/>
    </row>
    <row r="623" ht="25.15" customHeight="1" spans="2:22" x14ac:dyDescent="0.25">
      <c r="B623" s="181"/>
      <c r="C623" s="181"/>
      <c r="D623" s="181"/>
      <c r="E623" s="181"/>
      <c r="F623" s="181"/>
      <c r="G623" s="181"/>
      <c r="H623" s="181"/>
      <c r="I623" s="181"/>
      <c r="J623" s="181"/>
      <c r="K623" s="181"/>
      <c r="L623" s="181"/>
      <c r="M623" s="181"/>
      <c r="N623" s="181"/>
      <c r="O623" s="181"/>
      <c r="P623" s="181"/>
      <c r="Q623" s="181"/>
      <c r="R623" s="181"/>
      <c r="S623" s="181"/>
      <c r="T623" s="181"/>
      <c r="V623" s="181"/>
    </row>
    <row r="624" ht="25.15" customHeight="1" spans="2:22" x14ac:dyDescent="0.25">
      <c r="B624" s="181"/>
      <c r="C624" s="81" t="s">
        <v>1561</v>
      </c>
      <c r="D624" s="678"/>
      <c r="E624" s="181"/>
      <c r="F624" s="181"/>
      <c r="G624" s="181"/>
      <c r="H624" s="181"/>
      <c r="I624" s="181"/>
      <c r="J624" s="181"/>
      <c r="K624" s="181"/>
      <c r="L624" s="181"/>
      <c r="M624" s="181"/>
      <c r="N624" s="181"/>
      <c r="O624" s="181"/>
      <c r="P624" s="181"/>
      <c r="Q624" s="181"/>
      <c r="R624" s="181"/>
      <c r="S624" s="181"/>
      <c r="T624" s="181"/>
      <c r="V624" s="181"/>
    </row>
    <row r="625" ht="25.15" customHeight="1" spans="2:22" x14ac:dyDescent="0.25">
      <c r="B625" s="181"/>
      <c r="C625" s="81" t="s">
        <v>1562</v>
      </c>
      <c r="D625" s="81"/>
      <c r="E625" s="181"/>
      <c r="F625" s="181"/>
      <c r="G625" s="181"/>
      <c r="H625" s="181"/>
      <c r="I625" s="181"/>
      <c r="J625" s="181"/>
      <c r="K625" s="181"/>
      <c r="L625" s="181"/>
      <c r="M625" s="181"/>
      <c r="N625" s="181"/>
      <c r="O625" s="181"/>
      <c r="P625" s="181"/>
      <c r="Q625" s="181"/>
      <c r="R625" s="181"/>
      <c r="S625" s="181"/>
      <c r="T625" s="181"/>
      <c r="V625" s="181"/>
    </row>
    <row r="626" ht="25.15" customHeight="1" spans="2:22" x14ac:dyDescent="0.25">
      <c r="B626" s="181"/>
      <c r="C626" s="81" t="s">
        <v>1563</v>
      </c>
      <c r="D626" s="81"/>
      <c r="E626" s="181"/>
      <c r="F626" s="181"/>
      <c r="G626" s="181"/>
      <c r="H626" s="181"/>
      <c r="I626" s="181"/>
      <c r="J626" s="181"/>
      <c r="K626" s="181"/>
      <c r="L626" s="181"/>
      <c r="M626" s="181"/>
      <c r="N626" s="181"/>
      <c r="O626" s="181"/>
      <c r="P626" s="181"/>
      <c r="Q626" s="181"/>
      <c r="R626" s="181"/>
      <c r="S626" s="181"/>
      <c r="T626" s="181"/>
      <c r="V626" s="181"/>
    </row>
    <row r="627" ht="25.15" customHeight="1" spans="2:22" x14ac:dyDescent="0.25">
      <c r="B627" s="181"/>
      <c r="C627" s="81" t="s">
        <v>1564</v>
      </c>
      <c r="D627" s="81"/>
      <c r="E627" s="181"/>
      <c r="F627" s="181"/>
      <c r="G627" s="181"/>
      <c r="H627" s="181"/>
      <c r="I627" s="181"/>
      <c r="J627" s="181"/>
      <c r="K627" s="181"/>
      <c r="L627" s="181"/>
      <c r="M627" s="181"/>
      <c r="N627" s="181"/>
      <c r="O627" s="181"/>
      <c r="P627" s="181"/>
      <c r="Q627" s="181"/>
      <c r="R627" s="181"/>
      <c r="S627" s="181"/>
      <c r="T627" s="181"/>
      <c r="V627" s="181"/>
    </row>
    <row r="628" ht="25.15" customHeight="1" spans="2:22" x14ac:dyDescent="0.25">
      <c r="B628" s="181"/>
      <c r="C628" s="181"/>
      <c r="D628" s="181"/>
      <c r="E628" s="181"/>
      <c r="F628" s="181"/>
      <c r="G628" s="181"/>
      <c r="H628" s="181"/>
      <c r="I628" s="181"/>
      <c r="J628" s="181"/>
      <c r="K628" s="181"/>
      <c r="L628" s="181"/>
      <c r="M628" s="181"/>
      <c r="N628" s="181"/>
      <c r="O628" s="181"/>
      <c r="P628" s="181"/>
      <c r="Q628" s="181"/>
      <c r="R628" s="181"/>
      <c r="S628" s="181"/>
      <c r="T628" s="181"/>
      <c r="V628" s="181"/>
    </row>
    <row r="629" ht="25.15" customHeight="1" spans="2:22" x14ac:dyDescent="0.25">
      <c r="B629" s="181"/>
      <c r="C629" s="679" t="s">
        <v>1565</v>
      </c>
      <c r="D629" s="81"/>
      <c r="E629" s="181"/>
      <c r="F629" s="181"/>
      <c r="G629" s="181"/>
      <c r="H629" s="181"/>
      <c r="I629" s="181"/>
      <c r="J629" s="181"/>
      <c r="K629" s="181"/>
      <c r="L629" s="181"/>
      <c r="M629" s="181"/>
      <c r="N629" s="181"/>
      <c r="O629" s="181"/>
      <c r="P629" s="181"/>
      <c r="Q629" s="181"/>
      <c r="R629" s="181"/>
      <c r="S629" s="181"/>
      <c r="T629" s="181"/>
      <c r="V629" s="181"/>
    </row>
    <row r="630" ht="25.15" customHeight="1" spans="2:22" x14ac:dyDescent="0.25">
      <c r="B630" s="181"/>
      <c r="C630" s="679" t="s">
        <v>1566</v>
      </c>
      <c r="D630" s="81"/>
      <c r="E630" s="181"/>
      <c r="F630" s="181"/>
      <c r="G630" s="181"/>
      <c r="H630" s="181"/>
      <c r="I630" s="181"/>
      <c r="J630" s="181"/>
      <c r="K630" s="181"/>
      <c r="L630" s="181"/>
      <c r="M630" s="181"/>
      <c r="N630" s="181"/>
      <c r="O630" s="181"/>
      <c r="P630" s="181"/>
      <c r="Q630" s="181"/>
      <c r="R630" s="181"/>
      <c r="S630" s="181"/>
      <c r="T630" s="181"/>
      <c r="V630" s="181"/>
    </row>
    <row r="631" ht="25.15" customHeight="1" spans="2:22" x14ac:dyDescent="0.25">
      <c r="B631" s="181"/>
      <c r="C631" s="679" t="s">
        <v>1567</v>
      </c>
      <c r="D631" s="81"/>
      <c r="E631" s="181"/>
      <c r="F631" s="181"/>
      <c r="G631" s="181"/>
      <c r="H631" s="181"/>
      <c r="I631" s="181"/>
      <c r="J631" s="181"/>
      <c r="K631" s="181"/>
      <c r="L631" s="181"/>
      <c r="M631" s="181"/>
      <c r="N631" s="181"/>
      <c r="O631" s="181"/>
      <c r="P631" s="181"/>
      <c r="Q631" s="181"/>
      <c r="R631" s="181"/>
      <c r="S631" s="181"/>
      <c r="T631" s="181"/>
      <c r="V631" s="181"/>
    </row>
    <row r="632" ht="25.15" customHeight="1" spans="2:22" x14ac:dyDescent="0.25">
      <c r="B632" s="181"/>
      <c r="C632" s="680"/>
      <c r="D632" s="681"/>
      <c r="E632" s="181"/>
      <c r="F632" s="181"/>
      <c r="G632" s="181"/>
      <c r="H632" s="181"/>
      <c r="I632" s="181"/>
      <c r="J632" s="181"/>
      <c r="K632" s="181"/>
      <c r="L632" s="181"/>
      <c r="M632" s="181"/>
      <c r="N632" s="181"/>
      <c r="O632" s="181"/>
      <c r="P632" s="181"/>
      <c r="Q632" s="181"/>
      <c r="R632" s="181"/>
      <c r="S632" s="181"/>
      <c r="T632" s="181"/>
      <c r="V632" s="181"/>
    </row>
    <row r="633" ht="25.15" customHeight="1" spans="2:22" x14ac:dyDescent="0.25">
      <c r="B633" s="181"/>
      <c r="C633" s="679" t="s">
        <v>1568</v>
      </c>
      <c r="D633" s="681"/>
      <c r="E633" s="181"/>
      <c r="F633" s="181"/>
      <c r="G633" s="181"/>
      <c r="H633" s="181"/>
      <c r="I633" s="181"/>
      <c r="J633" s="181"/>
      <c r="K633" s="181"/>
      <c r="L633" s="181"/>
      <c r="M633" s="181"/>
      <c r="N633" s="181"/>
      <c r="O633" s="181"/>
      <c r="P633" s="181"/>
      <c r="Q633" s="181"/>
      <c r="R633" s="181"/>
      <c r="S633" s="181"/>
      <c r="T633" s="181"/>
      <c r="V633" s="181"/>
    </row>
    <row r="634" ht="25.15" customHeight="1" spans="1:22" x14ac:dyDescent="0.25">
      <c r="A634" s="166"/>
      <c r="B634" s="670"/>
      <c r="C634" s="679" t="s">
        <v>1569</v>
      </c>
      <c r="D634" s="679"/>
      <c r="E634" s="670"/>
      <c r="F634" s="670"/>
      <c r="G634" s="670"/>
      <c r="H634" s="670"/>
      <c r="I634" s="670"/>
      <c r="J634" s="670"/>
      <c r="K634" s="670"/>
      <c r="L634" s="670"/>
      <c r="M634" s="670"/>
      <c r="N634" s="670"/>
      <c r="O634" s="670"/>
      <c r="P634" s="670"/>
      <c r="Q634" s="670"/>
      <c r="R634" s="670"/>
      <c r="S634" s="670"/>
      <c r="T634" s="181"/>
      <c r="V634" s="181"/>
    </row>
    <row r="635" ht="25.15" customHeight="1" spans="2:22" x14ac:dyDescent="0.25">
      <c r="B635" s="181"/>
      <c r="C635" s="680"/>
      <c r="D635" s="681"/>
      <c r="E635" s="181"/>
      <c r="F635" s="181"/>
      <c r="G635" s="181"/>
      <c r="H635" s="181"/>
      <c r="I635" s="181"/>
      <c r="J635" s="181"/>
      <c r="K635" s="181"/>
      <c r="L635" s="181"/>
      <c r="M635" s="181"/>
      <c r="N635" s="181"/>
      <c r="O635" s="181"/>
      <c r="P635" s="181"/>
      <c r="Q635" s="181"/>
      <c r="R635" s="181"/>
      <c r="S635" s="181"/>
      <c r="T635" s="181"/>
      <c r="V635" s="181"/>
    </row>
    <row r="636" ht="25.15" customHeight="1" spans="2:22" x14ac:dyDescent="0.25">
      <c r="B636" s="181"/>
      <c r="C636" s="679" t="s">
        <v>1570</v>
      </c>
      <c r="D636" s="679"/>
      <c r="E636" s="670"/>
      <c r="F636" s="670"/>
      <c r="G636" s="670"/>
      <c r="H636" s="670"/>
      <c r="I636" s="670"/>
      <c r="J636" s="670"/>
      <c r="K636" s="670"/>
      <c r="L636" s="670"/>
      <c r="M636" s="670"/>
      <c r="N636" s="670"/>
      <c r="O636" s="670"/>
      <c r="P636" s="670"/>
      <c r="Q636" s="670"/>
      <c r="R636" s="670"/>
      <c r="S636" s="670"/>
      <c r="T636" s="181"/>
      <c r="V636" s="181"/>
    </row>
    <row r="637" ht="25.15" customHeight="1" spans="2:22" x14ac:dyDescent="0.25">
      <c r="B637" s="181"/>
      <c r="C637" s="679" t="s">
        <v>1571</v>
      </c>
      <c r="D637" s="679"/>
      <c r="E637" s="670"/>
      <c r="F637" s="670"/>
      <c r="G637" s="670"/>
      <c r="H637" s="670"/>
      <c r="I637" s="670"/>
      <c r="J637" s="670"/>
      <c r="K637" s="670"/>
      <c r="L637" s="670"/>
      <c r="M637" s="670"/>
      <c r="N637" s="670"/>
      <c r="O637" s="670"/>
      <c r="P637" s="670"/>
      <c r="Q637" s="670"/>
      <c r="R637" s="670"/>
      <c r="S637" s="670"/>
      <c r="T637" s="181"/>
      <c r="V637" s="181"/>
    </row>
    <row r="638" ht="25.15" customHeight="1" spans="2:22" x14ac:dyDescent="0.25">
      <c r="B638" s="181"/>
      <c r="C638" s="181"/>
      <c r="D638" s="181"/>
      <c r="E638" s="181"/>
      <c r="F638" s="181"/>
      <c r="G638" s="181"/>
      <c r="H638" s="181"/>
      <c r="I638" s="181"/>
      <c r="J638" s="181"/>
      <c r="K638" s="181"/>
      <c r="L638" s="181"/>
      <c r="M638" s="181"/>
      <c r="N638" s="181"/>
      <c r="O638" s="181"/>
      <c r="P638" s="181"/>
      <c r="Q638" s="181"/>
      <c r="R638" s="181"/>
      <c r="S638" s="181"/>
      <c r="T638" s="181"/>
      <c r="V638" s="181"/>
    </row>
    <row r="639" ht="25.15" customHeight="1" spans="2:22" x14ac:dyDescent="0.25">
      <c r="B639" s="181"/>
      <c r="C639" s="181"/>
      <c r="D639" s="181"/>
      <c r="E639" s="181"/>
      <c r="F639" s="181"/>
      <c r="G639" s="181"/>
      <c r="H639" s="181"/>
      <c r="I639" s="181"/>
      <c r="J639" s="181"/>
      <c r="K639" s="181"/>
      <c r="L639" s="181"/>
      <c r="M639" s="181"/>
      <c r="N639" s="181"/>
      <c r="O639" s="181"/>
      <c r="P639" s="181"/>
      <c r="Q639" s="181"/>
      <c r="R639" s="181"/>
      <c r="S639" s="81" t="s">
        <v>943</v>
      </c>
      <c r="T639" s="181"/>
      <c r="V639" s="181"/>
    </row>
    <row r="640" ht="25.15" customHeight="1" spans="22:22" x14ac:dyDescent="0.25">
      <c r="V640" s="181"/>
    </row>
    <row r="641" ht="25.15" customHeight="1" spans="1:22" x14ac:dyDescent="0.25">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row>
    <row r="642" ht="25.15" customHeight="1" spans="1:22" x14ac:dyDescent="0.25">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row>
    <row r="643" ht="20.25" customHeight="1" spans="1:22" x14ac:dyDescent="0.25">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row>
    <row r="644" ht="20.25" customHeight="1" spans="1:22" x14ac:dyDescent="0.25">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row>
    <row r="645" ht="20.25" customHeight="1" spans="1:21" s="137" customFormat="1" x14ac:dyDescent="0.25">
      <c r="A645" s="181"/>
      <c r="B645" s="682" t="s">
        <v>1572</v>
      </c>
      <c r="C645" s="682"/>
      <c r="D645" s="682"/>
      <c r="E645" s="682"/>
      <c r="F645" s="682"/>
      <c r="G645" s="682"/>
      <c r="H645" s="682"/>
      <c r="I645" s="682"/>
      <c r="J645" s="682"/>
      <c r="K645" s="682"/>
      <c r="L645" s="682"/>
      <c r="M645" s="682"/>
      <c r="N645" s="682"/>
      <c r="O645" s="682"/>
      <c r="P645" s="682"/>
      <c r="Q645" s="682"/>
      <c r="R645" s="682"/>
      <c r="S645" s="181"/>
      <c r="T645" s="181"/>
      <c r="U645" s="181"/>
    </row>
    <row r="646" ht="20.25" customHeight="1" spans="1:21" s="137" customFormat="1" x14ac:dyDescent="0.25">
      <c r="A646" s="181"/>
      <c r="B646" s="181"/>
      <c r="C646" s="181"/>
      <c r="D646" s="181"/>
      <c r="E646" s="181"/>
      <c r="F646" s="181"/>
      <c r="G646" s="181"/>
      <c r="H646" s="181"/>
      <c r="I646" s="181"/>
      <c r="J646" s="181"/>
      <c r="K646" s="181"/>
      <c r="L646" s="181"/>
      <c r="M646" s="181"/>
      <c r="N646" s="181"/>
      <c r="O646" s="181"/>
      <c r="P646" s="181"/>
      <c r="Q646" s="181"/>
      <c r="R646" s="181"/>
      <c r="S646" s="181"/>
      <c r="T646" s="181"/>
      <c r="U646" s="181"/>
    </row>
    <row r="647" ht="20.25" customHeight="1" spans="1:21" s="137" customFormat="1" x14ac:dyDescent="0.25">
      <c r="A647" s="181"/>
      <c r="B647" s="181"/>
      <c r="C647" s="181"/>
      <c r="D647" s="181"/>
      <c r="E647" s="181"/>
      <c r="F647" s="181"/>
      <c r="G647" s="181"/>
      <c r="H647" s="181"/>
      <c r="I647" s="181"/>
      <c r="J647" s="181"/>
      <c r="K647" s="181"/>
      <c r="L647" s="181"/>
      <c r="M647" s="181"/>
      <c r="N647" s="181"/>
      <c r="O647" s="181"/>
      <c r="P647" s="181"/>
      <c r="Q647" s="181"/>
      <c r="R647" s="181"/>
      <c r="S647" s="181"/>
      <c r="T647" s="181"/>
      <c r="U647" s="181"/>
    </row>
    <row r="648" ht="20.25" customHeight="1" spans="1:21" s="137" customFormat="1" x14ac:dyDescent="0.25">
      <c r="A648" s="181"/>
      <c r="B648" s="181"/>
      <c r="C648" s="181"/>
      <c r="D648" s="181"/>
      <c r="E648" s="181"/>
      <c r="F648" s="181"/>
      <c r="G648" s="181"/>
      <c r="H648" s="181"/>
      <c r="I648" s="181"/>
      <c r="J648" s="181"/>
      <c r="K648" s="181"/>
      <c r="L648" s="181"/>
      <c r="M648" s="181"/>
      <c r="N648" s="656">
        <f>初期入力!C14</f>
        <v>2026</v>
      </c>
      <c r="O648" s="656"/>
      <c r="P648" s="657" t="s">
        <v>33</v>
      </c>
      <c r="Q648" s="683">
        <f>初期入力!E14</f>
        <v>12</v>
      </c>
      <c r="R648" s="657" t="s">
        <v>34</v>
      </c>
      <c r="S648" s="665">
        <f>初期入力!G14</f>
        <v>25</v>
      </c>
      <c r="T648" s="657" t="s">
        <v>35</v>
      </c>
      <c r="U648" s="181"/>
    </row>
    <row r="649" ht="20.25" customHeight="1" spans="1:21" s="137" customFormat="1" x14ac:dyDescent="0.25">
      <c r="A649" s="181"/>
      <c r="B649" s="181"/>
      <c r="C649" s="181"/>
      <c r="D649" s="181"/>
      <c r="E649" s="181"/>
      <c r="F649" s="181"/>
      <c r="G649" s="181"/>
      <c r="H649" s="181"/>
      <c r="I649" s="181"/>
      <c r="J649" s="181"/>
      <c r="K649" s="181"/>
      <c r="L649" s="181"/>
      <c r="M649" s="181"/>
      <c r="N649" s="181"/>
      <c r="O649" s="181"/>
      <c r="P649" s="181"/>
      <c r="Q649" s="181"/>
      <c r="R649" s="181"/>
      <c r="S649" s="181"/>
      <c r="T649" s="181"/>
      <c r="U649" s="181"/>
    </row>
    <row r="650" ht="20.25" customHeight="1" spans="1:21" s="137" customFormat="1" x14ac:dyDescent="0.25">
      <c r="A650" s="181" t="s">
        <v>1573</v>
      </c>
      <c r="B650" s="181"/>
      <c r="C650" s="181"/>
      <c r="D650" s="181"/>
      <c r="E650" s="181"/>
      <c r="F650" s="181"/>
      <c r="G650" s="181"/>
      <c r="H650" s="181"/>
      <c r="I650" s="181"/>
      <c r="J650" s="181"/>
      <c r="K650" s="181"/>
      <c r="L650" s="181"/>
      <c r="M650" s="181"/>
      <c r="N650" s="181"/>
      <c r="O650" s="181"/>
      <c r="P650" s="181"/>
      <c r="Q650" s="181"/>
      <c r="R650" s="181"/>
      <c r="S650" s="181"/>
      <c r="T650" s="181"/>
      <c r="U650" s="181"/>
    </row>
    <row r="651" ht="20.25" customHeight="1" spans="1:21" s="137" customFormat="1" x14ac:dyDescent="0.25">
      <c r="A651" s="181" t="s">
        <v>189</v>
      </c>
      <c r="B651" s="181"/>
      <c r="C651" s="684">
        <f>初期入力!B7</f>
        <v>0</v>
      </c>
      <c r="D651" s="684"/>
      <c r="E651" s="684"/>
      <c r="F651" s="684"/>
      <c r="G651" s="684"/>
      <c r="H651" s="684"/>
      <c r="I651" s="684"/>
      <c r="J651" s="684"/>
      <c r="K651" s="684"/>
      <c r="L651" s="181"/>
      <c r="M651" s="181"/>
      <c r="N651" s="181"/>
      <c r="O651" s="181"/>
      <c r="P651" s="181"/>
      <c r="Q651" s="181"/>
      <c r="R651" s="181"/>
      <c r="S651" s="181"/>
      <c r="T651" s="181"/>
      <c r="U651" s="181"/>
    </row>
    <row r="652" ht="20.25" customHeight="1" spans="1:21" s="137" customFormat="1" x14ac:dyDescent="0.25">
      <c r="A652" s="181" t="s">
        <v>185</v>
      </c>
      <c r="B652" s="181"/>
      <c r="C652" s="181"/>
      <c r="D652" s="181"/>
      <c r="E652" s="181"/>
      <c r="F652" s="181"/>
      <c r="G652" s="181"/>
      <c r="H652" s="181"/>
      <c r="I652" s="667" t="s">
        <v>222</v>
      </c>
      <c r="J652" s="181"/>
      <c r="K652" s="181"/>
      <c r="L652" s="181"/>
      <c r="M652" s="181"/>
      <c r="N652" s="181"/>
      <c r="O652" s="181"/>
      <c r="P652" s="181"/>
      <c r="Q652" s="181"/>
      <c r="R652" s="181"/>
      <c r="S652" s="181"/>
      <c r="T652" s="181"/>
      <c r="U652" s="181"/>
    </row>
    <row r="653" ht="20.25" customHeight="1" spans="1:21" s="137" customFormat="1" x14ac:dyDescent="0.25">
      <c r="A653" s="181"/>
      <c r="B653" s="181"/>
      <c r="C653" s="181"/>
      <c r="D653" s="181"/>
      <c r="E653" s="181"/>
      <c r="F653" s="181"/>
      <c r="G653" s="181"/>
      <c r="H653" s="181"/>
      <c r="I653" s="181"/>
      <c r="J653" s="181"/>
      <c r="K653" s="181"/>
      <c r="L653" s="181" t="s">
        <v>1574</v>
      </c>
      <c r="M653" s="181"/>
      <c r="N653" s="181"/>
      <c r="O653" s="181"/>
      <c r="P653" s="181"/>
      <c r="Q653" s="181"/>
      <c r="R653" s="181"/>
      <c r="S653" s="181"/>
      <c r="T653" s="181"/>
      <c r="U653" s="181"/>
    </row>
    <row r="654" ht="20.25" customHeight="1" spans="1:21" s="137" customFormat="1" x14ac:dyDescent="0.25">
      <c r="A654" s="181"/>
      <c r="B654" s="181"/>
      <c r="C654" s="181"/>
      <c r="D654" s="181"/>
      <c r="E654" s="181"/>
      <c r="F654" s="181"/>
      <c r="G654" s="181"/>
      <c r="H654" s="181"/>
      <c r="I654" s="181"/>
      <c r="J654" s="181"/>
      <c r="K654" s="181"/>
      <c r="L654" s="181" t="s">
        <v>189</v>
      </c>
      <c r="M654" s="181"/>
      <c r="N654" s="684">
        <f>初期入力!B5</f>
        <v>0</v>
      </c>
      <c r="O654" s="684"/>
      <c r="P654" s="684"/>
      <c r="Q654" s="684"/>
      <c r="R654" s="684"/>
      <c r="S654" s="684"/>
      <c r="T654" s="684"/>
      <c r="U654" s="684"/>
    </row>
    <row r="655" ht="20.25" customHeight="1" spans="1:21" s="137" customFormat="1" x14ac:dyDescent="0.25">
      <c r="A655" s="181"/>
      <c r="B655" s="181"/>
      <c r="C655" s="181"/>
      <c r="D655" s="181"/>
      <c r="E655" s="181"/>
      <c r="F655" s="181"/>
      <c r="G655" s="181"/>
      <c r="H655" s="181"/>
      <c r="I655" s="181"/>
      <c r="J655" s="181"/>
      <c r="K655" s="181"/>
      <c r="L655" s="181" t="s">
        <v>185</v>
      </c>
      <c r="M655" s="181"/>
      <c r="N655" s="181"/>
      <c r="O655" s="181"/>
      <c r="P655" s="181"/>
      <c r="Q655" s="181"/>
      <c r="R655" s="181"/>
      <c r="S655" s="181"/>
      <c r="T655" s="667" t="s">
        <v>222</v>
      </c>
      <c r="U655" s="181"/>
    </row>
    <row r="656" ht="20.25" customHeight="1" spans="1:21" s="137" customFormat="1" x14ac:dyDescent="0.25">
      <c r="A656" s="181"/>
      <c r="B656" s="181"/>
      <c r="C656" s="181"/>
      <c r="D656" s="181"/>
      <c r="E656" s="181"/>
      <c r="F656" s="181"/>
      <c r="G656" s="181"/>
      <c r="H656" s="181"/>
      <c r="I656" s="181"/>
      <c r="J656" s="181"/>
      <c r="K656" s="181"/>
      <c r="L656" s="181"/>
      <c r="M656" s="181"/>
      <c r="N656" s="181"/>
      <c r="O656" s="181"/>
      <c r="P656" s="181"/>
      <c r="Q656" s="181"/>
      <c r="R656" s="181"/>
      <c r="S656" s="181"/>
      <c r="T656" s="181"/>
      <c r="U656" s="181"/>
    </row>
    <row r="657" ht="20.25" customHeight="1" spans="1:21" s="137" customFormat="1" x14ac:dyDescent="0.25">
      <c r="A657" s="181"/>
      <c r="B657" s="181"/>
      <c r="C657" s="181"/>
      <c r="D657" s="181"/>
      <c r="E657" s="181"/>
      <c r="F657" s="181"/>
      <c r="G657" s="181"/>
      <c r="H657" s="181"/>
      <c r="I657" s="181"/>
      <c r="J657" s="181"/>
      <c r="K657" s="181"/>
      <c r="L657" s="181"/>
      <c r="M657" s="181"/>
      <c r="N657" s="181"/>
      <c r="O657" s="181"/>
      <c r="P657" s="181"/>
      <c r="Q657" s="181"/>
      <c r="R657" s="181"/>
      <c r="S657" s="181"/>
      <c r="T657" s="181"/>
      <c r="U657" s="181"/>
    </row>
    <row r="658" ht="20.25" customHeight="1" spans="1:21" s="137" customFormat="1" x14ac:dyDescent="0.25">
      <c r="A658" s="181" t="s">
        <v>1575</v>
      </c>
      <c r="B658" s="181"/>
      <c r="C658" s="181"/>
      <c r="D658" s="181"/>
      <c r="E658" s="181"/>
      <c r="F658" s="181"/>
      <c r="G658" s="181"/>
      <c r="H658" s="181"/>
      <c r="I658" s="181"/>
      <c r="J658" s="181"/>
      <c r="K658" s="181"/>
      <c r="L658" s="181"/>
      <c r="M658" s="181"/>
      <c r="N658" s="181"/>
      <c r="O658" s="181"/>
      <c r="P658" s="181"/>
      <c r="Q658" s="181"/>
      <c r="R658" s="181"/>
      <c r="S658" s="181"/>
      <c r="T658" s="181"/>
      <c r="U658" s="181"/>
    </row>
    <row r="659" ht="20.25" customHeight="1" spans="1:21" s="137" customFormat="1" x14ac:dyDescent="0.25">
      <c r="A659" s="181" t="s">
        <v>1576</v>
      </c>
      <c r="B659" s="181"/>
      <c r="C659" s="181"/>
      <c r="D659" s="181"/>
      <c r="E659" s="181"/>
      <c r="F659" s="181"/>
      <c r="G659" s="181"/>
      <c r="H659" s="181"/>
      <c r="I659" s="181"/>
      <c r="J659" s="181"/>
      <c r="K659" s="181"/>
      <c r="L659" s="181"/>
      <c r="M659" s="181"/>
      <c r="N659" s="181"/>
      <c r="O659" s="181"/>
      <c r="P659" s="181"/>
      <c r="Q659" s="181"/>
      <c r="R659" s="181"/>
      <c r="S659" s="181"/>
      <c r="T659" s="181"/>
      <c r="U659" s="181"/>
    </row>
    <row r="660" ht="20.25" customHeight="1" spans="1:21" s="137" customFormat="1" x14ac:dyDescent="0.25">
      <c r="A660" s="181" t="s">
        <v>1577</v>
      </c>
      <c r="B660" s="181"/>
      <c r="C660" s="181"/>
      <c r="D660" s="181"/>
      <c r="E660" s="181"/>
      <c r="F660" s="181"/>
      <c r="G660" s="181"/>
      <c r="H660" s="181"/>
      <c r="I660" s="181"/>
      <c r="J660" s="181"/>
      <c r="K660" s="181"/>
      <c r="L660" s="181"/>
      <c r="M660" s="181"/>
      <c r="N660" s="181"/>
      <c r="O660" s="181"/>
      <c r="P660" s="181"/>
      <c r="Q660" s="181"/>
      <c r="R660" s="181"/>
      <c r="S660" s="181"/>
      <c r="T660" s="181"/>
      <c r="U660" s="181"/>
    </row>
    <row r="661" ht="20.25" customHeight="1" spans="1:21" s="137" customFormat="1" x14ac:dyDescent="0.25">
      <c r="A661" s="181"/>
      <c r="B661" s="181"/>
      <c r="C661" s="181"/>
      <c r="D661" s="181"/>
      <c r="E661" s="181"/>
      <c r="F661" s="181"/>
      <c r="G661" s="181"/>
      <c r="H661" s="181"/>
      <c r="I661" s="181"/>
      <c r="J661" s="181"/>
      <c r="K661" s="181"/>
      <c r="L661" s="181"/>
      <c r="M661" s="181"/>
      <c r="N661" s="181"/>
      <c r="O661" s="181"/>
      <c r="P661" s="181"/>
      <c r="Q661" s="181"/>
      <c r="R661" s="181"/>
      <c r="S661" s="181"/>
      <c r="T661" s="181"/>
      <c r="U661" s="181"/>
    </row>
    <row r="662" ht="20.25" customHeight="1" spans="1:21" s="137" customFormat="1" x14ac:dyDescent="0.25">
      <c r="A662" s="181"/>
      <c r="B662" s="181"/>
      <c r="C662" s="181"/>
      <c r="D662" s="181"/>
      <c r="E662" s="181"/>
      <c r="F662" s="181"/>
      <c r="G662" s="181"/>
      <c r="H662" s="181"/>
      <c r="I662" s="181"/>
      <c r="J662" s="181"/>
      <c r="K662" s="181"/>
      <c r="L662" s="181"/>
      <c r="M662" s="181"/>
      <c r="N662" s="181"/>
      <c r="O662" s="181"/>
      <c r="P662" s="181"/>
      <c r="Q662" s="181"/>
      <c r="R662" s="181"/>
      <c r="S662" s="181"/>
      <c r="T662" s="181"/>
      <c r="U662" s="181"/>
    </row>
    <row r="663" ht="20.25" customHeight="1" spans="1:21" s="137" customFormat="1" x14ac:dyDescent="0.25">
      <c r="A663" s="181"/>
      <c r="B663" s="181"/>
      <c r="C663" s="181"/>
      <c r="D663" s="181"/>
      <c r="E663" s="181"/>
      <c r="F663" s="181"/>
      <c r="G663" s="181"/>
      <c r="H663" s="181"/>
      <c r="I663" s="181"/>
      <c r="J663" s="181" t="s">
        <v>1073</v>
      </c>
      <c r="K663" s="181"/>
      <c r="L663" s="181"/>
      <c r="M663" s="181"/>
      <c r="N663" s="181"/>
      <c r="O663" s="181"/>
      <c r="P663" s="181"/>
      <c r="Q663" s="181"/>
      <c r="R663" s="181"/>
      <c r="S663" s="181"/>
      <c r="T663" s="181"/>
      <c r="U663" s="181"/>
    </row>
    <row r="664" ht="20.25" customHeight="1" spans="1:21" s="137" customFormat="1" x14ac:dyDescent="0.25">
      <c r="A664" s="181"/>
      <c r="B664" s="181"/>
      <c r="C664" s="181"/>
      <c r="D664" s="181"/>
      <c r="E664" s="181"/>
      <c r="F664" s="181"/>
      <c r="G664" s="181"/>
      <c r="H664" s="181"/>
      <c r="I664" s="181"/>
      <c r="J664" s="181"/>
      <c r="K664" s="181"/>
      <c r="L664" s="181"/>
      <c r="M664" s="181"/>
      <c r="N664" s="181"/>
      <c r="O664" s="181"/>
      <c r="P664" s="181"/>
      <c r="Q664" s="181"/>
      <c r="R664" s="181"/>
      <c r="S664" s="181"/>
      <c r="T664" s="181"/>
      <c r="U664" s="181"/>
    </row>
    <row r="665" ht="20.25" customHeight="1" spans="1:21" s="137" customFormat="1" x14ac:dyDescent="0.25">
      <c r="A665" s="181" t="s">
        <v>1578</v>
      </c>
      <c r="B665" s="181"/>
      <c r="C665" s="181"/>
      <c r="D665" s="181"/>
      <c r="E665" s="181"/>
      <c r="F665" s="181"/>
      <c r="G665" s="181"/>
      <c r="H665" s="181"/>
      <c r="I665" s="181"/>
      <c r="J665" s="181"/>
      <c r="K665" s="181"/>
      <c r="L665" s="181"/>
      <c r="M665" s="181"/>
      <c r="N665" s="181"/>
      <c r="O665" s="181"/>
      <c r="P665" s="181"/>
      <c r="Q665" s="181"/>
      <c r="R665" s="181"/>
      <c r="S665" s="181"/>
      <c r="T665" s="181"/>
      <c r="U665" s="181"/>
    </row>
    <row r="666" ht="20.25" customHeight="1" spans="1:21" s="137" customFormat="1" x14ac:dyDescent="0.25">
      <c r="A666" s="181"/>
      <c r="B666" s="181" t="s">
        <v>1579</v>
      </c>
      <c r="C666" s="181"/>
      <c r="D666" s="181"/>
      <c r="E666" s="181"/>
      <c r="F666" s="181"/>
      <c r="G666" s="181"/>
      <c r="H666" s="181"/>
      <c r="I666" s="181"/>
      <c r="J666" s="181"/>
      <c r="K666" s="181"/>
      <c r="L666" s="181"/>
      <c r="M666" s="181"/>
      <c r="N666" s="181"/>
      <c r="O666" s="181"/>
      <c r="P666" s="181"/>
      <c r="Q666" s="181"/>
      <c r="R666" s="181"/>
      <c r="S666" s="181"/>
      <c r="T666" s="181"/>
      <c r="U666" s="181"/>
    </row>
    <row r="667" ht="20.25" customHeight="1" spans="1:21" s="137" customFormat="1" x14ac:dyDescent="0.25">
      <c r="A667" s="181"/>
      <c r="B667" s="181" t="s">
        <v>1580</v>
      </c>
      <c r="C667" s="181"/>
      <c r="D667" s="181"/>
      <c r="E667" s="181"/>
      <c r="F667" s="181"/>
      <c r="G667" s="181"/>
      <c r="H667" s="181"/>
      <c r="I667" s="181"/>
      <c r="J667" s="181"/>
      <c r="K667" s="181"/>
      <c r="L667" s="181"/>
      <c r="M667" s="181"/>
      <c r="N667" s="181"/>
      <c r="O667" s="181"/>
      <c r="P667" s="181"/>
      <c r="Q667" s="181"/>
      <c r="R667" s="181"/>
      <c r="S667" s="181"/>
      <c r="T667" s="181"/>
      <c r="U667" s="181"/>
    </row>
    <row r="668" ht="20.25" customHeight="1" spans="1:21" s="137" customFormat="1" x14ac:dyDescent="0.25">
      <c r="A668" s="181"/>
      <c r="B668" s="181" t="s">
        <v>1581</v>
      </c>
      <c r="C668" s="181"/>
      <c r="D668" s="181"/>
      <c r="E668" s="181"/>
      <c r="F668" s="181" t="s">
        <v>1582</v>
      </c>
      <c r="G668" s="181"/>
      <c r="H668" s="181"/>
      <c r="I668" s="181"/>
      <c r="J668" s="181"/>
      <c r="K668" s="181"/>
      <c r="L668" s="181"/>
      <c r="M668" s="181"/>
      <c r="N668" s="181"/>
      <c r="O668" s="181"/>
      <c r="P668" s="181"/>
      <c r="Q668" s="181"/>
      <c r="R668" s="181"/>
      <c r="S668" s="181"/>
      <c r="T668" s="181"/>
      <c r="U668" s="181"/>
    </row>
    <row r="669" ht="30" customHeight="1" spans="1:21" s="137" customFormat="1" x14ac:dyDescent="0.25">
      <c r="A669" s="181"/>
      <c r="B669" s="181"/>
      <c r="C669" s="181"/>
      <c r="D669" s="181"/>
      <c r="E669" s="181"/>
      <c r="F669" s="181"/>
      <c r="G669" s="181"/>
      <c r="H669" s="181"/>
      <c r="I669" s="181"/>
      <c r="J669" s="181"/>
      <c r="K669" s="181"/>
      <c r="L669" s="181"/>
      <c r="M669" s="181"/>
      <c r="N669" s="181"/>
      <c r="O669" s="181"/>
      <c r="P669" s="181"/>
      <c r="Q669" s="181"/>
      <c r="R669" s="181"/>
      <c r="S669" s="181"/>
      <c r="T669" s="181"/>
      <c r="U669" s="181"/>
    </row>
    <row r="670" ht="30" customHeight="1" spans="1:21" s="137" customFormat="1" x14ac:dyDescent="0.25">
      <c r="A670" s="181" t="s">
        <v>1583</v>
      </c>
      <c r="B670" s="181"/>
      <c r="C670" s="181"/>
      <c r="D670" s="181"/>
      <c r="E670" s="181"/>
      <c r="F670" s="181"/>
      <c r="G670" s="181"/>
      <c r="H670" s="181"/>
      <c r="I670" s="181"/>
      <c r="J670" s="181"/>
      <c r="K670" s="181"/>
      <c r="L670" s="181"/>
      <c r="M670" s="181"/>
      <c r="N670" s="181"/>
      <c r="O670" s="181"/>
      <c r="P670" s="181"/>
      <c r="Q670" s="181"/>
      <c r="R670" s="181"/>
      <c r="S670" s="181"/>
      <c r="T670" s="181"/>
      <c r="U670" s="181"/>
    </row>
    <row r="671" ht="30" customHeight="1" spans="1:21" s="137" customFormat="1" x14ac:dyDescent="0.25">
      <c r="A671" s="181"/>
      <c r="B671" s="181" t="s">
        <v>1584</v>
      </c>
      <c r="C671" s="181"/>
      <c r="D671" s="181"/>
      <c r="E671" s="181"/>
      <c r="F671" s="181"/>
      <c r="G671" s="181"/>
      <c r="H671" s="181"/>
      <c r="I671" s="181"/>
      <c r="J671" s="181"/>
      <c r="K671" s="181"/>
      <c r="L671" s="181"/>
      <c r="M671" s="181"/>
      <c r="N671" s="181"/>
      <c r="O671" s="181"/>
      <c r="P671" s="181"/>
      <c r="Q671" s="181"/>
      <c r="R671" s="181"/>
      <c r="S671" s="181"/>
      <c r="T671" s="181"/>
      <c r="U671" s="181"/>
    </row>
    <row r="672" ht="30" customHeight="1" spans="1:21" s="137" customFormat="1" x14ac:dyDescent="0.25">
      <c r="A672" s="181"/>
      <c r="B672" s="181"/>
      <c r="C672" s="181"/>
      <c r="D672" s="181"/>
      <c r="E672" s="181"/>
      <c r="F672" s="181"/>
      <c r="G672" s="181"/>
      <c r="H672" s="181"/>
      <c r="I672" s="181"/>
      <c r="J672" s="181"/>
      <c r="K672" s="181"/>
      <c r="L672" s="181"/>
      <c r="M672" s="181"/>
      <c r="N672" s="181"/>
      <c r="O672" s="181"/>
      <c r="P672" s="181"/>
      <c r="Q672" s="181"/>
      <c r="R672" s="181"/>
      <c r="S672" s="181"/>
      <c r="T672" s="181"/>
      <c r="U672" s="181"/>
    </row>
    <row r="673" ht="30" customHeight="1" spans="1:21" s="137" customFormat="1" x14ac:dyDescent="0.25">
      <c r="A673" s="181" t="s">
        <v>1585</v>
      </c>
      <c r="B673" s="181"/>
      <c r="C673" s="181"/>
      <c r="D673" s="181"/>
      <c r="E673" s="181"/>
      <c r="F673" s="181"/>
      <c r="G673" s="181"/>
      <c r="H673" s="181"/>
      <c r="I673" s="181"/>
      <c r="J673" s="181"/>
      <c r="K673" s="181"/>
      <c r="L673" s="181"/>
      <c r="M673" s="181"/>
      <c r="N673" s="181"/>
      <c r="O673" s="181"/>
      <c r="P673" s="181"/>
      <c r="Q673" s="181"/>
      <c r="R673" s="181"/>
      <c r="S673" s="181"/>
      <c r="T673" s="181"/>
      <c r="U673" s="181"/>
    </row>
    <row r="674" ht="30" customHeight="1" spans="1:21" s="137" customFormat="1" x14ac:dyDescent="0.25">
      <c r="A674" s="181"/>
      <c r="B674" s="181"/>
      <c r="C674" s="181"/>
      <c r="D674" s="181" t="s">
        <v>33</v>
      </c>
      <c r="E674" s="181"/>
      <c r="F674" s="181" t="s">
        <v>34</v>
      </c>
      <c r="G674" s="181"/>
      <c r="H674" s="181" t="s">
        <v>35</v>
      </c>
      <c r="I674" s="181" t="s">
        <v>1586</v>
      </c>
      <c r="J674" s="181"/>
      <c r="K674" s="181"/>
      <c r="L674" s="181" t="s">
        <v>33</v>
      </c>
      <c r="M674" s="181"/>
      <c r="N674" s="181" t="s">
        <v>34</v>
      </c>
      <c r="O674" s="181"/>
      <c r="P674" s="181" t="s">
        <v>1587</v>
      </c>
      <c r="Q674" s="181"/>
      <c r="R674" s="181"/>
      <c r="S674" s="181"/>
      <c r="T674" s="181"/>
      <c r="U674" s="181"/>
    </row>
    <row r="675" ht="20.25" customHeight="1" spans="1:21" s="137" customFormat="1" x14ac:dyDescent="0.25">
      <c r="A675" s="181"/>
      <c r="B675" s="181"/>
      <c r="C675" s="181"/>
      <c r="D675" s="181"/>
      <c r="E675" s="181"/>
      <c r="F675" s="181"/>
      <c r="G675" s="181"/>
      <c r="H675" s="181"/>
      <c r="I675" s="181"/>
      <c r="J675" s="181"/>
      <c r="K675" s="181"/>
      <c r="L675" s="181"/>
      <c r="M675" s="181"/>
      <c r="N675" s="181"/>
      <c r="O675" s="181"/>
      <c r="P675" s="181"/>
      <c r="Q675" s="181"/>
      <c r="R675" s="181"/>
      <c r="S675" s="181"/>
      <c r="T675" s="181"/>
      <c r="U675" s="181"/>
    </row>
    <row r="676" ht="39.75" customHeight="1" spans="1:21" s="137" customFormat="1" x14ac:dyDescent="0.25">
      <c r="A676" s="181" t="s">
        <v>1588</v>
      </c>
      <c r="B676" s="181"/>
      <c r="C676" s="181"/>
      <c r="D676" s="181"/>
      <c r="E676" s="181"/>
      <c r="F676" s="181"/>
      <c r="G676" s="181"/>
      <c r="H676" s="181"/>
      <c r="I676" s="181"/>
      <c r="J676" s="181"/>
      <c r="K676" s="181"/>
      <c r="L676" s="181"/>
      <c r="M676" s="181"/>
      <c r="N676" s="181"/>
      <c r="O676" s="181"/>
      <c r="P676" s="181"/>
      <c r="Q676" s="181"/>
      <c r="R676" s="181"/>
      <c r="S676" s="181"/>
      <c r="T676" s="181"/>
      <c r="U676" s="181"/>
    </row>
    <row r="677" ht="39.75" customHeight="1" spans="1:21" s="137" customFormat="1" x14ac:dyDescent="0.25">
      <c r="A677" s="181"/>
      <c r="B677" s="181" t="s">
        <v>1589</v>
      </c>
      <c r="C677" s="181"/>
      <c r="D677" s="181"/>
      <c r="E677" s="181"/>
      <c r="F677" s="181"/>
      <c r="G677" s="181"/>
      <c r="H677" s="181"/>
      <c r="I677" s="181"/>
      <c r="J677" s="181"/>
      <c r="K677" s="181"/>
      <c r="L677" s="181"/>
      <c r="M677" s="181"/>
      <c r="N677" s="181"/>
      <c r="O677" s="181"/>
      <c r="P677" s="181"/>
      <c r="Q677" s="181"/>
      <c r="R677" s="181"/>
      <c r="S677" s="181"/>
      <c r="T677" s="181"/>
      <c r="U677" s="181"/>
    </row>
    <row r="678" ht="45" customHeight="1" spans="1:21" s="137" customFormat="1" x14ac:dyDescent="0.25">
      <c r="A678" s="181"/>
      <c r="B678" s="181" t="s">
        <v>1590</v>
      </c>
      <c r="C678" s="181"/>
      <c r="D678" s="181"/>
      <c r="E678" s="181"/>
      <c r="F678" s="181"/>
      <c r="G678" s="181"/>
      <c r="H678" s="181"/>
      <c r="I678" s="181"/>
      <c r="J678" s="181"/>
      <c r="K678" s="181"/>
      <c r="L678" s="181"/>
      <c r="M678" s="181"/>
      <c r="N678" s="181"/>
      <c r="O678" s="181"/>
      <c r="P678" s="181"/>
      <c r="Q678" s="181"/>
      <c r="R678" s="181"/>
      <c r="S678" s="181"/>
      <c r="T678" s="181"/>
      <c r="U678" s="181"/>
    </row>
    <row r="679" ht="20.25" customHeight="1" spans="1:21" s="137" customFormat="1" x14ac:dyDescent="0.25">
      <c r="A679" s="181"/>
      <c r="B679" s="181" t="s">
        <v>1591</v>
      </c>
      <c r="C679" s="181"/>
      <c r="D679" s="181"/>
      <c r="E679" s="181"/>
      <c r="F679" s="181"/>
      <c r="G679" s="181"/>
      <c r="H679" s="181"/>
      <c r="I679" s="181"/>
      <c r="J679" s="181"/>
      <c r="K679" s="181"/>
      <c r="L679" s="181"/>
      <c r="M679" s="181"/>
      <c r="N679" s="181"/>
      <c r="O679" s="181"/>
      <c r="P679" s="181"/>
      <c r="Q679" s="181"/>
      <c r="R679" s="181"/>
      <c r="S679" s="181"/>
      <c r="T679" s="181"/>
      <c r="U679" s="181"/>
    </row>
    <row r="680" ht="20.25" customHeight="1" spans="1:21" s="137" customFormat="1" x14ac:dyDescent="0.25">
      <c r="A680" s="181"/>
      <c r="B680" s="181"/>
      <c r="C680" s="181"/>
      <c r="D680" s="181"/>
      <c r="E680" s="181"/>
      <c r="F680" s="181"/>
      <c r="G680" s="181"/>
      <c r="H680" s="181"/>
      <c r="I680" s="181"/>
      <c r="J680" s="181"/>
      <c r="K680" s="181"/>
      <c r="L680" s="181"/>
      <c r="M680" s="181"/>
      <c r="N680" s="181"/>
      <c r="O680" s="181"/>
      <c r="P680" s="181"/>
      <c r="Q680" s="181"/>
      <c r="R680" s="181"/>
      <c r="S680" s="181"/>
      <c r="T680" s="181"/>
      <c r="U680" s="181"/>
    </row>
    <row r="681" ht="20.25" customHeight="1" spans="1:21" s="137" customFormat="1" x14ac:dyDescent="0.25">
      <c r="A681" s="181"/>
      <c r="B681" s="181"/>
      <c r="C681" s="181"/>
      <c r="D681" s="181"/>
      <c r="E681" s="181"/>
      <c r="F681" s="181"/>
      <c r="G681" s="181"/>
      <c r="H681" s="181"/>
      <c r="I681" s="181"/>
      <c r="J681" s="181"/>
      <c r="K681" s="181"/>
      <c r="L681" s="181"/>
      <c r="M681" s="181"/>
      <c r="N681" s="181"/>
      <c r="O681" s="181"/>
      <c r="P681" s="181"/>
      <c r="Q681" s="181"/>
      <c r="R681" s="181" t="s">
        <v>943</v>
      </c>
      <c r="S681" s="181"/>
      <c r="T681" s="181"/>
      <c r="U681" s="181"/>
    </row>
    <row r="682" ht="20.25" customHeight="1" spans="1:21" s="137" customFormat="1" x14ac:dyDescent="0.25">
      <c r="A682" s="181"/>
      <c r="B682" s="181"/>
      <c r="C682" s="181"/>
      <c r="D682" s="181"/>
      <c r="E682" s="181"/>
      <c r="F682" s="181"/>
      <c r="G682" s="181"/>
      <c r="H682" s="181"/>
      <c r="I682" s="181"/>
      <c r="J682" s="181"/>
      <c r="K682" s="181"/>
      <c r="L682" s="181"/>
      <c r="M682" s="181"/>
      <c r="N682" s="181"/>
      <c r="O682" s="181"/>
      <c r="P682" s="181"/>
      <c r="Q682" s="181"/>
      <c r="R682" s="181"/>
      <c r="S682" s="181"/>
      <c r="T682" s="181"/>
      <c r="U682" s="181"/>
    </row>
    <row r="717" ht="20.25" customHeight="1" spans="1:22" x14ac:dyDescent="0.25">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row>
    <row r="718" ht="20.25" customHeight="1" spans="1:22" x14ac:dyDescent="0.25">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row>
    <row r="719" ht="20.25" customHeight="1" spans="1:22" x14ac:dyDescent="0.25">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row>
    <row r="720" ht="20.25" customHeight="1" spans="1:22" x14ac:dyDescent="0.25">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row>
    <row r="721" ht="20.25" customHeight="1" spans="1:22" x14ac:dyDescent="0.25">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row>
    <row r="722" ht="20.25" customHeight="1" x14ac:dyDescent="0.25"/>
    <row r="723" ht="20.25" customHeight="1" x14ac:dyDescent="0.25"/>
    <row r="724" ht="20.25" customHeight="1" x14ac:dyDescent="0.25"/>
    <row r="725" ht="20.25" customHeight="1" x14ac:dyDescent="0.25"/>
    <row r="726" ht="20.25" customHeight="1" x14ac:dyDescent="0.25"/>
    <row r="727" ht="20.2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sheetData>
  <mergeCells count="152">
    <mergeCell ref="C2:D2"/>
    <mergeCell ref="A10:U10"/>
    <mergeCell ref="A14:U14"/>
    <mergeCell ref="C52:Q52"/>
    <mergeCell ref="Q53:S53"/>
    <mergeCell ref="Q54:S54"/>
    <mergeCell ref="P55:S55"/>
    <mergeCell ref="D58:N58"/>
    <mergeCell ref="D62:G62"/>
    <mergeCell ref="H62:K62"/>
    <mergeCell ref="D64:K64"/>
    <mergeCell ref="D66:L66"/>
    <mergeCell ref="J75:K75"/>
    <mergeCell ref="M75:N75"/>
    <mergeCell ref="P75:Q75"/>
    <mergeCell ref="D78:P78"/>
    <mergeCell ref="D80:N80"/>
    <mergeCell ref="D82:P82"/>
    <mergeCell ref="D84:N84"/>
    <mergeCell ref="A92:C93"/>
    <mergeCell ref="D92:J93"/>
    <mergeCell ref="K92:M92"/>
    <mergeCell ref="N92:T92"/>
    <mergeCell ref="K93:M93"/>
    <mergeCell ref="N93:T93"/>
    <mergeCell ref="A94:C95"/>
    <mergeCell ref="D94:T95"/>
    <mergeCell ref="A96:C97"/>
    <mergeCell ref="D96:H97"/>
    <mergeCell ref="J96:L97"/>
    <mergeCell ref="N96:R97"/>
    <mergeCell ref="I96:I97"/>
    <mergeCell ref="M96:M97"/>
    <mergeCell ref="T96:T97"/>
    <mergeCell ref="B99:D100"/>
    <mergeCell ref="F99:H100"/>
    <mergeCell ref="I99:K99"/>
    <mergeCell ref="L99:T99"/>
    <mergeCell ref="A99:A100"/>
    <mergeCell ref="E99:E100"/>
    <mergeCell ref="I100:K100"/>
    <mergeCell ref="L100:T100"/>
    <mergeCell ref="B101:D102"/>
    <mergeCell ref="F101:H102"/>
    <mergeCell ref="I101:K101"/>
    <mergeCell ref="L101:T101"/>
    <mergeCell ref="A101:A102"/>
    <mergeCell ref="E101:E102"/>
    <mergeCell ref="I102:K102"/>
    <mergeCell ref="L102:T102"/>
    <mergeCell ref="B103:D104"/>
    <mergeCell ref="F103:H104"/>
    <mergeCell ref="I103:K103"/>
    <mergeCell ref="L103:T103"/>
    <mergeCell ref="A103:A104"/>
    <mergeCell ref="E103:E104"/>
    <mergeCell ref="I104:K104"/>
    <mergeCell ref="L104:T104"/>
    <mergeCell ref="B105:D106"/>
    <mergeCell ref="F105:H106"/>
    <mergeCell ref="I105:K105"/>
    <mergeCell ref="L105:T105"/>
    <mergeCell ref="A105:A106"/>
    <mergeCell ref="E105:E106"/>
    <mergeCell ref="I106:K106"/>
    <mergeCell ref="L106:T106"/>
    <mergeCell ref="B107:D108"/>
    <mergeCell ref="F107:H108"/>
    <mergeCell ref="I107:K107"/>
    <mergeCell ref="L107:T107"/>
    <mergeCell ref="A107:A108"/>
    <mergeCell ref="E107:E108"/>
    <mergeCell ref="I108:K108"/>
    <mergeCell ref="L108:T108"/>
    <mergeCell ref="A110:E110"/>
    <mergeCell ref="I110:L110"/>
    <mergeCell ref="N110:T110"/>
    <mergeCell ref="A111:E111"/>
    <mergeCell ref="I111:L111"/>
    <mergeCell ref="N111:T111"/>
    <mergeCell ref="A112:E112"/>
    <mergeCell ref="I112:L112"/>
    <mergeCell ref="N112:T112"/>
    <mergeCell ref="A114:C114"/>
    <mergeCell ref="D114:F114"/>
    <mergeCell ref="G114:L114"/>
    <mergeCell ref="N114:T114"/>
    <mergeCell ref="B115:C115"/>
    <mergeCell ref="D115:F115"/>
    <mergeCell ref="I115:L115"/>
    <mergeCell ref="N115:T115"/>
    <mergeCell ref="A115:A121"/>
    <mergeCell ref="B116:C116"/>
    <mergeCell ref="D116:F116"/>
    <mergeCell ref="I116:L116"/>
    <mergeCell ref="N116:T116"/>
    <mergeCell ref="B117:C117"/>
    <mergeCell ref="D117:F117"/>
    <mergeCell ref="I117:L117"/>
    <mergeCell ref="N117:T117"/>
    <mergeCell ref="B118:C118"/>
    <mergeCell ref="D118:F118"/>
    <mergeCell ref="I118:L118"/>
    <mergeCell ref="N118:T118"/>
    <mergeCell ref="B119:C119"/>
    <mergeCell ref="D119:F119"/>
    <mergeCell ref="I119:L119"/>
    <mergeCell ref="N119:T119"/>
    <mergeCell ref="B120:C120"/>
    <mergeCell ref="D120:F120"/>
    <mergeCell ref="B121:F121"/>
    <mergeCell ref="G139:I139"/>
    <mergeCell ref="N139:T139"/>
    <mergeCell ref="C152:Q153"/>
    <mergeCell ref="A189:T189"/>
    <mergeCell ref="A244:X244"/>
    <mergeCell ref="A513:U513"/>
    <mergeCell ref="C515:H515"/>
    <mergeCell ref="M517:N517"/>
    <mergeCell ref="C548:D548"/>
    <mergeCell ref="D550:G550"/>
    <mergeCell ref="H550:U550"/>
    <mergeCell ref="D552:G552"/>
    <mergeCell ref="H552:P552"/>
    <mergeCell ref="R552:T552"/>
    <mergeCell ref="D554:G554"/>
    <mergeCell ref="H554:U554"/>
    <mergeCell ref="D556:G556"/>
    <mergeCell ref="H556:P556"/>
    <mergeCell ref="R556:T556"/>
    <mergeCell ref="D558:G558"/>
    <mergeCell ref="H558:P558"/>
    <mergeCell ref="R558:T558"/>
    <mergeCell ref="D560:G560"/>
    <mergeCell ref="H560:P560"/>
    <mergeCell ref="R560:T560"/>
    <mergeCell ref="N564:O564"/>
    <mergeCell ref="A566:F566"/>
    <mergeCell ref="A567:F567"/>
    <mergeCell ref="K568:T568"/>
    <mergeCell ref="K569:T569"/>
    <mergeCell ref="A572:S572"/>
    <mergeCell ref="A575:R575"/>
    <mergeCell ref="A595:P595"/>
    <mergeCell ref="N609:O609"/>
    <mergeCell ref="B611:I611"/>
    <mergeCell ref="B612:F612"/>
    <mergeCell ref="B613:F613"/>
    <mergeCell ref="B645:R645"/>
    <mergeCell ref="N648:O648"/>
    <mergeCell ref="C651:K651"/>
    <mergeCell ref="N654:U654"/>
  </mergeCells>
  <pageMargins left="1.1811023622047245" right="0.1968503937007874" top="0.7086614173228347" bottom="0.3937007874015748" header="0" footer="0"/>
  <pageSetup paperSize="9" orientation="portrait" horizontalDpi="4294967295" verticalDpi="4294967295" scale="79"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995"/>
  <sheetViews>
    <sheetView workbookViewId="0" zoomScale="70" zoomScaleNormal="70">
      <selection activeCell="D1" sqref="D1"/>
    </sheetView>
  </sheetViews>
  <sheetFormatPr defaultRowHeight="15" outlineLevelRow="0" outlineLevelCol="0" x14ac:dyDescent="0" defaultColWidth="14.42578125"/>
  <cols>
    <col min="1" max="50" width="3.42578125" style="1" customWidth="1"/>
    <col min="51" max="16384" width="14.42578125" style="1" customWidth="1"/>
  </cols>
  <sheetData>
    <row r="1" ht="31.5" customHeight="1" spans="1:63"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Z1" s="1080" t="s">
        <v>1938</v>
      </c>
      <c r="BA1" s="1081"/>
      <c r="BB1" s="1081"/>
      <c r="BC1" s="1081"/>
      <c r="BD1" s="1081"/>
      <c r="BE1" s="1081"/>
      <c r="BF1" s="1081"/>
      <c r="BG1" s="1081"/>
      <c r="BH1" s="1081"/>
      <c r="BI1" s="1081"/>
      <c r="BJ1" s="1081"/>
      <c r="BK1" s="1082"/>
    </row>
    <row r="2" ht="31.5" customHeight="1" spans="1:63" x14ac:dyDescent="0.25">
      <c r="A2" s="3"/>
      <c r="B2" s="1083" t="s">
        <v>1939</v>
      </c>
      <c r="C2" s="1"/>
      <c r="D2" s="1"/>
      <c r="E2" s="1"/>
      <c r="F2" s="1"/>
      <c r="G2" s="1"/>
      <c r="H2" s="1"/>
      <c r="I2" s="1"/>
      <c r="J2" s="1"/>
      <c r="K2" s="1"/>
      <c r="L2" s="1"/>
      <c r="M2" s="1"/>
      <c r="N2" s="1"/>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Z2" s="1084" t="s">
        <v>1940</v>
      </c>
      <c r="BA2" s="1"/>
      <c r="BB2" s="1"/>
      <c r="BC2" s="1"/>
      <c r="BD2" s="1"/>
      <c r="BE2" s="1"/>
      <c r="BF2" s="1"/>
      <c r="BG2" s="1"/>
      <c r="BH2" s="1"/>
      <c r="BI2" s="1"/>
      <c r="BJ2" s="1"/>
      <c r="BK2" s="1085"/>
    </row>
    <row r="3" ht="31.5" customHeight="1" spans="1:63" x14ac:dyDescent="0.25">
      <c r="A3" s="3"/>
      <c r="B3" s="9"/>
      <c r="C3" s="9"/>
      <c r="D3" s="9"/>
      <c r="E3" s="9"/>
      <c r="F3" s="9"/>
      <c r="G3" s="9"/>
      <c r="H3" s="9"/>
      <c r="I3" s="9"/>
      <c r="J3" s="9"/>
      <c r="K3" s="9"/>
      <c r="L3" s="9"/>
      <c r="M3" s="9"/>
      <c r="N3" s="9"/>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Z3" s="1086"/>
      <c r="BA3" s="148"/>
      <c r="BB3" s="148"/>
      <c r="BC3" s="148"/>
      <c r="BD3" s="148"/>
      <c r="BE3" s="148"/>
      <c r="BF3" s="148"/>
      <c r="BG3" s="148"/>
      <c r="BH3" s="148"/>
      <c r="BI3" s="148"/>
      <c r="BJ3" s="148"/>
      <c r="BK3" s="1087"/>
    </row>
    <row r="4" ht="31.5" customHeight="1" spans="1:50" x14ac:dyDescent="0.25">
      <c r="A4" s="3"/>
      <c r="B4" s="1088" t="s">
        <v>1941</v>
      </c>
      <c r="C4" s="14"/>
      <c r="D4" s="14"/>
      <c r="E4" s="14"/>
      <c r="F4" s="14"/>
      <c r="G4" s="14"/>
      <c r="H4" s="14"/>
      <c r="I4" s="14"/>
      <c r="J4" s="14"/>
      <c r="K4" s="14"/>
      <c r="L4" s="14"/>
      <c r="M4" s="14"/>
      <c r="N4" s="14"/>
      <c r="O4" s="14"/>
      <c r="P4" s="14"/>
      <c r="Q4" s="14"/>
      <c r="R4" s="14"/>
      <c r="S4" s="14"/>
      <c r="T4" s="14"/>
      <c r="U4" s="14"/>
      <c r="V4" s="14"/>
      <c r="W4" s="14"/>
      <c r="X4" s="14"/>
      <c r="Y4" s="15"/>
      <c r="Z4" s="1088" t="s">
        <v>1641</v>
      </c>
      <c r="AA4" s="14"/>
      <c r="AB4" s="14"/>
      <c r="AC4" s="14"/>
      <c r="AD4" s="14"/>
      <c r="AE4" s="14"/>
      <c r="AF4" s="14"/>
      <c r="AG4" s="14"/>
      <c r="AH4" s="14"/>
      <c r="AI4" s="14"/>
      <c r="AJ4" s="14"/>
      <c r="AK4" s="14"/>
      <c r="AL4" s="14"/>
      <c r="AM4" s="14"/>
      <c r="AN4" s="14"/>
      <c r="AO4" s="14"/>
      <c r="AP4" s="14"/>
      <c r="AQ4" s="14"/>
      <c r="AR4" s="14"/>
      <c r="AS4" s="15"/>
      <c r="AT4" s="1088" t="s">
        <v>1942</v>
      </c>
      <c r="AU4" s="14"/>
      <c r="AV4" s="15"/>
      <c r="AW4" s="1088" t="s">
        <v>1943</v>
      </c>
      <c r="AX4" s="15"/>
    </row>
    <row r="5" ht="31.5" customHeight="1" spans="1:50" x14ac:dyDescent="0.25">
      <c r="A5" s="3"/>
      <c r="B5" s="1089" t="s">
        <v>1944</v>
      </c>
      <c r="C5" s="1090"/>
      <c r="D5" s="1090"/>
      <c r="E5" s="1090"/>
      <c r="F5" s="1090"/>
      <c r="G5" s="1090"/>
      <c r="H5" s="1090"/>
      <c r="I5" s="1090"/>
      <c r="J5" s="1090"/>
      <c r="K5" s="1090"/>
      <c r="L5" s="1090"/>
      <c r="M5" s="1090"/>
      <c r="N5" s="1090"/>
      <c r="O5" s="1090"/>
      <c r="P5" s="1090"/>
      <c r="Q5" s="1090"/>
      <c r="R5" s="1090"/>
      <c r="S5" s="1090"/>
      <c r="T5" s="1090"/>
      <c r="U5" s="1090"/>
      <c r="V5" s="1090"/>
      <c r="W5" s="1090"/>
      <c r="X5" s="1090"/>
      <c r="Y5" s="1091"/>
      <c r="Z5" s="1089" t="s">
        <v>1945</v>
      </c>
      <c r="AA5" s="1090"/>
      <c r="AB5" s="1090"/>
      <c r="AC5" s="1090"/>
      <c r="AD5" s="1090"/>
      <c r="AE5" s="1090"/>
      <c r="AF5" s="1090"/>
      <c r="AG5" s="1090"/>
      <c r="AH5" s="1090"/>
      <c r="AI5" s="1090"/>
      <c r="AJ5" s="1090"/>
      <c r="AK5" s="1090"/>
      <c r="AL5" s="1090"/>
      <c r="AM5" s="1090"/>
      <c r="AN5" s="1090"/>
      <c r="AO5" s="1090"/>
      <c r="AP5" s="1090"/>
      <c r="AQ5" s="1090"/>
      <c r="AR5" s="1090"/>
      <c r="AS5" s="1091"/>
      <c r="AT5" s="1092">
        <v>20</v>
      </c>
      <c r="AU5" s="14"/>
      <c r="AV5" s="15"/>
      <c r="AW5" s="1093" t="s">
        <v>1946</v>
      </c>
      <c r="AX5" s="15"/>
    </row>
    <row r="6" ht="31.5" customHeight="1" spans="1:50" x14ac:dyDescent="0.25">
      <c r="A6" s="3"/>
      <c r="B6" s="1094" t="s">
        <v>1947</v>
      </c>
      <c r="C6" s="14"/>
      <c r="D6" s="14"/>
      <c r="E6" s="14"/>
      <c r="F6" s="14"/>
      <c r="G6" s="14"/>
      <c r="H6" s="14"/>
      <c r="I6" s="14"/>
      <c r="J6" s="14"/>
      <c r="K6" s="14"/>
      <c r="L6" s="14"/>
      <c r="M6" s="14"/>
      <c r="N6" s="14"/>
      <c r="O6" s="14"/>
      <c r="P6" s="14"/>
      <c r="Q6" s="14"/>
      <c r="R6" s="14"/>
      <c r="S6" s="14"/>
      <c r="T6" s="14"/>
      <c r="U6" s="14"/>
      <c r="V6" s="14"/>
      <c r="W6" s="14"/>
      <c r="X6" s="14"/>
      <c r="Y6" s="15"/>
      <c r="Z6" s="1094" t="s">
        <v>1948</v>
      </c>
      <c r="AA6" s="14"/>
      <c r="AB6" s="14"/>
      <c r="AC6" s="14"/>
      <c r="AD6" s="14"/>
      <c r="AE6" s="14"/>
      <c r="AF6" s="14"/>
      <c r="AG6" s="14"/>
      <c r="AH6" s="14"/>
      <c r="AI6" s="14"/>
      <c r="AJ6" s="14"/>
      <c r="AK6" s="14"/>
      <c r="AL6" s="14"/>
      <c r="AM6" s="14"/>
      <c r="AN6" s="14"/>
      <c r="AO6" s="14"/>
      <c r="AP6" s="14"/>
      <c r="AQ6" s="14"/>
      <c r="AR6" s="14"/>
      <c r="AS6" s="15"/>
      <c r="AT6" s="1092">
        <v>1</v>
      </c>
      <c r="AU6" s="14"/>
      <c r="AV6" s="15"/>
      <c r="AW6" s="1093" t="s">
        <v>1949</v>
      </c>
      <c r="AX6" s="15"/>
    </row>
    <row r="7" ht="31.5" customHeight="1" spans="1:50" x14ac:dyDescent="0.25">
      <c r="A7" s="3"/>
      <c r="B7" s="1094" t="s">
        <v>1950</v>
      </c>
      <c r="C7" s="14"/>
      <c r="D7" s="14"/>
      <c r="E7" s="14"/>
      <c r="F7" s="14"/>
      <c r="G7" s="14"/>
      <c r="H7" s="14"/>
      <c r="I7" s="14"/>
      <c r="J7" s="14"/>
      <c r="K7" s="14"/>
      <c r="L7" s="14"/>
      <c r="M7" s="14"/>
      <c r="N7" s="14"/>
      <c r="O7" s="14"/>
      <c r="P7" s="14"/>
      <c r="Q7" s="14"/>
      <c r="R7" s="14"/>
      <c r="S7" s="14"/>
      <c r="T7" s="14"/>
      <c r="U7" s="14"/>
      <c r="V7" s="14"/>
      <c r="W7" s="14"/>
      <c r="X7" s="14"/>
      <c r="Y7" s="15"/>
      <c r="Z7" s="1094" t="s">
        <v>1951</v>
      </c>
      <c r="AA7" s="14"/>
      <c r="AB7" s="14"/>
      <c r="AC7" s="14"/>
      <c r="AD7" s="14"/>
      <c r="AE7" s="14"/>
      <c r="AF7" s="14"/>
      <c r="AG7" s="14"/>
      <c r="AH7" s="14"/>
      <c r="AI7" s="14"/>
      <c r="AJ7" s="14"/>
      <c r="AK7" s="14"/>
      <c r="AL7" s="14"/>
      <c r="AM7" s="14"/>
      <c r="AN7" s="14"/>
      <c r="AO7" s="14"/>
      <c r="AP7" s="14"/>
      <c r="AQ7" s="14"/>
      <c r="AR7" s="14"/>
      <c r="AS7" s="15"/>
      <c r="AT7" s="1092">
        <v>1</v>
      </c>
      <c r="AU7" s="14"/>
      <c r="AV7" s="15"/>
      <c r="AW7" s="1093" t="s">
        <v>1952</v>
      </c>
      <c r="AX7" s="15"/>
    </row>
    <row r="8" ht="31.5" customHeight="1" spans="1:50" x14ac:dyDescent="0.25">
      <c r="A8" s="3"/>
      <c r="B8" s="1094" t="s">
        <v>1953</v>
      </c>
      <c r="C8" s="14"/>
      <c r="D8" s="14"/>
      <c r="E8" s="14"/>
      <c r="F8" s="14"/>
      <c r="G8" s="14"/>
      <c r="H8" s="14"/>
      <c r="I8" s="14"/>
      <c r="J8" s="14"/>
      <c r="K8" s="14"/>
      <c r="L8" s="14"/>
      <c r="M8" s="14"/>
      <c r="N8" s="14"/>
      <c r="O8" s="14"/>
      <c r="P8" s="14"/>
      <c r="Q8" s="14"/>
      <c r="R8" s="14"/>
      <c r="S8" s="14"/>
      <c r="T8" s="14"/>
      <c r="U8" s="14"/>
      <c r="V8" s="14"/>
      <c r="W8" s="14"/>
      <c r="X8" s="14"/>
      <c r="Y8" s="15"/>
      <c r="Z8" s="1094" t="s">
        <v>1954</v>
      </c>
      <c r="AA8" s="14"/>
      <c r="AB8" s="14"/>
      <c r="AC8" s="14"/>
      <c r="AD8" s="14"/>
      <c r="AE8" s="14"/>
      <c r="AF8" s="14"/>
      <c r="AG8" s="14"/>
      <c r="AH8" s="14"/>
      <c r="AI8" s="14"/>
      <c r="AJ8" s="14"/>
      <c r="AK8" s="14"/>
      <c r="AL8" s="14"/>
      <c r="AM8" s="14"/>
      <c r="AN8" s="14"/>
      <c r="AO8" s="14"/>
      <c r="AP8" s="14"/>
      <c r="AQ8" s="14"/>
      <c r="AR8" s="14"/>
      <c r="AS8" s="15"/>
      <c r="AT8" s="1092">
        <v>1</v>
      </c>
      <c r="AU8" s="14"/>
      <c r="AV8" s="15"/>
      <c r="AW8" s="1093" t="s">
        <v>1949</v>
      </c>
      <c r="AX8" s="15"/>
    </row>
    <row r="9" ht="31.5" customHeight="1" spans="1:50" x14ac:dyDescent="0.25">
      <c r="A9" s="3"/>
      <c r="B9" s="1094" t="s">
        <v>1955</v>
      </c>
      <c r="C9" s="14"/>
      <c r="D9" s="14"/>
      <c r="E9" s="14"/>
      <c r="F9" s="14"/>
      <c r="G9" s="14"/>
      <c r="H9" s="14"/>
      <c r="I9" s="14"/>
      <c r="J9" s="14"/>
      <c r="K9" s="14"/>
      <c r="L9" s="14"/>
      <c r="M9" s="14"/>
      <c r="N9" s="14"/>
      <c r="O9" s="14"/>
      <c r="P9" s="14"/>
      <c r="Q9" s="14"/>
      <c r="R9" s="14"/>
      <c r="S9" s="14"/>
      <c r="T9" s="14"/>
      <c r="U9" s="14"/>
      <c r="V9" s="14"/>
      <c r="W9" s="14"/>
      <c r="X9" s="14"/>
      <c r="Y9" s="15"/>
      <c r="Z9" s="1094"/>
      <c r="AA9" s="14"/>
      <c r="AB9" s="14"/>
      <c r="AC9" s="14"/>
      <c r="AD9" s="14"/>
      <c r="AE9" s="14"/>
      <c r="AF9" s="14"/>
      <c r="AG9" s="14"/>
      <c r="AH9" s="14"/>
      <c r="AI9" s="14"/>
      <c r="AJ9" s="14"/>
      <c r="AK9" s="14"/>
      <c r="AL9" s="14"/>
      <c r="AM9" s="14"/>
      <c r="AN9" s="14"/>
      <c r="AO9" s="14"/>
      <c r="AP9" s="14"/>
      <c r="AQ9" s="14"/>
      <c r="AR9" s="14"/>
      <c r="AS9" s="15"/>
      <c r="AT9" s="1092">
        <v>6</v>
      </c>
      <c r="AU9" s="14"/>
      <c r="AV9" s="15"/>
      <c r="AW9" s="1093" t="s">
        <v>1956</v>
      </c>
      <c r="AX9" s="15"/>
    </row>
    <row r="10" ht="31.5" customHeight="1" spans="1:50" x14ac:dyDescent="0.25">
      <c r="A10" s="3"/>
      <c r="B10" s="1089" t="s">
        <v>1957</v>
      </c>
      <c r="C10" s="1090"/>
      <c r="D10" s="1090"/>
      <c r="E10" s="1090"/>
      <c r="F10" s="1090"/>
      <c r="G10" s="1090"/>
      <c r="H10" s="1090"/>
      <c r="I10" s="1090"/>
      <c r="J10" s="1090"/>
      <c r="K10" s="1090"/>
      <c r="L10" s="1090"/>
      <c r="M10" s="1090"/>
      <c r="N10" s="1090"/>
      <c r="O10" s="1090"/>
      <c r="P10" s="1090"/>
      <c r="Q10" s="1090"/>
      <c r="R10" s="1090"/>
      <c r="S10" s="1090"/>
      <c r="T10" s="1090"/>
      <c r="U10" s="1090"/>
      <c r="V10" s="1090"/>
      <c r="W10" s="1090"/>
      <c r="X10" s="1090"/>
      <c r="Y10" s="1091"/>
      <c r="Z10" s="1089" t="s">
        <v>1958</v>
      </c>
      <c r="AA10" s="1090"/>
      <c r="AB10" s="1090"/>
      <c r="AC10" s="1090"/>
      <c r="AD10" s="1090"/>
      <c r="AE10" s="1090"/>
      <c r="AF10" s="1090"/>
      <c r="AG10" s="1090"/>
      <c r="AH10" s="1090"/>
      <c r="AI10" s="1090"/>
      <c r="AJ10" s="1090"/>
      <c r="AK10" s="1090"/>
      <c r="AL10" s="1090"/>
      <c r="AM10" s="1090"/>
      <c r="AN10" s="1090"/>
      <c r="AO10" s="1090"/>
      <c r="AP10" s="1090"/>
      <c r="AQ10" s="1090"/>
      <c r="AR10" s="1090"/>
      <c r="AS10" s="1091"/>
      <c r="AT10" s="1092">
        <v>30</v>
      </c>
      <c r="AU10" s="14"/>
      <c r="AV10" s="15"/>
      <c r="AW10" s="1093" t="s">
        <v>1952</v>
      </c>
      <c r="AX10" s="15"/>
    </row>
    <row r="11" ht="31.5" customHeight="1" spans="1:50" x14ac:dyDescent="0.25">
      <c r="A11" s="3"/>
      <c r="B11" s="1089" t="s">
        <v>1959</v>
      </c>
      <c r="C11" s="1090"/>
      <c r="D11" s="1090"/>
      <c r="E11" s="1090"/>
      <c r="F11" s="1090"/>
      <c r="G11" s="1090"/>
      <c r="H11" s="1090"/>
      <c r="I11" s="1090"/>
      <c r="J11" s="1090"/>
      <c r="K11" s="1090"/>
      <c r="L11" s="1090"/>
      <c r="M11" s="1090"/>
      <c r="N11" s="1090"/>
      <c r="O11" s="1090"/>
      <c r="P11" s="1090"/>
      <c r="Q11" s="1090"/>
      <c r="R11" s="1090"/>
      <c r="S11" s="1090"/>
      <c r="T11" s="1090"/>
      <c r="U11" s="1090"/>
      <c r="V11" s="1090"/>
      <c r="W11" s="1090"/>
      <c r="X11" s="1090"/>
      <c r="Y11" s="1091"/>
      <c r="Z11" s="1089" t="s">
        <v>1960</v>
      </c>
      <c r="AA11" s="1090"/>
      <c r="AB11" s="1090"/>
      <c r="AC11" s="1090"/>
      <c r="AD11" s="1090"/>
      <c r="AE11" s="1090"/>
      <c r="AF11" s="1090"/>
      <c r="AG11" s="1090"/>
      <c r="AH11" s="1090"/>
      <c r="AI11" s="1090"/>
      <c r="AJ11" s="1090"/>
      <c r="AK11" s="1090"/>
      <c r="AL11" s="1090"/>
      <c r="AM11" s="1090"/>
      <c r="AN11" s="1090"/>
      <c r="AO11" s="1090"/>
      <c r="AP11" s="1090"/>
      <c r="AQ11" s="1090"/>
      <c r="AR11" s="1090"/>
      <c r="AS11" s="1091"/>
      <c r="AT11" s="1092">
        <v>90</v>
      </c>
      <c r="AU11" s="14"/>
      <c r="AV11" s="15"/>
      <c r="AW11" s="1093" t="s">
        <v>1952</v>
      </c>
      <c r="AX11" s="15"/>
    </row>
    <row r="12" ht="31.5" customHeight="1" spans="1:50" x14ac:dyDescent="0.25">
      <c r="A12" s="3"/>
      <c r="B12" s="1094" t="s">
        <v>1961</v>
      </c>
      <c r="C12" s="14"/>
      <c r="D12" s="14"/>
      <c r="E12" s="14"/>
      <c r="F12" s="14"/>
      <c r="G12" s="14"/>
      <c r="H12" s="14"/>
      <c r="I12" s="14"/>
      <c r="J12" s="14"/>
      <c r="K12" s="14"/>
      <c r="L12" s="14"/>
      <c r="M12" s="14"/>
      <c r="N12" s="14"/>
      <c r="O12" s="14"/>
      <c r="P12" s="14"/>
      <c r="Q12" s="14"/>
      <c r="R12" s="14"/>
      <c r="S12" s="14"/>
      <c r="T12" s="14"/>
      <c r="U12" s="14"/>
      <c r="V12" s="14"/>
      <c r="W12" s="14"/>
      <c r="X12" s="14"/>
      <c r="Y12" s="15"/>
      <c r="Z12" s="1094" t="s">
        <v>1962</v>
      </c>
      <c r="AA12" s="14"/>
      <c r="AB12" s="14"/>
      <c r="AC12" s="14"/>
      <c r="AD12" s="14"/>
      <c r="AE12" s="14"/>
      <c r="AF12" s="14"/>
      <c r="AG12" s="14"/>
      <c r="AH12" s="14"/>
      <c r="AI12" s="14"/>
      <c r="AJ12" s="14"/>
      <c r="AK12" s="14"/>
      <c r="AL12" s="14"/>
      <c r="AM12" s="14"/>
      <c r="AN12" s="14"/>
      <c r="AO12" s="14"/>
      <c r="AP12" s="14"/>
      <c r="AQ12" s="14"/>
      <c r="AR12" s="14"/>
      <c r="AS12" s="15"/>
      <c r="AT12" s="1092">
        <v>1</v>
      </c>
      <c r="AU12" s="14"/>
      <c r="AV12" s="15"/>
      <c r="AW12" s="1093" t="s">
        <v>1949</v>
      </c>
      <c r="AX12" s="15"/>
    </row>
    <row r="13" ht="31.5" customHeight="1" spans="1:50" x14ac:dyDescent="0.25">
      <c r="A13" s="3"/>
      <c r="B13" s="1094" t="s">
        <v>1963</v>
      </c>
      <c r="C13" s="14"/>
      <c r="D13" s="14"/>
      <c r="E13" s="14"/>
      <c r="F13" s="14"/>
      <c r="G13" s="14"/>
      <c r="H13" s="14"/>
      <c r="I13" s="14"/>
      <c r="J13" s="14"/>
      <c r="K13" s="14"/>
      <c r="L13" s="14"/>
      <c r="M13" s="14"/>
      <c r="N13" s="14"/>
      <c r="O13" s="14"/>
      <c r="P13" s="14"/>
      <c r="Q13" s="14"/>
      <c r="R13" s="14"/>
      <c r="S13" s="14"/>
      <c r="T13" s="14"/>
      <c r="U13" s="14"/>
      <c r="V13" s="14"/>
      <c r="W13" s="14"/>
      <c r="X13" s="14"/>
      <c r="Y13" s="15"/>
      <c r="Z13" s="1094" t="s">
        <v>1964</v>
      </c>
      <c r="AA13" s="14"/>
      <c r="AB13" s="14"/>
      <c r="AC13" s="14"/>
      <c r="AD13" s="14"/>
      <c r="AE13" s="14"/>
      <c r="AF13" s="14"/>
      <c r="AG13" s="14"/>
      <c r="AH13" s="14"/>
      <c r="AI13" s="14"/>
      <c r="AJ13" s="14"/>
      <c r="AK13" s="14"/>
      <c r="AL13" s="14"/>
      <c r="AM13" s="14"/>
      <c r="AN13" s="14"/>
      <c r="AO13" s="14"/>
      <c r="AP13" s="14"/>
      <c r="AQ13" s="14"/>
      <c r="AR13" s="14"/>
      <c r="AS13" s="15"/>
      <c r="AT13" s="1092">
        <v>1</v>
      </c>
      <c r="AU13" s="14"/>
      <c r="AV13" s="15"/>
      <c r="AW13" s="1093" t="s">
        <v>1949</v>
      </c>
      <c r="AX13" s="15"/>
    </row>
    <row r="14" ht="31.5" customHeight="1" spans="1:50"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ht="31.5" customHeight="1" spans="1:50"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ht="31.5" customHeight="1" spans="1:50"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ht="31.5" customHeight="1" spans="1:50"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ht="31.5" customHeight="1" spans="1:50"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ht="31.5" customHeight="1" spans="1:50"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row>
    <row r="20" ht="31.5" customHeight="1" spans="1:50"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row>
    <row r="21" ht="31.5" customHeight="1" spans="1:50"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row>
    <row r="22" ht="31.5" customHeight="1" spans="1:50"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row>
    <row r="23" ht="31.5" customHeight="1" spans="1:50"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row>
    <row r="24" ht="31.5" customHeight="1" spans="1:50"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ht="31.5" customHeight="1" spans="1:50"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row>
    <row r="26" ht="31.5" customHeight="1" spans="1:50"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row>
    <row r="27" ht="31.5" customHeight="1" spans="1:50"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row>
    <row r="28" ht="31.5" customHeight="1" spans="1:50"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row>
    <row r="29" ht="31.5" customHeight="1" spans="1:50"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row>
    <row r="30" ht="31.5" customHeight="1" spans="1:50"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row>
    <row r="31" ht="31.5" customHeight="1" spans="1:50"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ht="31.5" customHeight="1" spans="1:50"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row>
    <row r="33" ht="21.75" customHeight="1" spans="1:50"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row>
    <row r="34" ht="21.75" customHeight="1" spans="1:50"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row>
    <row r="35" ht="13.5" customHeight="1" spans="1:50"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row>
    <row r="36" ht="13.5" customHeight="1" spans="1:50"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row>
    <row r="37" ht="13.5" customHeight="1" spans="1:50"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row>
    <row r="38" ht="13.5" customHeight="1" spans="1:50"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row>
    <row r="39" ht="13.5" customHeight="1" spans="1:50"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row>
    <row r="40" ht="13.5" customHeight="1" spans="1:50"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row>
    <row r="41" ht="13.5" customHeight="1" spans="1:50"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row>
    <row r="42" ht="13.5" customHeight="1" spans="1:50"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row>
    <row r="43" ht="13.5" customHeight="1" spans="1:50"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row>
    <row r="44" ht="13.5" customHeight="1" spans="1:50"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ht="13.5" customHeight="1" spans="1:50"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row>
    <row r="46" ht="13.5" customHeight="1" spans="1:50"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ht="13.5" customHeight="1" spans="1:50"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row>
    <row r="48" ht="13.5" customHeight="1" spans="1:50"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row>
    <row r="49" ht="13.5" customHeight="1" spans="1:50"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row>
    <row r="50" ht="13.5" customHeight="1" spans="1:50"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row>
    <row r="51" ht="13.5" customHeight="1" spans="1:50"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row>
    <row r="52" ht="13.5" customHeight="1" spans="1:50"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ht="13.5" customHeight="1" spans="1:50"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row>
    <row r="54" ht="13.5" customHeight="1" spans="1:50"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row>
    <row r="55" ht="13.5" customHeight="1" spans="1:50"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ht="13.5" customHeight="1" spans="1:50"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ht="13.5" customHeight="1" spans="1:50"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ht="13.5" customHeight="1" spans="1:50"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ht="13.5" customHeight="1" spans="1:50"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ht="13.5" customHeight="1" spans="1:50"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ht="13.5" customHeight="1" spans="1:50"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ht="13.5" customHeight="1" spans="1:50"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ht="13.5" customHeight="1" spans="1:50"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ht="13.5" customHeight="1" spans="1:50"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ht="13.5" customHeight="1" spans="1:50"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ht="13.5" customHeight="1" spans="1:50"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ht="13.5" customHeight="1" spans="1:50"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ht="13.5" customHeight="1" spans="1:50"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ht="13.5" customHeight="1" spans="1:50"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ht="13.5" customHeight="1" spans="1:50"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ht="13.5" customHeight="1" spans="1:50"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ht="13.5" customHeight="1" spans="1:50"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ht="13.5" customHeight="1" spans="1:50"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ht="13.5" customHeight="1" spans="1:50"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ht="13.5" customHeight="1" spans="1:50"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ht="13.5" customHeight="1" spans="1:50"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ht="13.5" customHeight="1" spans="1:50"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ht="13.5" customHeight="1" spans="1:50"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ht="13.5" customHeight="1" spans="1:50"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ht="13.5" customHeight="1" spans="1:50"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ht="13.5" customHeight="1" spans="1:50"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ht="13.5" customHeight="1" spans="1:50"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ht="13.5" customHeight="1" spans="1:50"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ht="13.5" customHeight="1" spans="1:50"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ht="13.5" customHeight="1" spans="1:50"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ht="13.5" customHeight="1" spans="1:50"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ht="13.5" customHeight="1" spans="1:50"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ht="13.5" customHeight="1" spans="1:50"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ht="13.5" customHeight="1" spans="1:5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row>
    <row r="90" ht="13.5" customHeight="1" spans="1:5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row>
    <row r="91" ht="13.5" customHeight="1" spans="1:5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row>
    <row r="92" ht="13.5" customHeight="1" spans="1:5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row>
    <row r="93" ht="13.5" customHeight="1" spans="1:5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ht="13.5" customHeight="1" spans="1:5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row>
    <row r="95" ht="13.5" customHeight="1" spans="1:5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row>
    <row r="96" ht="13.5" customHeight="1" spans="1:5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row>
    <row r="97" ht="13.5" customHeight="1" spans="1:5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row>
    <row r="98" ht="13.5" customHeight="1" spans="1:5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row>
    <row r="99" ht="13.5" customHeight="1" spans="1:5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row>
    <row r="100" ht="13.5" customHeight="1" spans="1:5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row>
    <row r="101" ht="13.5" customHeight="1" spans="1:5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row>
    <row r="102" ht="13.5" customHeight="1" spans="1:5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row>
    <row r="103" ht="13.5" customHeight="1" spans="1:5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row>
    <row r="104" ht="13.5" customHeight="1" spans="1:5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row>
    <row r="105" ht="13.5" customHeight="1" spans="1:50"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row>
    <row r="106" ht="13.5" customHeight="1" spans="1:50"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row>
    <row r="107" ht="13.5" customHeight="1" spans="1:50"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row>
    <row r="108" ht="13.5" customHeight="1" spans="1:50"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row>
    <row r="109" ht="13.5" customHeight="1" spans="1:50"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row>
    <row r="110" ht="13.5" customHeight="1" spans="1:50"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row>
    <row r="111" ht="13.5" customHeight="1" spans="1:50"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row>
    <row r="112" ht="13.5" customHeight="1" spans="1:50"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row>
    <row r="113" ht="13.5" customHeight="1" spans="1:50"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row>
    <row r="114" ht="13.5" customHeight="1" spans="1:50"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row>
    <row r="115" ht="13.5" customHeight="1" spans="1:50"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row>
    <row r="116" ht="13.5" customHeight="1" spans="1:50"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row>
    <row r="117" ht="13.5" customHeight="1" spans="1:50"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row>
    <row r="118" ht="13.5" customHeight="1" spans="1:50"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row>
    <row r="119" ht="13.5" customHeight="1" spans="1:50"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row>
    <row r="120" ht="13.5" customHeight="1" spans="1:50"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row>
    <row r="121" ht="13.5" customHeight="1" spans="1:50"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row>
    <row r="122" ht="13.5" customHeight="1" spans="1:50"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row>
    <row r="123" ht="13.5" customHeight="1" spans="1:50"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row>
    <row r="124" ht="13.5" customHeight="1" spans="1:50"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row>
    <row r="125" ht="13.5" customHeight="1" spans="1:50"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row>
    <row r="126" ht="13.5" customHeight="1" spans="1:50"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row>
    <row r="127" ht="13.5" customHeight="1" spans="1:50"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row>
    <row r="128" ht="13.5" customHeight="1" spans="1:50"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row>
    <row r="129" ht="13.5" customHeight="1" spans="1:50"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row>
    <row r="130" ht="13.5" customHeight="1" spans="1:50"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row>
    <row r="131" ht="13.5" customHeight="1" spans="1:50"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row>
    <row r="132" ht="13.5" customHeight="1" spans="1:50"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row>
    <row r="133" ht="13.5" customHeight="1" spans="1:50"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row>
    <row r="134" ht="13.5" customHeight="1" spans="1:50"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row>
    <row r="135" ht="13.5" customHeight="1" spans="1:50"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row>
    <row r="136" ht="13.5" customHeight="1" spans="1:50"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row>
    <row r="137" ht="13.5" customHeight="1" spans="1:50"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row>
    <row r="138" ht="13.5" customHeight="1" spans="1:50"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row>
    <row r="139" ht="13.5" customHeight="1" spans="1:50"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row>
    <row r="140" ht="13.5" customHeight="1" spans="1:50"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row>
    <row r="141" ht="13.5" customHeight="1" spans="1:50"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row>
    <row r="142" ht="13.5" customHeight="1" spans="1:50"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row>
    <row r="143" ht="13.5" customHeight="1" spans="1:50"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row>
    <row r="144" ht="13.5" customHeight="1" spans="1:50"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row>
    <row r="145" ht="13.5" customHeight="1" spans="1:50"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row>
    <row r="146" ht="13.5" customHeight="1" spans="1:50"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row>
    <row r="147" ht="13.5" customHeight="1" spans="1:50"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row>
    <row r="148" ht="13.5" customHeight="1" spans="1:50"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row>
    <row r="149" ht="13.5" customHeight="1" spans="1:50"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row>
    <row r="150" ht="13.5" customHeight="1" spans="1:50"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row>
    <row r="151" ht="13.5" customHeight="1" spans="1:50"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row>
    <row r="152" ht="13.5" customHeight="1" spans="1:50"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row>
    <row r="153" ht="13.5" customHeight="1" spans="1:50"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row>
    <row r="154" ht="13.5" customHeight="1" spans="1:50"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row>
    <row r="155" ht="13.5" customHeight="1" spans="1:50"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row>
    <row r="156" ht="13.5" customHeight="1" spans="1:50"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row>
    <row r="157" ht="13.5" customHeight="1" spans="1:50"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row>
    <row r="158" ht="13.5" customHeight="1" spans="1:50"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row>
    <row r="159" ht="13.5" customHeight="1" spans="1:50"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row>
    <row r="160" ht="13.5" customHeight="1" spans="1:50"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row>
    <row r="161" ht="13.5" customHeight="1" spans="1:50"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row>
    <row r="162" ht="13.5" customHeight="1" spans="1:50"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row>
    <row r="163" ht="13.5" customHeight="1" spans="1:50"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row>
    <row r="164" ht="13.5" customHeight="1" spans="1:50"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row>
    <row r="165" ht="13.5" customHeight="1" spans="1:50"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row>
    <row r="166" ht="13.5" customHeight="1" spans="1:50"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row>
    <row r="167" ht="13.5" customHeight="1" spans="1:50"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row>
    <row r="168" ht="13.5" customHeight="1" spans="1:50"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row>
    <row r="169" ht="13.5" customHeight="1" spans="1:50"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row>
    <row r="170" ht="13.5" customHeight="1" spans="1:50"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row>
    <row r="171" ht="13.5" customHeight="1" spans="1:50"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row>
    <row r="172" ht="13.5" customHeight="1" spans="1:50"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row>
    <row r="173" ht="13.5" customHeight="1" spans="1:50"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row>
    <row r="174" ht="13.5" customHeight="1" spans="1:50"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row>
    <row r="175" ht="13.5" customHeight="1" spans="1:50"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row>
    <row r="176" ht="13.5" customHeight="1" spans="1:50"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row>
    <row r="177" ht="13.5" customHeight="1" spans="1:50"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row>
    <row r="178" ht="13.5" customHeight="1" spans="1:50"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row>
    <row r="179" ht="13.5" customHeight="1" spans="1:50"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row>
    <row r="180" ht="13.5" customHeight="1" spans="1:50"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row>
    <row r="181" ht="13.5" customHeight="1" spans="1:50"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row>
    <row r="182" ht="13.5" customHeight="1" spans="1:50"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row>
    <row r="183" ht="13.5" customHeight="1" spans="1:50"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row>
    <row r="184" ht="13.5" customHeight="1" spans="1:50"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row>
    <row r="185" ht="13.5" customHeight="1" spans="1:50"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row>
    <row r="186" ht="13.5" customHeight="1" spans="1:50"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row>
    <row r="187" ht="13.5" customHeight="1" spans="1:50"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row>
    <row r="188" ht="13.5" customHeight="1" spans="1:50"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row>
    <row r="189" ht="13.5" customHeight="1" spans="1:50"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row>
    <row r="190" ht="13.5" customHeight="1" spans="1:50"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row>
    <row r="191" ht="13.5" customHeight="1" spans="1:50"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row>
    <row r="192" ht="13.5" customHeight="1" spans="1:50"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row>
    <row r="193" ht="13.5" customHeight="1" spans="1:50"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row>
    <row r="194" ht="13.5" customHeight="1" spans="1:50"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row>
    <row r="195" ht="13.5" customHeight="1" spans="1:50"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row>
    <row r="196" ht="13.5" customHeight="1" spans="1:50"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row>
    <row r="197" ht="13.5" customHeight="1" spans="1:50"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row>
    <row r="198" ht="13.5" customHeight="1" spans="1:50"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row>
    <row r="199" ht="13.5" customHeight="1" spans="1:50"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row>
    <row r="200" ht="13.5" customHeight="1" spans="1:50"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row>
    <row r="201" ht="13.5" customHeight="1" spans="1:50"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row>
    <row r="202" ht="13.5" customHeight="1" spans="1:50"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row>
    <row r="203" ht="13.5" customHeight="1" spans="1:50"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row>
    <row r="204" ht="13.5" customHeight="1" spans="1:50"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row>
    <row r="205" ht="13.5" customHeight="1" spans="1:50"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row>
    <row r="206" ht="13.5" customHeight="1" spans="1:50"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row>
    <row r="207" ht="13.5" customHeight="1" spans="1:50"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row>
    <row r="208" ht="13.5" customHeight="1" spans="1:50"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row>
    <row r="209" ht="13.5" customHeight="1" spans="1:50"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row>
    <row r="210" ht="13.5" customHeight="1" spans="1:50"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row>
    <row r="211" ht="13.5" customHeight="1" spans="1:50"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row>
    <row r="212" ht="13.5" customHeight="1" spans="1:50"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row>
    <row r="213" ht="13.5" customHeight="1" spans="1:50"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row>
    <row r="214" ht="13.5" customHeight="1" spans="1:50"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row>
    <row r="215" ht="13.5" customHeight="1" spans="1:50"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row>
    <row r="216" ht="18" customHeight="1" spans="1:50"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row>
    <row r="217" ht="18" customHeight="1" spans="1:50"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row>
    <row r="218" ht="18" customHeight="1" spans="1:50"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row>
    <row r="219" ht="18" customHeight="1" spans="1:50"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row>
    <row r="220" ht="18" customHeight="1" spans="1:50"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row>
    <row r="221" ht="18" customHeight="1" spans="1:50"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row>
    <row r="222" ht="18" customHeight="1" spans="1:50"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row>
    <row r="223" ht="18" customHeight="1" spans="1:50"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row>
    <row r="224" ht="18" customHeight="1" spans="1:50"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row>
    <row r="225" ht="18" customHeight="1" spans="1:50"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row>
    <row r="226" ht="18" customHeight="1" spans="1:50"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row>
    <row r="227" ht="18" customHeight="1" spans="1:50"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row>
    <row r="228" ht="18" customHeight="1" spans="1:50"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row>
    <row r="229" ht="18" customHeight="1" spans="1:50"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row>
    <row r="230" ht="18" customHeight="1" spans="1:50"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row>
    <row r="231" ht="18" customHeight="1" spans="1:50"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row>
    <row r="232" ht="18" customHeight="1" spans="1:50"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row>
    <row r="233" ht="18" customHeight="1" spans="1:50"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row>
    <row r="234" ht="18" customHeight="1" spans="1:50"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row>
    <row r="235" ht="18" customHeight="1" spans="1:50"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row>
    <row r="236" ht="18" customHeight="1" spans="1:50"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row>
    <row r="237" ht="18" customHeight="1" spans="1:50"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row>
    <row r="238" ht="18" customHeight="1" spans="1:50"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row>
    <row r="239" ht="18" customHeight="1" spans="1:50"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row>
    <row r="240" ht="18" customHeight="1" spans="1:50"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row>
    <row r="241" ht="18" customHeight="1" spans="1:50"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row>
    <row r="242" ht="18" customHeight="1" spans="1:50"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row>
    <row r="243" ht="18" customHeight="1" spans="1:50"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row>
    <row r="244" ht="18" customHeight="1" spans="1:50"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row>
    <row r="245" ht="18" customHeight="1" spans="1:50"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row>
    <row r="246" ht="18" customHeight="1" spans="1:50"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row>
    <row r="247" ht="18" customHeight="1" spans="1:50"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row>
    <row r="248" ht="18" customHeight="1" spans="1:50"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row>
    <row r="249" ht="18" customHeight="1" spans="1:50"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row>
    <row r="250" ht="18" customHeight="1" spans="1:50"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row>
    <row r="251" ht="18" customHeight="1" spans="1:50"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row>
    <row r="252" ht="18" customHeight="1" spans="1:50"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row>
    <row r="253" ht="18" customHeight="1" spans="1:50"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row>
    <row r="254" ht="18" customHeight="1" spans="1:50"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row>
    <row r="255" ht="18" customHeight="1" spans="1:50"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row>
    <row r="256" ht="18" customHeight="1" spans="1:50"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row>
    <row r="257" ht="18" customHeight="1" spans="1:50"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row>
    <row r="258" ht="18" customHeight="1" spans="1:50"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row>
    <row r="259" ht="18" customHeight="1" spans="1:50"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row>
    <row r="260" ht="18" customHeight="1" spans="1:50"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row>
    <row r="261" ht="18" customHeight="1" spans="1:50"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row>
    <row r="262" ht="18" customHeight="1" spans="1:50"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row>
    <row r="263" ht="18" customHeight="1" spans="1:50"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row>
    <row r="264" ht="18" customHeight="1" spans="1:50"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row>
    <row r="265" ht="18" customHeight="1" spans="1:50"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row>
    <row r="266" ht="18" customHeight="1" spans="1:50"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row>
    <row r="267" ht="18" customHeight="1" spans="1:50"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row>
    <row r="268" ht="18" customHeight="1" spans="1:50"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row>
    <row r="269" ht="18" customHeight="1" spans="1:50"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row>
    <row r="270" ht="18" customHeight="1" spans="1:50"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row>
    <row r="271" ht="18" customHeight="1" spans="1:50"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row>
    <row r="272" ht="18" customHeight="1" spans="1:50"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row>
    <row r="273" ht="18" customHeight="1" spans="1:50"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row>
    <row r="274" ht="18" customHeight="1" spans="1:50"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row>
    <row r="275" ht="18" customHeight="1" spans="1:50"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row>
    <row r="276" ht="18" customHeight="1" spans="1:50"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row>
    <row r="277" ht="18" customHeight="1" spans="1:50"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row>
    <row r="278" ht="18" customHeight="1" spans="1:50"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row>
    <row r="279" ht="18" customHeight="1" spans="1:50"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row>
    <row r="280" ht="18" customHeight="1" spans="1:50"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row>
    <row r="281" ht="18" customHeight="1" spans="1:50"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row>
    <row r="282" ht="18" customHeight="1" spans="1:50"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row>
    <row r="283" ht="18" customHeight="1" spans="1:50"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row>
    <row r="284" ht="18" customHeight="1" spans="1:50"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row>
    <row r="285" ht="18" customHeight="1" spans="1:50"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row>
    <row r="286" ht="18" customHeight="1" spans="1:50"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row>
    <row r="287" ht="18" customHeight="1" spans="1:50"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row>
    <row r="288" ht="18" customHeight="1" spans="1:50"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row>
    <row r="289" ht="18" customHeight="1" spans="1:50"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row>
    <row r="290" ht="18" customHeight="1" spans="1:50"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row>
    <row r="291" ht="18" customHeight="1" spans="1:50"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row>
    <row r="292" ht="18" customHeight="1" spans="1:50"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row>
    <row r="293" ht="18" customHeight="1" spans="1:50"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row>
    <row r="294" ht="18" customHeight="1" spans="1:50"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row>
    <row r="295" ht="18" customHeight="1" spans="1:50"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row>
    <row r="296" ht="18" customHeight="1" spans="1:50"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row>
    <row r="297" ht="18" customHeight="1" spans="1:50"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row>
    <row r="298" ht="18" customHeight="1" spans="1:50"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row>
    <row r="299" ht="18" customHeight="1" spans="1:50"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row>
    <row r="300" ht="18" customHeight="1" spans="1:50"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row>
    <row r="301" ht="18" customHeight="1" spans="1:50"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row>
    <row r="302" ht="18" customHeight="1" spans="1:50"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row>
    <row r="303" ht="18" customHeight="1" spans="1:50"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row>
    <row r="304" ht="18" customHeight="1" spans="1:50"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row>
    <row r="305" ht="18" customHeight="1" spans="1:50"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row>
    <row r="306" ht="18" customHeight="1" spans="1:50"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row>
    <row r="307" ht="18" customHeight="1" spans="1:50"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row>
    <row r="308" ht="18" customHeight="1" spans="1:50"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row>
    <row r="309" ht="18" customHeight="1" spans="1:50"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row>
    <row r="310" ht="18" customHeight="1" spans="1:50"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row>
    <row r="311" ht="18" customHeight="1" spans="1:50"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row>
    <row r="312" ht="18" customHeight="1" spans="1:50"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row>
    <row r="313" ht="18" customHeight="1" spans="1:50"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row>
    <row r="314" ht="18" customHeight="1" spans="1:50"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row>
    <row r="315" ht="18" customHeight="1" spans="1:50"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row>
    <row r="316" ht="18" customHeight="1" spans="1:50"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row>
    <row r="317" ht="18" customHeight="1" spans="1:50"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row>
    <row r="318" ht="18" customHeight="1" spans="1:50"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row>
    <row r="319" ht="18" customHeight="1" spans="1:50"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row>
    <row r="320" ht="18" customHeight="1" spans="1:50"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row>
    <row r="321" ht="18" customHeight="1" spans="1:50"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row>
    <row r="322" ht="18" customHeight="1" spans="1:50"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row>
    <row r="323" ht="18" customHeight="1" spans="1:50"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row>
    <row r="324" ht="18" customHeight="1" spans="1:50"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row>
    <row r="325" ht="18" customHeight="1" spans="1:50"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row>
    <row r="326" ht="18" customHeight="1" spans="1:50"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row>
    <row r="327" ht="18" customHeight="1" spans="1:50"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row>
    <row r="328" ht="18" customHeight="1" spans="1:50"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row>
    <row r="329" ht="18" customHeight="1" spans="1:50"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row>
    <row r="330" ht="18" customHeight="1" spans="1:50"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row>
    <row r="331" ht="18" customHeight="1" spans="1:50"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row>
    <row r="332" ht="18" customHeight="1" spans="1:50"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row>
    <row r="333" ht="18" customHeight="1" spans="1:50"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row>
    <row r="334" ht="18" customHeight="1" spans="1:50"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row>
    <row r="335" ht="18" customHeight="1" spans="1:50"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row>
    <row r="336" ht="18" customHeight="1" spans="1:50"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row>
    <row r="337" ht="18" customHeight="1" spans="1:50"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row>
    <row r="338" ht="18" customHeight="1" spans="1:50"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row>
    <row r="339" ht="18" customHeight="1" spans="1:50"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row>
    <row r="340" ht="18" customHeight="1" spans="1:50"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row>
    <row r="341" ht="18" customHeight="1" spans="1:50"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row>
    <row r="342" ht="18" customHeight="1" spans="1:50"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row>
    <row r="343" ht="18" customHeight="1" spans="1:50"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row>
    <row r="344" ht="18" customHeight="1" spans="1:50"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row>
    <row r="345" ht="18" customHeight="1" spans="1:50"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row>
    <row r="346" ht="18" customHeight="1" spans="1:50"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row>
    <row r="347" ht="18" customHeight="1" spans="1:50"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row>
    <row r="348" ht="18" customHeight="1" spans="1:50"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row>
    <row r="349" ht="18" customHeight="1" spans="1:50"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row>
    <row r="350" ht="18" customHeight="1" spans="1:50"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row>
    <row r="351" ht="18" customHeight="1" spans="1:50"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row>
    <row r="352" ht="18" customHeight="1" spans="1:50"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row>
    <row r="353" ht="18" customHeight="1" spans="1:50"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row>
    <row r="354" ht="18" customHeight="1" spans="1:50"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row>
    <row r="355" ht="18" customHeight="1" spans="1:50"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row>
    <row r="356" ht="18" customHeight="1" spans="1:50"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row>
    <row r="357" ht="18" customHeight="1" spans="1:50"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row>
    <row r="358" ht="18" customHeight="1" spans="1:50"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row>
    <row r="359" ht="18" customHeight="1" spans="1:50"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row>
    <row r="360" ht="18" customHeight="1" spans="1:50"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row>
    <row r="361" ht="18" customHeight="1" spans="1:50"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row>
    <row r="362" ht="18" customHeight="1" spans="1:50"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row>
    <row r="363" ht="18" customHeight="1" spans="1:50"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row>
    <row r="364" ht="18" customHeight="1" spans="1:50"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row>
    <row r="365" ht="18" customHeight="1" spans="1:50"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row>
    <row r="366" ht="18" customHeight="1" spans="1:50"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row>
    <row r="367" ht="18" customHeight="1" spans="1:50"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row>
    <row r="368" ht="18" customHeight="1" spans="1:50"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row>
    <row r="369" ht="18" customHeight="1" spans="1:50"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row>
    <row r="370" ht="18" customHeight="1" spans="1:50"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row>
    <row r="371" ht="18" customHeight="1" spans="1:50"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row>
    <row r="372" ht="18" customHeight="1" spans="1:50"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row>
    <row r="373" ht="18" customHeight="1" spans="1:50"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row>
    <row r="374" ht="18" customHeight="1" spans="1:50"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row>
    <row r="375" ht="18" customHeight="1" spans="1:50"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row>
    <row r="376" ht="18" customHeight="1" spans="1:50"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row>
    <row r="377" ht="18" customHeight="1" spans="1:50"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row>
    <row r="378" ht="18" customHeight="1" spans="1:50"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row>
    <row r="379" ht="18" customHeight="1" spans="1:50"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row>
    <row r="380" ht="18" customHeight="1" spans="1:50"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row>
    <row r="381" ht="18" customHeight="1" spans="1:50"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row>
    <row r="382" ht="18" customHeight="1" spans="1:50"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row>
    <row r="383" ht="18" customHeight="1" spans="1:50"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row>
    <row r="384" ht="18" customHeight="1" spans="1:50"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row>
    <row r="385" ht="18" customHeight="1" spans="1:50"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row>
    <row r="386" ht="18" customHeight="1" spans="1:50"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row>
    <row r="387" ht="18" customHeight="1" spans="1:50"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row>
    <row r="388" ht="18" customHeight="1" spans="1:50"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row>
    <row r="389" ht="18" customHeight="1" spans="1:50"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row>
    <row r="390" ht="18" customHeight="1" spans="1:50"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row>
    <row r="391" ht="18" customHeight="1" spans="1:50"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row>
    <row r="392" ht="18" customHeight="1" spans="1:50"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row>
    <row r="393" ht="18" customHeight="1" spans="1:50"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row>
    <row r="394" ht="18" customHeight="1" spans="1:50"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row>
    <row r="395" ht="18" customHeight="1" spans="1:50"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row>
    <row r="396" ht="18" customHeight="1" spans="1:50"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row>
    <row r="397" ht="18" customHeight="1" spans="1:50"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row>
    <row r="398" ht="18" customHeight="1" spans="1:50"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row>
    <row r="399" ht="18" customHeight="1" spans="1:50"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row>
    <row r="400" ht="18" customHeight="1" spans="1:50"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row>
    <row r="401" ht="18" customHeight="1" spans="1:50"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row>
    <row r="402" ht="18" customHeight="1" spans="1:50"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row>
    <row r="403" ht="18" customHeight="1" spans="1:50"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row>
    <row r="404" ht="18" customHeight="1" spans="1:50"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row>
    <row r="405" ht="18" customHeight="1" spans="1:50"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row>
    <row r="406" ht="18" customHeight="1" spans="1:50"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row>
    <row r="407" ht="18" customHeight="1" spans="1:50"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row>
    <row r="408" ht="18" customHeight="1" spans="1:50"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row>
    <row r="409" ht="18" customHeight="1" spans="1:50"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row>
    <row r="410" ht="18" customHeight="1" spans="1:50"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row>
    <row r="411" ht="18" customHeight="1" spans="1:50"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row>
    <row r="412" ht="18" customHeight="1" spans="1:50"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row>
    <row r="413" ht="18" customHeight="1" spans="1:50"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row>
    <row r="414" ht="18" customHeight="1" spans="1:50"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row>
    <row r="415" ht="18" customHeight="1" spans="1:50"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row>
    <row r="416" ht="18" customHeight="1" spans="1:50"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row>
    <row r="417" ht="18" customHeight="1" spans="1:50"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row>
    <row r="418" ht="18" customHeight="1" spans="1:50"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row>
    <row r="419" ht="18" customHeight="1" spans="1:50"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row>
    <row r="420" ht="18" customHeight="1" spans="1:50"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row>
    <row r="421" ht="18" customHeight="1" spans="1:50"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row>
    <row r="422" ht="18" customHeight="1" spans="1:50"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row>
    <row r="423" ht="18" customHeight="1" spans="1:50"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row>
    <row r="424" ht="18" customHeight="1" spans="1:50"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row>
    <row r="425" ht="18" customHeight="1" spans="1:50"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row>
    <row r="426" ht="18" customHeight="1" spans="1:50"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row>
    <row r="427" ht="18" customHeight="1" spans="1:50"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row>
    <row r="428" ht="18" customHeight="1" spans="1:50"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row>
    <row r="429" ht="18" customHeight="1" spans="1:50"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row>
    <row r="430" ht="18" customHeight="1" spans="1:50"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row>
    <row r="431" ht="18" customHeight="1" spans="1:50"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row>
    <row r="432" ht="18" customHeight="1" spans="1:50"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row>
    <row r="433" ht="18" customHeight="1" spans="1:50"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row>
    <row r="434" ht="18" customHeight="1" spans="1:50"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row>
    <row r="435" ht="18" customHeight="1" spans="1:50"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row>
    <row r="436" ht="18" customHeight="1" spans="1:50"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row>
    <row r="437" ht="18" customHeight="1" spans="1:50"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row>
    <row r="438" ht="18" customHeight="1" spans="1:50"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row>
    <row r="439" ht="18" customHeight="1" spans="1:50"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row>
    <row r="440" ht="18" customHeight="1" spans="1:50"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row>
    <row r="441" ht="18" customHeight="1" spans="1:50"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row>
    <row r="442" ht="18" customHeight="1" spans="1:50"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row>
    <row r="443" ht="18" customHeight="1" spans="1:50"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row>
    <row r="444" ht="18" customHeight="1" spans="1:50"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row>
    <row r="445" ht="18" customHeight="1" spans="1:50"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row>
    <row r="446" ht="18" customHeight="1" spans="1:50"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row>
    <row r="447" ht="18" customHeight="1" spans="1:50"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row>
    <row r="448" ht="18" customHeight="1" spans="1:50"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row>
    <row r="449" ht="18" customHeight="1" spans="1:50"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row>
    <row r="450" ht="18" customHeight="1" spans="1:50"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row>
    <row r="451" ht="18" customHeight="1" spans="1:50"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row>
    <row r="452" ht="18" customHeight="1" spans="1:50"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row>
    <row r="453" ht="18" customHeight="1" spans="1:50"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row>
    <row r="454" ht="18" customHeight="1" spans="1:50"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row>
    <row r="455" ht="18" customHeight="1" spans="1:50"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row>
    <row r="456" ht="18" customHeight="1" spans="1:50"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row>
    <row r="457" ht="18" customHeight="1" spans="1:50"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row>
    <row r="458" ht="18" customHeight="1" spans="1:50"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row>
    <row r="459" ht="18" customHeight="1" spans="1:50"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row>
    <row r="460" ht="18" customHeight="1" spans="1:50"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row>
    <row r="461" ht="18" customHeight="1" spans="1:50"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row>
    <row r="462" ht="18" customHeight="1" spans="1:50"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row>
    <row r="463" ht="18" customHeight="1" spans="1:50"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row>
    <row r="464" ht="18" customHeight="1" spans="1:50"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row>
    <row r="465" ht="18" customHeight="1" spans="1:50"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row>
    <row r="466" ht="18" customHeight="1" spans="1:50"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row>
    <row r="467" ht="18" customHeight="1" spans="1:50"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row>
    <row r="468" ht="18" customHeight="1" spans="1:50"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row>
    <row r="469" ht="18" customHeight="1" spans="1:50"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row>
    <row r="470" ht="18" customHeight="1" spans="1:50"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row>
    <row r="471" ht="18" customHeight="1" spans="1:50"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row>
    <row r="472" ht="18" customHeight="1" spans="1:50"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row>
    <row r="473" ht="18" customHeight="1" spans="1:50"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row>
    <row r="474" ht="18" customHeight="1" spans="1:50"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row>
    <row r="475" ht="18" customHeight="1" spans="1:50"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row>
    <row r="476" ht="18" customHeight="1" spans="1:50"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row>
    <row r="477" ht="18" customHeight="1" spans="1:50"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row>
    <row r="478" ht="18" customHeight="1" spans="1:50"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row>
    <row r="479" ht="18" customHeight="1" spans="1:50"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row>
    <row r="480" ht="18" customHeight="1" spans="1:50"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row>
    <row r="481" ht="18" customHeight="1" spans="1:50"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row>
    <row r="482" ht="18" customHeight="1" spans="1:50"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row>
    <row r="483" ht="18" customHeight="1" spans="1:50"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row>
    <row r="484" ht="18" customHeight="1" spans="1:50"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row>
    <row r="485" ht="18" customHeight="1" spans="1:50"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row>
    <row r="486" ht="18" customHeight="1" spans="1:50"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row>
    <row r="487" ht="18" customHeight="1" spans="1:50"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row>
    <row r="488" ht="18" customHeight="1" spans="1:50"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row>
    <row r="489" ht="18" customHeight="1" spans="1:50"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row>
    <row r="490" ht="18" customHeight="1" spans="1:50"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row>
    <row r="491" ht="18" customHeight="1" spans="1:50"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row>
    <row r="492" ht="18" customHeight="1" spans="1:50"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row>
    <row r="493" ht="18" customHeight="1" spans="1:50"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row>
    <row r="494" ht="18" customHeight="1" spans="1:50"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row>
    <row r="495" ht="18" customHeight="1" spans="1:50"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row>
    <row r="496" ht="18" customHeight="1" spans="1:50"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row>
    <row r="497" ht="18" customHeight="1" spans="1:50"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row>
    <row r="498" ht="18" customHeight="1" spans="1:50"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row>
    <row r="499" ht="18" customHeight="1" spans="1:50"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row>
    <row r="500" ht="18" customHeight="1" spans="1:50"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row>
    <row r="501" ht="18" customHeight="1" spans="1:50"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row>
    <row r="502" ht="18" customHeight="1" spans="1:50"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row>
    <row r="503" ht="18" customHeight="1" spans="1:50"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row>
    <row r="504" ht="18" customHeight="1" spans="1:50"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row>
    <row r="505" ht="18" customHeight="1" spans="1:50"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row>
    <row r="506" ht="18" customHeight="1" spans="1:50"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row>
    <row r="507" ht="18" customHeight="1" spans="1:50"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row>
    <row r="508" ht="18" customHeight="1" spans="1:50"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row>
    <row r="509" ht="18" customHeight="1" spans="1:50"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row>
    <row r="510" ht="18" customHeight="1" spans="1:50"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row>
    <row r="511" ht="18" customHeight="1" spans="1:50"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row>
    <row r="512" ht="18" customHeight="1" spans="1:50"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row>
    <row r="513" ht="18" customHeight="1" spans="1:50"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row>
    <row r="514" ht="18" customHeight="1" spans="1:50"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row>
    <row r="515" ht="18" customHeight="1" spans="1:50"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row>
    <row r="516" ht="18" customHeight="1" spans="1:50"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row>
    <row r="517" ht="18" customHeight="1" spans="1:50"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row>
    <row r="518" ht="18" customHeight="1" spans="1:50"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row>
    <row r="519" ht="18" customHeight="1" spans="1:50"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row>
    <row r="520" ht="18" customHeight="1" spans="1:50"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row>
    <row r="521" ht="18" customHeight="1" spans="1:50"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row>
    <row r="522" ht="18" customHeight="1" spans="1:50"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row>
    <row r="523" ht="18" customHeight="1" spans="1:50"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row>
    <row r="524" ht="18" customHeight="1" spans="1:50"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row>
    <row r="525" ht="18" customHeight="1" spans="1:50"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row>
    <row r="526" ht="18" customHeight="1" spans="1:50"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row>
    <row r="527" ht="18" customHeight="1" spans="1:50"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row>
    <row r="528" ht="18" customHeight="1" spans="1:50"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row>
    <row r="529" ht="18" customHeight="1" spans="1:50"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row>
    <row r="530" ht="18" customHeight="1" spans="1:50"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row>
    <row r="531" ht="18" customHeight="1" spans="1:50"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row>
    <row r="532" ht="18" customHeight="1" spans="1:50"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row>
    <row r="533" ht="18" customHeight="1" spans="1:50"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row>
    <row r="534" ht="18" customHeight="1" spans="1:50"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row>
    <row r="535" ht="18" customHeight="1" spans="1:50"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row>
    <row r="536" ht="18" customHeight="1" spans="1:50"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row>
    <row r="537" ht="18" customHeight="1" spans="1:50"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row>
    <row r="538" ht="18" customHeight="1" spans="1:50"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row>
    <row r="539" ht="18" customHeight="1" spans="1:50"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row>
    <row r="540" ht="18" customHeight="1" spans="1:50"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row>
    <row r="541" ht="18" customHeight="1" spans="1:50"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row>
    <row r="542" ht="18" customHeight="1" spans="1:50"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row>
    <row r="543" ht="18" customHeight="1" spans="1:50"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row>
    <row r="544" ht="18" customHeight="1" spans="1:50"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row>
    <row r="545" ht="18" customHeight="1" spans="1:50"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row>
    <row r="546" ht="18" customHeight="1" spans="1:50"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row>
    <row r="547" ht="18" customHeight="1" spans="1:50"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row>
    <row r="548" ht="18" customHeight="1" spans="1:50"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row>
    <row r="549" ht="18" customHeight="1" spans="1:50"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row>
    <row r="550" ht="18" customHeight="1" spans="1:50"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row>
    <row r="551" ht="18" customHeight="1" spans="1:50"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row>
    <row r="552" ht="18" customHeight="1" spans="1:50"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row>
    <row r="553" ht="18" customHeight="1" spans="1:50"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row>
    <row r="554" ht="18" customHeight="1" spans="1:50"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row>
    <row r="555" ht="18" customHeight="1" spans="1:50"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row>
    <row r="556" ht="18" customHeight="1" spans="1:50"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row>
    <row r="557" ht="18" customHeight="1" spans="1:50"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row>
    <row r="558" ht="18" customHeight="1" spans="1:50"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row>
    <row r="559" ht="18" customHeight="1" spans="1:50"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row>
    <row r="560" ht="18" customHeight="1" spans="1:50"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row>
    <row r="561" ht="18" customHeight="1" spans="1:50"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row>
    <row r="562" ht="18" customHeight="1" spans="1:50"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row>
    <row r="563" ht="18" customHeight="1" spans="1:50"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row>
    <row r="564" ht="18" customHeight="1" spans="1:50"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row>
    <row r="565" ht="18" customHeight="1" spans="1:50"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row>
    <row r="566" ht="18" customHeight="1" spans="1:50"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row>
    <row r="567" ht="18" customHeight="1" spans="1:50"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row>
    <row r="568" ht="18" customHeight="1" spans="1:50"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row>
    <row r="569" ht="18" customHeight="1" spans="1:50"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row>
    <row r="570" ht="18" customHeight="1" spans="1:50"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row>
    <row r="571" ht="18" customHeight="1" spans="1:50"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row>
    <row r="572" ht="18" customHeight="1" spans="1:50"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row>
    <row r="573" ht="18" customHeight="1" spans="1:50"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row>
    <row r="574" ht="18" customHeight="1" spans="1:50"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row>
    <row r="575" ht="18" customHeight="1" spans="1:50"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row>
    <row r="576" ht="18" customHeight="1" spans="1:50"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row>
    <row r="577" ht="18" customHeight="1" spans="1:50"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row>
    <row r="578" ht="18" customHeight="1" spans="1:50"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row>
    <row r="579" ht="18" customHeight="1" spans="1:50"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row>
    <row r="580" ht="18" customHeight="1" spans="1:50"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row>
    <row r="581" ht="18" customHeight="1" spans="1:50"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row>
    <row r="582" ht="18" customHeight="1" spans="1:50"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row>
    <row r="583" ht="18" customHeight="1" spans="1:50"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row>
    <row r="584" ht="18" customHeight="1" spans="1:50"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row>
    <row r="585" ht="18" customHeight="1" spans="1:50"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row>
    <row r="586" ht="18" customHeight="1" spans="1:50"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row>
    <row r="587" ht="18" customHeight="1" spans="1:50"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row>
    <row r="588" ht="18" customHeight="1" spans="1:50"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row>
    <row r="589" ht="18" customHeight="1" spans="1:50"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row>
    <row r="590" ht="18" customHeight="1" spans="1:50"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row>
    <row r="591" ht="18" customHeight="1" spans="1:50"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row>
    <row r="592" ht="18" customHeight="1" spans="1:50"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row>
    <row r="593" ht="18" customHeight="1" spans="1:50"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row>
    <row r="594" ht="18" customHeight="1" spans="1:50"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row>
    <row r="595" ht="18" customHeight="1" spans="1:50"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row>
    <row r="596" ht="18" customHeight="1" spans="1:50"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row>
    <row r="597" ht="18" customHeight="1" spans="1:50"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row>
    <row r="598" ht="18" customHeight="1" spans="1:50"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row>
    <row r="599" ht="18" customHeight="1" spans="1:50"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row>
    <row r="600" ht="18" customHeight="1" spans="1:50"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row>
    <row r="601" ht="18" customHeight="1" spans="1:50"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row>
    <row r="602" ht="18" customHeight="1" spans="1:50"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row>
    <row r="603" ht="18" customHeight="1" spans="1:50"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row>
    <row r="604" ht="18" customHeight="1" spans="1:50"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row>
    <row r="605" ht="18" customHeight="1" spans="1:50"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row>
    <row r="606" ht="18" customHeight="1" spans="1:50"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row>
    <row r="607" ht="18" customHeight="1" spans="1:50"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row>
    <row r="608" ht="18" customHeight="1" spans="1:50"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row>
    <row r="609" ht="18" customHeight="1" spans="1:50"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row>
    <row r="610" ht="18" customHeight="1" spans="1:50"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row>
    <row r="611" ht="18" customHeight="1" spans="1:50"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row>
    <row r="612" ht="18" customHeight="1" spans="1:50"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row>
    <row r="613" ht="18" customHeight="1" spans="1:50"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row>
    <row r="614" ht="18" customHeight="1" spans="1:50"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row>
    <row r="615" ht="18" customHeight="1" spans="1:50"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row>
    <row r="616" ht="18" customHeight="1" spans="1:50"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row>
    <row r="617" ht="18" customHeight="1" spans="1:50"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row>
    <row r="618" ht="18" customHeight="1" spans="1:50"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row>
    <row r="619" ht="18" customHeight="1" spans="1:50"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row>
    <row r="620" ht="18" customHeight="1" spans="1:50"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row>
    <row r="621" ht="18" customHeight="1" spans="1:50"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row>
    <row r="622" ht="18" customHeight="1" spans="1:50"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row>
    <row r="623" ht="18" customHeight="1" spans="1:50"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row>
    <row r="624" ht="18" customHeight="1" spans="1:50"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row>
    <row r="625" ht="18" customHeight="1" spans="1:50"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row>
    <row r="626" ht="18" customHeight="1" spans="1:50"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row>
    <row r="627" ht="18" customHeight="1" spans="1:50"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row>
    <row r="628" ht="18" customHeight="1" spans="1:50"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row>
    <row r="629" ht="18" customHeight="1" spans="1:50"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row>
    <row r="630" ht="18" customHeight="1" spans="1:50"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row>
    <row r="631" ht="18" customHeight="1" spans="1:50"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row>
    <row r="632" ht="18" customHeight="1" spans="1:50"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row>
    <row r="633" ht="18" customHeight="1" spans="1:50"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row>
    <row r="634" ht="18" customHeight="1" spans="1:50"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row>
    <row r="635" ht="18" customHeight="1" spans="1:50"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row>
    <row r="636" ht="18" customHeight="1" spans="1:50"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row>
    <row r="637" ht="18" customHeight="1" spans="1:50"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row>
    <row r="638" ht="18" customHeight="1" spans="1:50"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row>
    <row r="639" ht="18" customHeight="1" spans="1:50"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row>
    <row r="640" ht="18" customHeight="1" spans="1:50"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row>
    <row r="641" ht="18" customHeight="1" spans="1:50"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row>
    <row r="642" ht="18" customHeight="1" spans="1:50"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row>
    <row r="643" ht="18" customHeight="1" spans="1:50"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row>
    <row r="644" ht="18" customHeight="1" spans="1:50"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row>
    <row r="645" ht="18" customHeight="1" spans="1:50"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row>
    <row r="646" ht="18" customHeight="1" spans="1:50"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row>
    <row r="647" ht="18" customHeight="1" spans="1:50"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row>
    <row r="648" ht="18" customHeight="1" spans="1:50"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row>
    <row r="649" ht="18" customHeight="1" spans="1:50"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row>
    <row r="650" ht="18" customHeight="1" spans="1:50"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row>
    <row r="651" ht="18" customHeight="1" spans="1:50"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row>
    <row r="652" ht="18" customHeight="1" spans="1:50"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row>
    <row r="653" ht="18" customHeight="1" spans="1:50"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row>
    <row r="654" ht="18" customHeight="1" spans="1:50"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row>
    <row r="655" ht="18" customHeight="1" spans="1:50"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row>
    <row r="656" ht="18" customHeight="1" spans="1:50"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row>
    <row r="657" ht="18" customHeight="1" spans="1:50"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row>
    <row r="658" ht="18" customHeight="1" spans="1:50"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row>
    <row r="659" ht="18" customHeight="1" spans="1:50"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row>
    <row r="660" ht="18" customHeight="1" spans="1:50"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row>
    <row r="661" ht="18" customHeight="1" spans="1:50"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row>
    <row r="662" ht="18" customHeight="1" spans="1:50"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row>
    <row r="663" ht="18" customHeight="1" spans="1:50"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row>
    <row r="664" ht="18" customHeight="1" spans="1:50"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row>
    <row r="665" ht="18" customHeight="1" spans="1:50"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row>
    <row r="666" ht="18" customHeight="1" spans="1:50"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row>
    <row r="667" ht="18" customHeight="1" spans="1:50"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row>
    <row r="668" ht="18" customHeight="1" spans="1:50"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row>
    <row r="669" ht="18" customHeight="1" spans="1:50"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row>
    <row r="670" ht="18" customHeight="1" spans="1:50"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row>
    <row r="671" ht="18" customHeight="1" spans="1:50"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row>
    <row r="672" ht="18" customHeight="1" spans="1:50"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row>
    <row r="673" ht="18" customHeight="1" spans="1:50"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row>
    <row r="674" ht="18" customHeight="1" spans="1:50"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row>
    <row r="675" ht="18" customHeight="1" spans="1:50"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row>
    <row r="676" ht="18" customHeight="1" spans="1:50"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row>
    <row r="677" ht="18" customHeight="1" spans="1:50"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row>
    <row r="678" ht="18" customHeight="1" spans="1:50"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row>
    <row r="679" ht="18" customHeight="1" spans="1:50"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row>
    <row r="680" ht="18" customHeight="1" spans="1:50"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row>
    <row r="681" ht="18" customHeight="1" spans="1:50"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row>
    <row r="682" ht="18" customHeight="1" spans="1:50"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row>
    <row r="683" ht="18" customHeight="1" spans="1:50"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row>
    <row r="684" ht="18" customHeight="1" spans="1:50"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row>
    <row r="685" ht="18" customHeight="1" spans="1:50"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row>
    <row r="686" ht="18" customHeight="1" spans="1:50"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row>
    <row r="687" ht="18" customHeight="1" spans="1:50"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row>
    <row r="688" ht="18" customHeight="1" spans="1:50"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row>
    <row r="689" ht="18" customHeight="1" spans="1:50"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row>
    <row r="690" ht="18" customHeight="1" spans="1:50"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row>
    <row r="691" ht="18" customHeight="1" spans="1:50"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row>
    <row r="692" ht="18" customHeight="1" spans="1:50"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row>
    <row r="693" ht="18" customHeight="1" spans="1:50"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row>
    <row r="694" ht="18" customHeight="1" spans="1:50"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row>
    <row r="695" ht="18" customHeight="1" spans="1:50"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row>
    <row r="696" ht="18" customHeight="1" spans="1:50"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row>
    <row r="697" ht="18" customHeight="1" spans="1:50"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row>
    <row r="698" ht="18" customHeight="1" spans="1:50"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row>
    <row r="699" ht="18" customHeight="1" spans="1:50"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row>
    <row r="700" ht="18" customHeight="1" spans="1:50"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row>
    <row r="701" ht="18" customHeight="1" spans="1:50"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row>
    <row r="702" ht="18" customHeight="1" spans="1:50"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row>
    <row r="703" ht="18" customHeight="1" spans="1:50"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row>
    <row r="704" ht="18" customHeight="1" spans="1:50"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row>
    <row r="705" ht="18" customHeight="1" spans="1:50"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row>
    <row r="706" ht="18" customHeight="1" spans="1:50"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row>
    <row r="707" ht="18" customHeight="1" spans="1:50"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row>
    <row r="708" ht="18" customHeight="1" spans="1:50"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row>
    <row r="709" ht="18" customHeight="1" spans="1:50"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row>
    <row r="710" ht="18" customHeight="1" spans="1:50"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row>
    <row r="711" ht="18" customHeight="1" spans="1:50"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row>
    <row r="712" ht="18" customHeight="1" spans="1:50"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row>
    <row r="713" ht="18" customHeight="1" spans="1:50"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row>
    <row r="714" ht="18" customHeight="1" spans="1:50"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row>
    <row r="715" ht="18" customHeight="1" spans="1:50"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row>
    <row r="716" ht="18" customHeight="1" spans="1:50"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row>
    <row r="717" ht="18" customHeight="1" spans="1:50"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row>
    <row r="718" ht="18" customHeight="1" spans="1:50"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row>
    <row r="719" ht="18" customHeight="1" spans="1:50"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row>
    <row r="720" ht="18" customHeight="1" spans="1:50"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row>
    <row r="721" ht="18" customHeight="1" spans="1:50"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row>
    <row r="722" ht="18" customHeight="1" spans="1:50"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row>
    <row r="723" ht="18" customHeight="1" spans="1:50"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row>
    <row r="724" ht="18" customHeight="1" spans="1:50"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row>
    <row r="725" ht="18" customHeight="1" spans="1:50"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row>
    <row r="726" ht="18" customHeight="1" spans="1:50"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row>
    <row r="727" ht="18" customHeight="1" spans="1:50"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row>
    <row r="728" ht="18" customHeight="1" spans="1:50"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row>
    <row r="729" ht="18" customHeight="1" spans="1:50"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row>
    <row r="730" ht="18" customHeight="1" spans="1:50"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row>
    <row r="731" ht="18" customHeight="1" spans="1:50"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row>
    <row r="732" ht="18" customHeight="1" spans="1:50"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row>
    <row r="733" ht="18" customHeight="1" spans="1:50"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row>
    <row r="734" ht="18" customHeight="1" spans="1:50"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row>
    <row r="735" ht="18" customHeight="1" spans="1:50"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row>
    <row r="736" ht="18" customHeight="1" spans="1:50"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row>
    <row r="737" ht="18" customHeight="1" spans="1:50"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row>
    <row r="738" ht="18" customHeight="1" spans="1:50"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row>
    <row r="739" ht="18" customHeight="1" spans="1:50"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row>
    <row r="740" ht="18" customHeight="1" spans="1:50"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row>
    <row r="741" ht="18" customHeight="1" spans="1:50"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row>
    <row r="742" ht="18" customHeight="1" spans="1:50"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row>
    <row r="743" ht="18" customHeight="1" spans="1:50"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row>
    <row r="744" ht="18" customHeight="1" spans="1:50"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row>
    <row r="745" ht="18" customHeight="1" spans="1:50"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row>
    <row r="746" ht="18" customHeight="1" spans="1:50"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row>
    <row r="747" ht="18" customHeight="1" spans="1:50"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row>
    <row r="748" ht="18" customHeight="1" spans="1:50"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row>
    <row r="749" ht="18" customHeight="1" spans="1:50"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row>
    <row r="750" ht="18" customHeight="1" spans="1:50"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row>
    <row r="751" ht="18" customHeight="1" spans="1:50"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row>
    <row r="752" ht="18" customHeight="1" spans="1:50"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row>
    <row r="753" ht="18" customHeight="1" spans="1:50"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row>
    <row r="754" ht="18" customHeight="1" spans="1:50"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row>
    <row r="755" ht="18" customHeight="1" spans="1:50"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row>
    <row r="756" ht="18" customHeight="1" spans="1:50"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row>
    <row r="757" ht="18" customHeight="1" spans="1:50"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row>
    <row r="758" ht="18" customHeight="1" spans="1:50"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row>
    <row r="759" ht="18" customHeight="1" spans="1:50"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row>
    <row r="760" ht="18" customHeight="1" spans="1:50"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row>
    <row r="761" ht="18" customHeight="1" spans="1:50"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row>
    <row r="762" ht="18" customHeight="1" spans="1:50"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row>
    <row r="763" ht="18" customHeight="1" spans="1:50"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row>
    <row r="764" ht="18" customHeight="1" spans="1:50"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row>
    <row r="765" ht="18" customHeight="1" spans="1:50"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row>
    <row r="766" ht="18" customHeight="1" spans="1:50"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row>
    <row r="767" ht="18" customHeight="1" spans="1:50"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row>
    <row r="768" ht="18" customHeight="1" spans="1:50"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row>
    <row r="769" ht="18" customHeight="1" spans="1:50"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row>
    <row r="770" ht="18" customHeight="1" spans="1:50"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row>
    <row r="771" ht="18" customHeight="1" spans="1:50"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row>
    <row r="772" ht="18" customHeight="1" spans="1:50"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row>
    <row r="773" ht="18" customHeight="1" spans="1:50"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row>
    <row r="774" ht="18" customHeight="1" spans="1:50"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row>
    <row r="775" ht="18" customHeight="1" spans="1:50"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row>
    <row r="776" ht="18" customHeight="1" spans="1:50"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row>
    <row r="777" ht="18" customHeight="1" spans="1:50"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row>
    <row r="778" ht="18" customHeight="1" spans="1:50"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row>
    <row r="779" ht="18" customHeight="1" spans="1:50"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row>
    <row r="780" ht="18" customHeight="1" spans="1:50"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row>
    <row r="781" ht="18" customHeight="1" spans="1:50"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row>
    <row r="782" ht="18" customHeight="1" spans="1:50"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row>
    <row r="783" ht="18" customHeight="1" spans="1:50"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row>
    <row r="784" ht="18" customHeight="1" spans="1:50"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row>
    <row r="785" ht="18" customHeight="1" spans="1:50"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row>
    <row r="786" ht="18" customHeight="1" spans="1:50"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row>
    <row r="787" ht="18" customHeight="1" spans="1:50"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row>
    <row r="788" ht="18" customHeight="1" spans="1:50"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row>
    <row r="789" ht="18" customHeight="1" spans="1:50"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row>
    <row r="790" ht="18" customHeight="1" spans="1:50"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row>
    <row r="791" ht="18" customHeight="1" spans="1:50"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row>
    <row r="792" ht="18" customHeight="1" spans="1:50"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row>
    <row r="793" ht="18" customHeight="1" spans="1:50"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row>
    <row r="794" ht="18" customHeight="1" spans="1:50"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row>
    <row r="795" ht="18" customHeight="1" spans="1:50"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row>
    <row r="796" ht="18" customHeight="1" spans="1:50"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row>
    <row r="797" ht="18" customHeight="1" spans="1:50"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row>
    <row r="798" ht="18" customHeight="1" spans="1:50"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row>
    <row r="799" ht="18" customHeight="1" spans="1:50"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row>
    <row r="800" ht="18" customHeight="1" spans="1:50"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row>
    <row r="801" ht="18" customHeight="1" spans="1:50"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row>
    <row r="802" ht="18" customHeight="1" spans="1:50"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row>
    <row r="803" ht="18" customHeight="1" spans="1:50"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row>
    <row r="804" ht="18" customHeight="1" spans="1:50"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row>
    <row r="805" ht="18" customHeight="1" spans="1:50"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row>
    <row r="806" ht="18" customHeight="1" spans="1:50"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row>
    <row r="807" ht="18" customHeight="1" spans="1:50"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row>
    <row r="808" ht="18" customHeight="1" spans="1:50"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row>
    <row r="809" ht="18" customHeight="1" spans="1:50"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row>
    <row r="810" ht="18" customHeight="1" spans="1:50"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row>
    <row r="811" ht="18" customHeight="1" spans="1:50"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row>
    <row r="812" ht="18" customHeight="1" spans="1:50"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row>
    <row r="813" ht="18" customHeight="1" spans="1:50"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row>
    <row r="814" ht="18" customHeight="1" spans="1:50"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row>
    <row r="815" ht="18" customHeight="1" spans="1:50"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row>
    <row r="816" ht="18" customHeight="1" spans="1:50"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row>
    <row r="817" ht="18" customHeight="1" spans="1:50"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row>
    <row r="818" ht="18" customHeight="1" spans="1:50"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row>
    <row r="819" ht="18" customHeight="1" spans="1:50"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row>
    <row r="820" ht="18" customHeight="1" spans="1:50"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row>
    <row r="821" ht="18" customHeight="1" spans="1:50"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row>
    <row r="822" ht="18" customHeight="1" spans="1:50"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row>
    <row r="823" ht="18" customHeight="1" spans="1:50"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row>
    <row r="824" ht="18" customHeight="1" spans="1:50"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row>
    <row r="825" ht="18" customHeight="1" spans="1:50"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row>
    <row r="826" ht="18" customHeight="1" spans="1:50"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row>
    <row r="827" ht="18" customHeight="1" spans="1:50"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row>
    <row r="828" ht="18" customHeight="1" spans="1:50"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row>
    <row r="829" ht="18" customHeight="1" spans="1:50"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row>
    <row r="830" ht="18" customHeight="1" spans="1:50"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row>
    <row r="831" ht="18" customHeight="1" spans="1:50"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row>
    <row r="832" ht="18" customHeight="1" spans="1:50"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row>
    <row r="833" ht="18" customHeight="1" spans="1:50"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row>
    <row r="834" ht="18" customHeight="1" spans="1:50"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row>
    <row r="835" ht="18" customHeight="1" spans="1:50"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row>
    <row r="836" ht="18" customHeight="1" spans="1:50"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row>
    <row r="837" ht="18" customHeight="1" spans="1:50"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row>
    <row r="838" ht="18" customHeight="1" spans="1:50"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row>
    <row r="839" ht="18" customHeight="1" spans="1:50"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row>
    <row r="840" ht="18" customHeight="1" spans="1:50"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row>
    <row r="841" ht="18" customHeight="1" spans="1:50"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row>
    <row r="842" ht="18" customHeight="1" spans="1:50"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row>
    <row r="843" ht="18" customHeight="1" spans="1:50"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row>
    <row r="844" ht="18" customHeight="1" spans="1:50"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row>
    <row r="845" ht="18" customHeight="1" spans="1:50"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row>
    <row r="846" ht="18" customHeight="1" spans="1:50"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row>
    <row r="847" ht="18" customHeight="1" spans="1:50"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row>
    <row r="848" ht="18" customHeight="1" spans="1:50"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row>
    <row r="849" ht="18" customHeight="1" spans="1:50"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row>
    <row r="850" ht="18" customHeight="1" spans="1:50"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row>
    <row r="851" ht="18" customHeight="1" spans="1:50"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row>
    <row r="852" ht="18" customHeight="1" spans="1:50"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row>
    <row r="853" ht="18" customHeight="1" spans="1:50"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row>
    <row r="854" ht="18" customHeight="1" spans="1:50"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row>
    <row r="855" ht="18" customHeight="1" spans="1:50"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row>
    <row r="856" ht="18" customHeight="1" spans="1:50"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row>
    <row r="857" ht="18" customHeight="1" spans="1:50"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row>
    <row r="858" ht="18" customHeight="1" spans="1:50"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row>
    <row r="859" ht="18" customHeight="1" spans="1:50"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row>
    <row r="860" ht="18" customHeight="1" spans="1:50"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row>
    <row r="861" ht="18" customHeight="1" spans="1:50"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row>
    <row r="862" ht="18" customHeight="1" spans="1:50"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row>
    <row r="863" ht="18" customHeight="1" spans="1:50"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row>
    <row r="864" ht="18" customHeight="1" spans="1:50"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row>
    <row r="865" ht="18" customHeight="1" spans="1:50"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row>
    <row r="866" ht="18" customHeight="1" spans="1:50"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row>
    <row r="867" ht="18" customHeight="1" spans="1:50"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row>
    <row r="868" ht="18" customHeight="1" spans="1:50"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row>
    <row r="869" ht="18" customHeight="1" spans="1:50"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row>
    <row r="870" ht="18" customHeight="1" spans="1:50"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row>
    <row r="871" ht="18" customHeight="1" spans="1:50"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row>
    <row r="872" ht="18" customHeight="1" spans="1:50"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row>
    <row r="873" ht="18" customHeight="1" spans="1:50"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row>
    <row r="874" ht="18" customHeight="1" spans="1:50"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row>
    <row r="875" ht="18" customHeight="1" spans="1:50"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row>
    <row r="876" ht="18" customHeight="1" spans="1:50"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row>
    <row r="877" ht="18" customHeight="1" spans="1:50"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row>
    <row r="878" ht="18" customHeight="1" spans="1:50"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row>
    <row r="879" ht="18" customHeight="1" spans="1:50"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row>
    <row r="880" ht="18" customHeight="1" spans="1:50"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row>
    <row r="881" ht="18" customHeight="1" spans="1:50"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row>
    <row r="882" ht="18" customHeight="1" spans="1:50"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row>
    <row r="883" ht="18" customHeight="1" spans="1:50"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row>
    <row r="884" ht="18" customHeight="1" spans="1:50"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row>
    <row r="885" ht="18" customHeight="1" spans="1:50"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row>
    <row r="886" ht="18" customHeight="1" spans="1:50"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row>
    <row r="887" ht="18" customHeight="1" spans="1:50"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row>
    <row r="888" ht="18" customHeight="1" spans="1:50"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row>
    <row r="889" ht="18" customHeight="1" spans="1:50"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row>
    <row r="890" ht="18" customHeight="1" spans="1:50"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row>
    <row r="891" ht="18" customHeight="1" spans="1:50"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row>
    <row r="892" ht="18" customHeight="1" spans="1:50"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row>
    <row r="893" ht="18" customHeight="1" spans="1:50"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row>
    <row r="894" ht="18" customHeight="1" spans="1:50"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row>
    <row r="895" ht="18" customHeight="1" spans="1:50"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row>
    <row r="896" ht="18" customHeight="1" spans="1:50"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row>
    <row r="897" ht="18" customHeight="1" spans="1:50"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row>
    <row r="898" ht="18" customHeight="1" spans="1:50"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row>
    <row r="899" ht="18" customHeight="1" spans="1:50"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row>
    <row r="900" ht="18" customHeight="1" spans="1:50"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row>
    <row r="901" ht="18" customHeight="1" spans="1:50"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row>
    <row r="902" ht="18" customHeight="1" spans="1:50"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row>
    <row r="903" ht="18" customHeight="1" spans="1:50"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row>
    <row r="904" ht="18" customHeight="1" spans="1:50"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row>
    <row r="905" ht="18" customHeight="1" spans="1:50"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row>
    <row r="906" ht="18" customHeight="1" spans="1:50"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row>
    <row r="907" ht="18" customHeight="1" spans="1:50"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row>
    <row r="908" ht="18" customHeight="1" spans="1:50"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row>
    <row r="909" ht="18" customHeight="1" spans="1:50"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row>
    <row r="910" ht="18" customHeight="1" spans="1:50"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row>
    <row r="911" ht="18" customHeight="1" spans="1:50"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row>
    <row r="912" ht="18" customHeight="1" spans="1:50"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row>
    <row r="913" ht="18" customHeight="1" spans="1:50"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row>
    <row r="914" ht="18" customHeight="1" spans="1:50"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row>
    <row r="915" ht="18" customHeight="1" spans="1:50"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row>
    <row r="916" ht="18" customHeight="1" spans="1:50"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row>
    <row r="917" ht="18" customHeight="1" spans="1:50"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row>
    <row r="918" ht="18" customHeight="1" spans="1:50"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row>
    <row r="919" ht="18" customHeight="1" spans="1:50"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row>
    <row r="920" ht="18" customHeight="1" spans="1:50"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row>
    <row r="921" ht="18" customHeight="1" spans="1:50"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row>
    <row r="922" ht="18" customHeight="1" spans="1:50"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row>
    <row r="923" ht="18" customHeight="1" spans="1:50"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row>
    <row r="924" ht="18" customHeight="1" spans="1:50"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row>
    <row r="925" ht="18" customHeight="1" spans="1:50"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row>
    <row r="926" ht="18" customHeight="1" spans="1:50"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row>
    <row r="927" ht="18" customHeight="1" spans="1:50"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row>
    <row r="928" ht="18" customHeight="1" spans="1:50"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row>
    <row r="929" ht="18" customHeight="1" spans="1:50"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row>
    <row r="930" ht="18" customHeight="1" spans="1:50"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row>
    <row r="931" ht="18" customHeight="1" spans="1:50"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row>
    <row r="932" ht="18" customHeight="1" spans="1:50"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row>
    <row r="933" ht="18" customHeight="1" spans="1:50"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row>
    <row r="934" ht="18" customHeight="1" spans="1:50"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row>
    <row r="935" ht="18" customHeight="1" spans="1:50"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row>
    <row r="936" ht="18" customHeight="1" spans="1:50"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row>
    <row r="937" ht="18" customHeight="1" spans="1:50"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row>
    <row r="938" ht="18" customHeight="1" spans="1:50"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row>
    <row r="939" ht="18" customHeight="1" spans="1:50"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row>
    <row r="940" ht="18" customHeight="1" spans="1:50"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row>
    <row r="941" ht="18" customHeight="1" spans="1:50"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row>
    <row r="942" ht="18" customHeight="1" spans="1:50"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row>
    <row r="943" ht="18" customHeight="1" spans="1:50"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row>
    <row r="944" ht="18" customHeight="1" spans="1:50"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row>
    <row r="945" ht="18" customHeight="1" spans="1:50"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row>
    <row r="946" ht="18" customHeight="1" spans="1:50"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row>
    <row r="947" ht="18" customHeight="1" spans="1:50"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row>
    <row r="948" ht="18" customHeight="1" spans="1:50"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row>
    <row r="949" ht="18" customHeight="1" spans="1:50"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row>
    <row r="950" ht="18" customHeight="1" spans="1:50"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row>
    <row r="951" ht="18" customHeight="1" spans="1:50"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row>
    <row r="952" ht="18" customHeight="1" spans="1:50"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row>
    <row r="953" ht="18" customHeight="1" spans="1:50"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row>
    <row r="954" ht="18" customHeight="1" spans="1:50"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row>
    <row r="955" ht="18" customHeight="1" spans="1:50"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row>
    <row r="956" ht="18" customHeight="1" spans="1:50"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row>
    <row r="957" ht="18" customHeight="1" spans="1:50"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row>
    <row r="958" ht="18" customHeight="1" spans="1:50"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row>
    <row r="959" ht="18" customHeight="1" spans="1:50"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row>
    <row r="960" ht="18" customHeight="1" spans="1:50"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row>
    <row r="961" ht="18" customHeight="1" spans="1:50"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row>
    <row r="962" ht="18" customHeight="1" spans="1:50"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row>
    <row r="963" ht="18" customHeight="1" spans="1:50"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row>
    <row r="964" ht="18" customHeight="1" spans="1:50"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row>
    <row r="965" ht="18" customHeight="1" spans="1:50"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row>
    <row r="966" ht="18" customHeight="1" spans="1:50"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row>
    <row r="967" ht="18" customHeight="1" spans="1:50"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row>
    <row r="968" ht="18" customHeight="1" spans="1:50"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row>
    <row r="969" ht="18" customHeight="1" spans="1:50"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row>
    <row r="970" ht="18" customHeight="1" spans="1:50"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row>
    <row r="971" ht="18" customHeight="1" spans="1:50"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row>
    <row r="972" ht="18" customHeight="1" spans="1:50"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row>
    <row r="973" ht="18" customHeight="1" spans="1:50"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row>
    <row r="974" ht="18" customHeight="1" spans="1:50"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row>
    <row r="975" ht="18" customHeight="1" spans="1:50"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row>
    <row r="976" ht="18" customHeight="1" spans="1:50"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row>
    <row r="977" ht="18" customHeight="1" spans="1:50"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row>
    <row r="978" ht="18" customHeight="1" spans="1:50"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row>
    <row r="979" ht="18" customHeight="1" spans="1:50"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row>
    <row r="980" ht="18" customHeight="1" spans="1:50"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row>
    <row r="981" ht="18" customHeight="1" spans="1:50"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row>
    <row r="982" ht="18" customHeight="1" spans="1:50"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row>
    <row r="983" ht="18" customHeight="1" spans="1:50"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row>
    <row r="984" ht="18" customHeight="1" spans="1:50"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row>
    <row r="985" ht="18" customHeight="1" spans="1:50"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row>
    <row r="986" ht="18" customHeight="1" spans="1:50"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row>
    <row r="987" ht="18" customHeight="1" spans="1:50"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row>
    <row r="988" ht="18" customHeight="1" spans="1:50"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row>
    <row r="989" ht="18" customHeight="1" spans="1:50"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row>
    <row r="990" ht="18" customHeight="1" spans="1:50"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row>
    <row r="991" ht="18" customHeight="1" spans="1:50"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row>
    <row r="992" ht="18" customHeight="1" spans="1:50"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row>
    <row r="993" ht="18" customHeight="1" spans="1:50"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row>
    <row r="994" ht="18" customHeight="1" spans="1:50"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row>
    <row r="995" ht="18" customHeight="1" spans="1:50"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row>
  </sheetData>
  <mergeCells count="41">
    <mergeCell ref="B2:N3"/>
    <mergeCell ref="B4:Y4"/>
    <mergeCell ref="Z4:AS4"/>
    <mergeCell ref="AT4:AV4"/>
    <mergeCell ref="AW4:AX4"/>
    <mergeCell ref="B5:Y5"/>
    <mergeCell ref="Z5:AS5"/>
    <mergeCell ref="AT5:AV5"/>
    <mergeCell ref="AW5:AX5"/>
    <mergeCell ref="B6:Y6"/>
    <mergeCell ref="Z6:AS6"/>
    <mergeCell ref="AT6:AV6"/>
    <mergeCell ref="AW6:AX6"/>
    <mergeCell ref="B7:Y7"/>
    <mergeCell ref="Z7:AS7"/>
    <mergeCell ref="AT7:AV7"/>
    <mergeCell ref="AW7:AX7"/>
    <mergeCell ref="B8:Y8"/>
    <mergeCell ref="Z8:AS8"/>
    <mergeCell ref="AT8:AV8"/>
    <mergeCell ref="AW8:AX8"/>
    <mergeCell ref="B9:Y9"/>
    <mergeCell ref="Z9:AS9"/>
    <mergeCell ref="AT9:AV9"/>
    <mergeCell ref="AW9:AX9"/>
    <mergeCell ref="B10:Y10"/>
    <mergeCell ref="Z10:AS10"/>
    <mergeCell ref="AT10:AV10"/>
    <mergeCell ref="AW10:AX10"/>
    <mergeCell ref="B11:Y11"/>
    <mergeCell ref="Z11:AS11"/>
    <mergeCell ref="AT11:AV11"/>
    <mergeCell ref="AW11:AX11"/>
    <mergeCell ref="B12:Y12"/>
    <mergeCell ref="Z12:AS12"/>
    <mergeCell ref="AT12:AV12"/>
    <mergeCell ref="AW12:AX12"/>
    <mergeCell ref="B13:Y13"/>
    <mergeCell ref="Z13:AS13"/>
    <mergeCell ref="AT13:AV13"/>
    <mergeCell ref="AW13:AX13"/>
  </mergeCells>
  <hyperlinks>
    <hyperlink ref="AZ2" r:id="rId1"/>
  </hyperlinks>
  <pageMargins left="0.25" right="0.25" top="0.75" bottom="0.75" header="0" footer="0"/>
  <pageSetup paperSize="9" orientation="landscape" horizontalDpi="4294967295" verticalDpi="4294967295" scale="83"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pageSetUpPr fitToPage="1"/>
  </sheetPr>
  <dimension ref="A1:Y994"/>
  <sheetViews>
    <sheetView workbookViewId="0" zoomScale="60" zoomScaleNormal="100" view="pageBreakPreview">
      <selection activeCell="C7" sqref="C7"/>
    </sheetView>
  </sheetViews>
  <sheetFormatPr defaultRowHeight="15" outlineLevelRow="0" outlineLevelCol="0" x14ac:dyDescent="0" defaultColWidth="14.42578125"/>
  <cols>
    <col min="1" max="21" width="6.28515625" style="1" customWidth="1"/>
    <col min="22" max="22" width="2.5703125" style="1" customWidth="1"/>
    <col min="23" max="16384" width="14.42578125" style="1" customWidth="1"/>
  </cols>
  <sheetData>
    <row r="1" ht="24.75" customHeight="1" spans="1:22" x14ac:dyDescent="0.25">
      <c r="A1" s="1211" t="s">
        <v>1983</v>
      </c>
      <c r="B1" s="1211"/>
      <c r="C1" s="1211"/>
      <c r="D1" s="1211"/>
      <c r="E1" s="1211"/>
      <c r="F1" s="1211"/>
      <c r="G1" s="1211"/>
      <c r="H1" s="1211"/>
      <c r="I1" s="1211"/>
      <c r="J1" s="1211"/>
      <c r="K1" s="1211"/>
      <c r="L1" s="1211"/>
      <c r="M1" s="1211"/>
      <c r="N1" s="1211"/>
      <c r="O1" s="1211"/>
      <c r="P1" s="1211"/>
      <c r="Q1" s="1211"/>
      <c r="R1" s="1211"/>
      <c r="S1" s="1211"/>
      <c r="T1" s="1211"/>
      <c r="U1" s="1211"/>
      <c r="V1" s="81"/>
    </row>
    <row r="2" ht="25.15" customHeight="1" spans="1:22" x14ac:dyDescent="0.25">
      <c r="A2" s="1212"/>
      <c r="B2" s="1212"/>
      <c r="C2" s="1212"/>
      <c r="D2" s="1212"/>
      <c r="E2" s="1212"/>
      <c r="F2" s="1212"/>
      <c r="G2" s="1212"/>
      <c r="H2" s="1213"/>
      <c r="I2" s="1213"/>
      <c r="J2" s="1214"/>
      <c r="K2" s="1214"/>
      <c r="L2" s="1215"/>
      <c r="M2" s="1215"/>
      <c r="N2" s="1216">
        <f>TODAY()</f>
        <v>46026</v>
      </c>
      <c r="O2" s="1216"/>
      <c r="P2" s="1216"/>
      <c r="Q2" s="1216"/>
      <c r="R2" s="1216"/>
      <c r="S2" s="1216"/>
      <c r="T2" s="1216"/>
      <c r="U2" s="1216"/>
      <c r="V2" s="81"/>
    </row>
    <row r="3" ht="25.15" customHeight="1" spans="1:22" x14ac:dyDescent="0.25">
      <c r="A3" s="1212" t="str">
        <f>初期入力!B4&amp;"　　"&amp;初期入力!B6</f>
        <v>　　</v>
      </c>
      <c r="B3" s="1212"/>
      <c r="C3" s="1212"/>
      <c r="D3" s="1212"/>
      <c r="E3" s="1212"/>
      <c r="F3" s="1212"/>
      <c r="G3" s="1212"/>
      <c r="H3" s="1213" t="s">
        <v>12</v>
      </c>
      <c r="I3" s="1213"/>
      <c r="J3" s="1214"/>
      <c r="K3" s="1214"/>
      <c r="L3" s="1217" t="s">
        <v>1984</v>
      </c>
      <c r="M3" s="1218"/>
      <c r="N3" s="1215"/>
      <c r="O3" s="1215"/>
      <c r="P3" s="1218"/>
      <c r="Q3" s="1218"/>
      <c r="R3" s="1218"/>
      <c r="S3" s="1218"/>
      <c r="T3" s="1218"/>
      <c r="U3" s="1218"/>
      <c r="V3" s="81"/>
    </row>
    <row r="4" ht="25.15" customHeight="1" spans="1:22" x14ac:dyDescent="0.25">
      <c r="A4" s="1219"/>
      <c r="B4" s="1219"/>
      <c r="C4" s="1219"/>
      <c r="D4" s="1219"/>
      <c r="E4" s="1219"/>
      <c r="F4" s="1219"/>
      <c r="G4" s="1219"/>
      <c r="H4" s="1220"/>
      <c r="I4" s="1220"/>
      <c r="J4" s="1214"/>
      <c r="K4" s="1214"/>
      <c r="L4" s="1217" t="s">
        <v>1985</v>
      </c>
      <c r="M4" s="1217"/>
      <c r="N4" s="1217"/>
      <c r="O4" s="1215"/>
      <c r="P4" s="1217" t="s">
        <v>227</v>
      </c>
      <c r="Q4" s="1218"/>
      <c r="R4" s="1218"/>
      <c r="S4" s="1218"/>
      <c r="T4" s="1221"/>
      <c r="U4" s="1217"/>
      <c r="V4" s="81"/>
    </row>
    <row r="5" ht="25.15" customHeight="1" spans="1:22" x14ac:dyDescent="0.25">
      <c r="A5" s="1214"/>
      <c r="B5" s="1214"/>
      <c r="C5" s="1214"/>
      <c r="D5" s="1214"/>
      <c r="E5" s="1214"/>
      <c r="F5" s="1214"/>
      <c r="G5" s="1214"/>
      <c r="H5" s="1214"/>
      <c r="I5" s="1214"/>
      <c r="J5" s="1214"/>
      <c r="K5" s="1214"/>
      <c r="L5" s="1217"/>
      <c r="M5" s="1217"/>
      <c r="N5" s="1217"/>
      <c r="O5" s="1215"/>
      <c r="P5" s="1217"/>
      <c r="Q5" s="1218"/>
      <c r="R5" s="1218"/>
      <c r="S5" s="1222"/>
      <c r="T5" s="1036"/>
      <c r="U5" s="1223"/>
      <c r="V5" s="81"/>
    </row>
    <row r="6" ht="25.15" customHeight="1" spans="1:22" x14ac:dyDescent="0.25">
      <c r="A6" s="1224" t="s">
        <v>1986</v>
      </c>
      <c r="B6" s="1224"/>
      <c r="C6" s="1224"/>
      <c r="D6" s="1224"/>
      <c r="E6" s="1224"/>
      <c r="F6" s="1224"/>
      <c r="G6" s="1224"/>
      <c r="H6" s="1224"/>
      <c r="I6" s="1224"/>
      <c r="J6" s="1224"/>
      <c r="K6" s="1224"/>
      <c r="L6" s="1224"/>
      <c r="M6" s="1224"/>
      <c r="N6" s="1225"/>
      <c r="O6" s="1226"/>
      <c r="P6" s="1225"/>
      <c r="Q6" s="1226"/>
      <c r="R6" s="1227"/>
      <c r="S6" s="1225"/>
      <c r="T6" s="1225"/>
      <c r="U6" s="1225"/>
      <c r="V6" s="81"/>
    </row>
    <row r="7" ht="25.15" customHeight="1" spans="1:22" x14ac:dyDescent="0.25">
      <c r="A7" s="1228" t="s">
        <v>83</v>
      </c>
      <c r="B7" s="1229"/>
      <c r="C7" s="1230">
        <f>初期入力!B30</f>
        <v>45741</v>
      </c>
      <c r="D7" s="1231"/>
      <c r="E7" s="1231"/>
      <c r="F7" s="1231"/>
      <c r="G7" s="1232"/>
      <c r="H7" s="1228" t="s">
        <v>1987</v>
      </c>
      <c r="I7" s="1229"/>
      <c r="J7" s="1233">
        <f>初期入力!B44</f>
        <v>103824</v>
      </c>
      <c r="K7" s="1234"/>
      <c r="L7" s="1234"/>
      <c r="M7" s="1234"/>
      <c r="N7" s="1235"/>
      <c r="O7" s="1228" t="s">
        <v>29</v>
      </c>
      <c r="P7" s="1229"/>
      <c r="Q7" s="1233" t="str">
        <f>初期入力!B12</f>
        <v>田畑　美香</v>
      </c>
      <c r="R7" s="1234"/>
      <c r="S7" s="1234"/>
      <c r="T7" s="1234"/>
      <c r="U7" s="1235"/>
      <c r="V7" s="1025"/>
    </row>
    <row r="8" ht="25.15" customHeight="1" spans="1:25" x14ac:dyDescent="0.25">
      <c r="A8" s="1236" t="s">
        <v>1988</v>
      </c>
      <c r="B8" s="1237"/>
      <c r="C8" s="1237"/>
      <c r="D8" s="1237"/>
      <c r="E8" s="1237"/>
      <c r="F8" s="1237"/>
      <c r="G8" s="1237"/>
      <c r="H8" s="1237"/>
      <c r="I8" s="1237"/>
      <c r="J8" s="1237"/>
      <c r="K8" s="1237"/>
      <c r="L8" s="1237"/>
      <c r="M8" s="1238"/>
      <c r="N8" s="1215"/>
      <c r="O8" s="1215"/>
      <c r="P8" s="1215"/>
      <c r="Q8" s="1239"/>
      <c r="R8" s="1240"/>
      <c r="S8" s="1240"/>
      <c r="T8" s="1241"/>
      <c r="U8" s="1242"/>
      <c r="V8" s="1025"/>
      <c r="Y8" s="1">
        <f>初期入力!B44</f>
        <v>103824</v>
      </c>
    </row>
    <row r="9" ht="25.15" customHeight="1" spans="1:22" x14ac:dyDescent="0.25">
      <c r="A9" s="1243" t="s">
        <v>1989</v>
      </c>
      <c r="B9" s="1244"/>
      <c r="C9" s="1244"/>
      <c r="D9" s="1244"/>
      <c r="E9" s="1244"/>
      <c r="F9" s="1244"/>
      <c r="G9" s="1244"/>
      <c r="H9" s="1244"/>
      <c r="I9" s="1245"/>
      <c r="J9" s="1245"/>
      <c r="K9" s="1245"/>
      <c r="L9" s="1246" t="s">
        <v>1990</v>
      </c>
      <c r="M9" s="1247"/>
      <c r="N9" s="1247"/>
      <c r="O9" s="1247"/>
      <c r="P9" s="1248"/>
      <c r="Q9" s="1246" t="s">
        <v>948</v>
      </c>
      <c r="R9" s="1247"/>
      <c r="S9" s="1247"/>
      <c r="T9" s="1247"/>
      <c r="U9" s="1248"/>
      <c r="V9" s="714"/>
    </row>
    <row r="10" ht="25.15" customHeight="1" spans="1:22" x14ac:dyDescent="0.25">
      <c r="A10" s="1249" t="s">
        <v>1991</v>
      </c>
      <c r="B10" s="1246" t="s">
        <v>1992</v>
      </c>
      <c r="C10" s="1247"/>
      <c r="D10" s="1247"/>
      <c r="E10" s="1247"/>
      <c r="F10" s="1247"/>
      <c r="G10" s="1247"/>
      <c r="H10" s="1247"/>
      <c r="I10" s="1247"/>
      <c r="J10" s="1247"/>
      <c r="K10" s="1247"/>
      <c r="L10" s="1250">
        <f>初期入力!F33</f>
        <v>0</v>
      </c>
      <c r="M10" s="1251"/>
      <c r="N10" s="1251"/>
      <c r="O10" s="1251"/>
      <c r="P10" s="1252" t="s">
        <v>1616</v>
      </c>
      <c r="Q10" s="1253"/>
      <c r="R10" s="1254"/>
      <c r="S10" s="1254"/>
      <c r="T10" s="1254"/>
      <c r="U10" s="1255"/>
      <c r="V10" s="81"/>
    </row>
    <row r="11" ht="25.15" customHeight="1" spans="1:21" x14ac:dyDescent="0.25">
      <c r="A11" s="1256"/>
      <c r="B11" s="1257" t="s">
        <v>1993</v>
      </c>
      <c r="C11" s="1258"/>
      <c r="D11" s="1259"/>
      <c r="E11" s="1259"/>
      <c r="F11" s="1260"/>
      <c r="G11" s="1260"/>
      <c r="H11" s="1260"/>
      <c r="I11" s="1260"/>
      <c r="J11" s="1260"/>
      <c r="K11" s="1260"/>
      <c r="L11" s="1261"/>
      <c r="M11" s="1262"/>
      <c r="N11" s="1262"/>
      <c r="O11" s="1262"/>
      <c r="P11" s="1263" t="s">
        <v>1616</v>
      </c>
      <c r="Q11" s="1264" t="s">
        <v>70</v>
      </c>
      <c r="R11" s="1265"/>
      <c r="S11" s="1265"/>
      <c r="T11" s="1266">
        <f>IF(Q11="","","締結分")</f>
      </c>
      <c r="U11" s="1267"/>
    </row>
    <row r="12" ht="25.15" customHeight="1" spans="1:21" x14ac:dyDescent="0.25">
      <c r="A12" s="1256"/>
      <c r="B12" s="1268"/>
      <c r="C12" s="1269"/>
      <c r="D12" s="1270"/>
      <c r="E12" s="1270"/>
      <c r="F12" s="1271"/>
      <c r="G12" s="1271"/>
      <c r="H12" s="1271"/>
      <c r="I12" s="1271"/>
      <c r="J12" s="1271"/>
      <c r="K12" s="1271"/>
      <c r="L12" s="1272"/>
      <c r="M12" s="1273"/>
      <c r="N12" s="1273"/>
      <c r="O12" s="1273"/>
      <c r="P12" s="1274" t="s">
        <v>1616</v>
      </c>
      <c r="Q12" s="1275" t="s">
        <v>70</v>
      </c>
      <c r="R12" s="1276"/>
      <c r="S12" s="1276"/>
      <c r="T12" s="1277">
        <f>IF(Q12="","","締結分")</f>
      </c>
      <c r="U12" s="1278"/>
    </row>
    <row r="13" ht="25.15" customHeight="1" spans="1:22" x14ac:dyDescent="0.25">
      <c r="A13" s="1256"/>
      <c r="B13" s="1268"/>
      <c r="C13" s="1269"/>
      <c r="D13" s="1270"/>
      <c r="E13" s="1270"/>
      <c r="F13" s="1271"/>
      <c r="G13" s="1271"/>
      <c r="H13" s="1271"/>
      <c r="I13" s="1271"/>
      <c r="J13" s="1271"/>
      <c r="K13" s="1271"/>
      <c r="L13" s="1272"/>
      <c r="M13" s="1273"/>
      <c r="N13" s="1273"/>
      <c r="O13" s="1273"/>
      <c r="P13" s="1274" t="s">
        <v>1616</v>
      </c>
      <c r="Q13" s="1275" t="s">
        <v>70</v>
      </c>
      <c r="R13" s="1276"/>
      <c r="S13" s="1276"/>
      <c r="T13" s="1277">
        <f>IF(Q13="","","締結分")</f>
      </c>
      <c r="U13" s="1278"/>
      <c r="V13" s="81"/>
    </row>
    <row r="14" ht="25.15" customHeight="1" spans="1:22" x14ac:dyDescent="0.25">
      <c r="A14" s="1256"/>
      <c r="B14" s="1279"/>
      <c r="C14" s="1269"/>
      <c r="D14" s="1270"/>
      <c r="E14" s="1270"/>
      <c r="F14" s="1271"/>
      <c r="G14" s="1271"/>
      <c r="H14" s="1271"/>
      <c r="I14" s="1271"/>
      <c r="J14" s="1271"/>
      <c r="K14" s="1271"/>
      <c r="L14" s="1272"/>
      <c r="M14" s="1273"/>
      <c r="N14" s="1273"/>
      <c r="O14" s="1273"/>
      <c r="P14" s="1280" t="s">
        <v>1616</v>
      </c>
      <c r="Q14" s="1275" t="s">
        <v>70</v>
      </c>
      <c r="R14" s="1276"/>
      <c r="S14" s="1276"/>
      <c r="T14" s="1277">
        <f>IF(Q14="","","締結分")</f>
      </c>
      <c r="U14" s="1278"/>
      <c r="V14" s="81"/>
    </row>
    <row r="15" ht="25.15" customHeight="1" spans="1:22" x14ac:dyDescent="0.25">
      <c r="A15" s="1256"/>
      <c r="B15" s="1281" t="s">
        <v>1994</v>
      </c>
      <c r="C15" s="1282"/>
      <c r="D15" s="1282"/>
      <c r="E15" s="1282"/>
      <c r="F15" s="1282"/>
      <c r="G15" s="1282"/>
      <c r="H15" s="1282"/>
      <c r="I15" s="1282"/>
      <c r="J15" s="1282"/>
      <c r="K15" s="1282"/>
      <c r="L15" s="1283">
        <f>SUM(L11:O14)</f>
        <v>0</v>
      </c>
      <c r="M15" s="1284"/>
      <c r="N15" s="1284"/>
      <c r="O15" s="1284"/>
      <c r="P15" s="1285" t="s">
        <v>1616</v>
      </c>
      <c r="Q15" s="1286"/>
      <c r="R15" s="1287"/>
      <c r="S15" s="1287"/>
      <c r="T15" s="1287"/>
      <c r="U15" s="1288"/>
      <c r="V15" s="81"/>
    </row>
    <row r="16" ht="25.15" customHeight="1" spans="1:22" x14ac:dyDescent="0.25">
      <c r="A16" s="1289"/>
      <c r="B16" s="1290" t="s">
        <v>1995</v>
      </c>
      <c r="C16" s="1291"/>
      <c r="D16" s="1291"/>
      <c r="E16" s="1291"/>
      <c r="F16" s="1291"/>
      <c r="G16" s="1292"/>
      <c r="H16" s="1291" t="s">
        <v>1996</v>
      </c>
      <c r="I16" s="1291"/>
      <c r="J16" s="1291"/>
      <c r="K16" s="1291"/>
      <c r="L16" s="1293">
        <f>L10+L15</f>
        <v>0</v>
      </c>
      <c r="M16" s="1294"/>
      <c r="N16" s="1294"/>
      <c r="O16" s="1294"/>
      <c r="P16" s="1295" t="s">
        <v>1616</v>
      </c>
      <c r="Q16" s="1253"/>
      <c r="R16" s="1254"/>
      <c r="S16" s="1254"/>
      <c r="T16" s="1254"/>
      <c r="U16" s="1255"/>
      <c r="V16" s="738"/>
    </row>
    <row r="17" ht="25.15" customHeight="1" spans="1:22" x14ac:dyDescent="0.25">
      <c r="A17" s="1296" t="s">
        <v>1997</v>
      </c>
      <c r="B17" s="1297" t="s">
        <v>1998</v>
      </c>
      <c r="C17" s="1298"/>
      <c r="D17" s="1298"/>
      <c r="E17" s="1298"/>
      <c r="F17" s="1299"/>
      <c r="G17" s="1300" t="s">
        <v>1622</v>
      </c>
      <c r="H17" s="1301">
        <f>初期入力!F34</f>
        <v>100000</v>
      </c>
      <c r="I17" s="1301"/>
      <c r="J17" s="1301"/>
      <c r="K17" s="1302" t="s">
        <v>1616</v>
      </c>
      <c r="L17" s="1297" t="s">
        <v>252</v>
      </c>
      <c r="M17" s="1298"/>
      <c r="N17" s="1298"/>
      <c r="O17" s="1298"/>
      <c r="P17" s="1299"/>
      <c r="Q17" s="1303" t="s">
        <v>1622</v>
      </c>
      <c r="R17" s="1301">
        <f>初期入力!F36</f>
        <v>1000000</v>
      </c>
      <c r="S17" s="1301"/>
      <c r="T17" s="1301"/>
      <c r="U17" s="1304" t="s">
        <v>1616</v>
      </c>
      <c r="V17" s="738"/>
    </row>
    <row r="18" ht="25.15" customHeight="1" spans="1:22" x14ac:dyDescent="0.25">
      <c r="A18" s="1305"/>
      <c r="B18" s="1306" t="s">
        <v>254</v>
      </c>
      <c r="C18" s="1307"/>
      <c r="D18" s="1307"/>
      <c r="E18" s="1307"/>
      <c r="F18" s="1308"/>
      <c r="G18" s="1309" t="s">
        <v>1622</v>
      </c>
      <c r="H18" s="1310">
        <f>初期入力!F38</f>
        <v>8300000</v>
      </c>
      <c r="I18" s="1311"/>
      <c r="J18" s="1311"/>
      <c r="K18" s="1312" t="s">
        <v>1616</v>
      </c>
      <c r="L18" s="1306" t="s">
        <v>256</v>
      </c>
      <c r="M18" s="1307"/>
      <c r="N18" s="1307"/>
      <c r="O18" s="1307"/>
      <c r="P18" s="1308"/>
      <c r="Q18" s="1313" t="s">
        <v>1622</v>
      </c>
      <c r="R18" s="1310">
        <f>初期入力!F40</f>
        <v>8300000</v>
      </c>
      <c r="S18" s="1311"/>
      <c r="T18" s="1311"/>
      <c r="U18" s="1274" t="s">
        <v>1616</v>
      </c>
      <c r="V18" s="81"/>
    </row>
    <row r="19" ht="25.15" customHeight="1" spans="1:22" x14ac:dyDescent="0.25">
      <c r="A19" s="1305"/>
      <c r="B19" s="1314"/>
      <c r="C19" s="1315"/>
      <c r="D19" s="1315"/>
      <c r="E19" s="1315"/>
      <c r="F19" s="1316"/>
      <c r="G19" s="1317" t="s">
        <v>1622</v>
      </c>
      <c r="H19" s="1318"/>
      <c r="I19" s="1318"/>
      <c r="J19" s="1318"/>
      <c r="K19" s="1307" t="s">
        <v>1616</v>
      </c>
      <c r="L19" s="1314"/>
      <c r="M19" s="1315"/>
      <c r="N19" s="1315"/>
      <c r="O19" s="1315"/>
      <c r="P19" s="1316"/>
      <c r="Q19" s="1313" t="s">
        <v>1622</v>
      </c>
      <c r="R19" s="1310"/>
      <c r="S19" s="1311"/>
      <c r="T19" s="1311"/>
      <c r="U19" s="1285" t="s">
        <v>1616</v>
      </c>
      <c r="V19" s="3"/>
    </row>
    <row r="20" ht="25.15" customHeight="1" spans="1:22" x14ac:dyDescent="0.25">
      <c r="A20" s="1319"/>
      <c r="B20" s="1290" t="s">
        <v>1999</v>
      </c>
      <c r="C20" s="1291"/>
      <c r="D20" s="1291"/>
      <c r="E20" s="1291"/>
      <c r="F20" s="1291"/>
      <c r="G20" s="1291"/>
      <c r="H20" s="1291"/>
      <c r="I20" s="1291"/>
      <c r="J20" s="1291"/>
      <c r="K20" s="1291"/>
      <c r="L20" s="1293">
        <f>SUM(H17+H18+H19+R17+R18+R19)</f>
        <v>17700000</v>
      </c>
      <c r="M20" s="1320"/>
      <c r="N20" s="1320"/>
      <c r="O20" s="1320"/>
      <c r="P20" s="1320"/>
      <c r="Q20" s="1320"/>
      <c r="R20" s="1320"/>
      <c r="S20" s="1320"/>
      <c r="T20" s="1320"/>
      <c r="U20" s="1252" t="s">
        <v>1616</v>
      </c>
      <c r="V20" s="81"/>
    </row>
    <row r="21" ht="25.15" customHeight="1" spans="1:22" x14ac:dyDescent="0.25">
      <c r="A21" s="1290"/>
      <c r="B21" s="1291" t="s">
        <v>2000</v>
      </c>
      <c r="C21" s="1291"/>
      <c r="D21" s="1291"/>
      <c r="E21" s="1291"/>
      <c r="F21" s="1291"/>
      <c r="G21" s="1291"/>
      <c r="H21" s="1291"/>
      <c r="I21" s="1291"/>
      <c r="J21" s="1291"/>
      <c r="K21" s="1291"/>
      <c r="L21" s="1321"/>
      <c r="M21" s="1320">
        <f>L16-L20</f>
        <v>-17700000</v>
      </c>
      <c r="N21" s="1320"/>
      <c r="O21" s="1320"/>
      <c r="P21" s="1320"/>
      <c r="Q21" s="1320"/>
      <c r="R21" s="1320"/>
      <c r="S21" s="1320"/>
      <c r="T21" s="1320"/>
      <c r="U21" s="1252" t="s">
        <v>1616</v>
      </c>
      <c r="V21" s="81"/>
    </row>
    <row r="22" ht="25.15" customHeight="1" spans="1:22" x14ac:dyDescent="0.25">
      <c r="A22" s="1322" t="s">
        <v>2001</v>
      </c>
      <c r="B22" s="1322"/>
      <c r="C22" s="1322"/>
      <c r="D22" s="1322"/>
      <c r="E22" s="1322"/>
      <c r="F22" s="1322"/>
      <c r="G22" s="1322"/>
      <c r="H22" s="1322"/>
      <c r="I22" s="1322"/>
      <c r="J22" s="1322"/>
      <c r="K22" s="1322"/>
      <c r="L22" s="1322"/>
      <c r="M22" s="1322"/>
      <c r="N22" s="1322"/>
      <c r="O22" s="1322"/>
      <c r="P22" s="1322"/>
      <c r="Q22" s="1322"/>
      <c r="R22" s="1322"/>
      <c r="S22" s="1322"/>
      <c r="T22" s="1322"/>
      <c r="U22" s="1322"/>
      <c r="V22" s="81"/>
    </row>
    <row r="23" ht="25.15" customHeight="1" spans="1:22" x14ac:dyDescent="0.25">
      <c r="A23" s="1323"/>
      <c r="B23" s="1324" t="s">
        <v>252</v>
      </c>
      <c r="C23" s="1324"/>
      <c r="D23" s="1324"/>
      <c r="E23" s="1324"/>
      <c r="F23" s="1325"/>
      <c r="G23" s="1303" t="s">
        <v>1622</v>
      </c>
      <c r="H23" s="1326"/>
      <c r="I23" s="1326"/>
      <c r="J23" s="1326"/>
      <c r="K23" s="1327" t="s">
        <v>1616</v>
      </c>
      <c r="L23" s="1328" t="s">
        <v>2002</v>
      </c>
      <c r="M23" s="1327"/>
      <c r="N23" s="1327"/>
      <c r="O23" s="1327"/>
      <c r="P23" s="1329"/>
      <c r="Q23" s="1303" t="s">
        <v>1622</v>
      </c>
      <c r="R23" s="1326"/>
      <c r="S23" s="1326"/>
      <c r="T23" s="1326"/>
      <c r="U23" s="1302" t="s">
        <v>1616</v>
      </c>
      <c r="V23" s="81"/>
    </row>
    <row r="24" ht="25.15" customHeight="1" spans="1:22" x14ac:dyDescent="0.25">
      <c r="A24" s="1330"/>
      <c r="B24" s="1307" t="s">
        <v>2003</v>
      </c>
      <c r="C24" s="1307"/>
      <c r="D24" s="1307"/>
      <c r="E24" s="1307"/>
      <c r="F24" s="1308"/>
      <c r="G24" s="1331" t="s">
        <v>1622</v>
      </c>
      <c r="H24" s="1332"/>
      <c r="I24" s="1332"/>
      <c r="J24" s="1332"/>
      <c r="K24" s="1333" t="s">
        <v>1616</v>
      </c>
      <c r="L24" s="1330"/>
      <c r="M24" s="1333"/>
      <c r="N24" s="1333"/>
      <c r="O24" s="1333"/>
      <c r="P24" s="1334"/>
      <c r="Q24" s="1331" t="s">
        <v>1622</v>
      </c>
      <c r="R24" s="1335"/>
      <c r="S24" s="1332"/>
      <c r="T24" s="1332"/>
      <c r="U24" s="1280" t="s">
        <v>1616</v>
      </c>
      <c r="V24" s="81"/>
    </row>
    <row r="25" ht="25.15" customHeight="1" spans="1:22" x14ac:dyDescent="0.25">
      <c r="A25" s="1253"/>
      <c r="B25" s="1291" t="s">
        <v>2004</v>
      </c>
      <c r="C25" s="1291"/>
      <c r="D25" s="1291"/>
      <c r="E25" s="1291"/>
      <c r="F25" s="1291"/>
      <c r="G25" s="1291"/>
      <c r="H25" s="1291"/>
      <c r="I25" s="1291"/>
      <c r="J25" s="1291"/>
      <c r="K25" s="1291"/>
      <c r="L25" s="1321"/>
      <c r="M25" s="1320">
        <f>SUM(H23+H24+R23+R24)</f>
        <v>0</v>
      </c>
      <c r="N25" s="1320"/>
      <c r="O25" s="1320"/>
      <c r="P25" s="1320"/>
      <c r="Q25" s="1320"/>
      <c r="R25" s="1320"/>
      <c r="S25" s="1320"/>
      <c r="T25" s="1320"/>
      <c r="U25" s="1252" t="s">
        <v>1616</v>
      </c>
      <c r="V25" s="81"/>
    </row>
    <row r="26" ht="25.15" customHeight="1" spans="1:22" x14ac:dyDescent="0.25">
      <c r="A26" s="1336" t="s">
        <v>1997</v>
      </c>
      <c r="B26" s="1323" t="s">
        <v>252</v>
      </c>
      <c r="C26" s="1324"/>
      <c r="D26" s="1324"/>
      <c r="E26" s="1324"/>
      <c r="F26" s="1325"/>
      <c r="G26" s="1303" t="s">
        <v>1622</v>
      </c>
      <c r="H26" s="1337"/>
      <c r="I26" s="1326"/>
      <c r="J26" s="1326"/>
      <c r="K26" s="1327" t="s">
        <v>1616</v>
      </c>
      <c r="L26" s="1306" t="s">
        <v>2002</v>
      </c>
      <c r="M26" s="1307"/>
      <c r="N26" s="1307"/>
      <c r="O26" s="1307"/>
      <c r="P26" s="1308"/>
      <c r="Q26" s="1331" t="s">
        <v>1622</v>
      </c>
      <c r="R26" s="1332"/>
      <c r="S26" s="1332"/>
      <c r="T26" s="1332"/>
      <c r="U26" s="1302" t="s">
        <v>1616</v>
      </c>
      <c r="V26" s="81"/>
    </row>
    <row r="27" ht="25.15" customHeight="1" spans="1:22" x14ac:dyDescent="0.25">
      <c r="A27" s="1338"/>
      <c r="B27" s="1306" t="s">
        <v>2003</v>
      </c>
      <c r="C27" s="1307"/>
      <c r="D27" s="1307"/>
      <c r="E27" s="1307"/>
      <c r="F27" s="1308"/>
      <c r="G27" s="1331" t="s">
        <v>1622</v>
      </c>
      <c r="H27" s="1332"/>
      <c r="I27" s="1332"/>
      <c r="J27" s="1332"/>
      <c r="K27" s="1333" t="s">
        <v>1616</v>
      </c>
      <c r="L27" s="1330"/>
      <c r="M27" s="1333"/>
      <c r="N27" s="1333"/>
      <c r="O27" s="1333"/>
      <c r="P27" s="1334"/>
      <c r="Q27" s="1331" t="s">
        <v>1622</v>
      </c>
      <c r="R27" s="1335"/>
      <c r="S27" s="1332"/>
      <c r="T27" s="1332"/>
      <c r="U27" s="1280" t="s">
        <v>1616</v>
      </c>
      <c r="V27" s="81"/>
    </row>
    <row r="28" ht="25.15" customHeight="1" spans="1:22" x14ac:dyDescent="0.25">
      <c r="A28" s="1339"/>
      <c r="B28" s="1290" t="s">
        <v>2005</v>
      </c>
      <c r="C28" s="1291"/>
      <c r="D28" s="1291"/>
      <c r="E28" s="1291"/>
      <c r="F28" s="1291"/>
      <c r="G28" s="1291"/>
      <c r="H28" s="1291"/>
      <c r="I28" s="1291"/>
      <c r="J28" s="1291"/>
      <c r="K28" s="1291"/>
      <c r="L28" s="1293">
        <f>SUM(H26+R26+H27+R27)</f>
        <v>0</v>
      </c>
      <c r="M28" s="1320"/>
      <c r="N28" s="1320"/>
      <c r="O28" s="1320"/>
      <c r="P28" s="1320"/>
      <c r="Q28" s="1320"/>
      <c r="R28" s="1320"/>
      <c r="S28" s="1320"/>
      <c r="T28" s="1320"/>
      <c r="U28" s="1252" t="s">
        <v>1616</v>
      </c>
      <c r="V28" s="81"/>
    </row>
    <row r="29" ht="25.15" customHeight="1" spans="1:22" x14ac:dyDescent="0.25">
      <c r="A29" s="1290"/>
      <c r="B29" s="1291" t="s">
        <v>2006</v>
      </c>
      <c r="C29" s="1291"/>
      <c r="D29" s="1291"/>
      <c r="E29" s="1291"/>
      <c r="F29" s="1291"/>
      <c r="G29" s="1291"/>
      <c r="H29" s="1291"/>
      <c r="I29" s="1291"/>
      <c r="J29" s="1291"/>
      <c r="K29" s="1291"/>
      <c r="L29" s="1321"/>
      <c r="M29" s="1320">
        <f>M25-L28</f>
        <v>0</v>
      </c>
      <c r="N29" s="1320"/>
      <c r="O29" s="1320"/>
      <c r="P29" s="1320"/>
      <c r="Q29" s="1320"/>
      <c r="R29" s="1320"/>
      <c r="S29" s="1320"/>
      <c r="T29" s="1320"/>
      <c r="U29" s="1252" t="s">
        <v>1616</v>
      </c>
      <c r="V29" s="81"/>
    </row>
    <row r="30" ht="28.15" customHeight="1" spans="1:22" x14ac:dyDescent="0.25">
      <c r="A30" s="1340" t="s">
        <v>2007</v>
      </c>
      <c r="B30" s="1341" t="s">
        <v>247</v>
      </c>
      <c r="C30" s="1342"/>
      <c r="D30" s="1342"/>
      <c r="E30" s="1342"/>
      <c r="F30" s="1342"/>
      <c r="G30" s="1342"/>
      <c r="H30" s="1343"/>
      <c r="I30" s="1342" t="s">
        <v>2008</v>
      </c>
      <c r="J30" s="1342"/>
      <c r="K30" s="1342"/>
      <c r="L30" s="1342"/>
      <c r="M30" s="1342"/>
      <c r="N30" s="1342"/>
      <c r="O30" s="1343"/>
      <c r="P30" s="1344" t="s">
        <v>2009</v>
      </c>
      <c r="Q30" s="1342"/>
      <c r="R30" s="1342"/>
      <c r="S30" s="1342"/>
      <c r="T30" s="1342"/>
      <c r="U30" s="1345"/>
      <c r="V30" s="81"/>
    </row>
    <row r="31" ht="28.15" customHeight="1" spans="1:22" x14ac:dyDescent="0.25">
      <c r="A31" s="1346"/>
      <c r="B31" s="1347">
        <f>初期入力!B43</f>
        <v>46066</v>
      </c>
      <c r="C31" s="1348"/>
      <c r="D31" s="1348"/>
      <c r="E31" s="1348"/>
      <c r="F31" s="1348"/>
      <c r="G31" s="1348"/>
      <c r="H31" s="1349"/>
      <c r="I31" s="1350">
        <f>M21+M29</f>
        <v>-17700000</v>
      </c>
      <c r="J31" s="1351"/>
      <c r="K31" s="1351"/>
      <c r="L31" s="1351"/>
      <c r="M31" s="1351"/>
      <c r="N31" s="1351"/>
      <c r="O31" s="1352"/>
      <c r="P31" s="1353" t="s">
        <v>2010</v>
      </c>
      <c r="Q31" s="1354"/>
      <c r="R31" s="1354"/>
      <c r="S31" s="1354"/>
      <c r="T31" s="1354"/>
      <c r="U31" s="1355"/>
      <c r="V31" s="81"/>
    </row>
    <row r="32" ht="25.15" customHeight="1" spans="1:22" x14ac:dyDescent="0.25">
      <c r="A32" s="1356" t="s">
        <v>2011</v>
      </c>
      <c r="B32" s="1356"/>
      <c r="C32" s="1356"/>
      <c r="D32" s="1356"/>
      <c r="E32" s="1356"/>
      <c r="F32" s="1356"/>
      <c r="G32" s="1356"/>
      <c r="H32" s="1356"/>
      <c r="I32" s="1356"/>
      <c r="J32" s="1356"/>
      <c r="K32" s="1356"/>
      <c r="L32" s="1356"/>
      <c r="M32" s="1356"/>
      <c r="N32" s="1356"/>
      <c r="O32" s="1356"/>
      <c r="P32" s="1356"/>
      <c r="Q32" s="1356"/>
      <c r="R32" s="1356"/>
      <c r="S32" s="1356"/>
      <c r="T32" s="1356"/>
      <c r="U32" s="1356"/>
      <c r="V32" s="81"/>
    </row>
    <row r="33" ht="25.15" customHeight="1" spans="1:22" x14ac:dyDescent="0.25">
      <c r="A33" s="1357" t="s">
        <v>2012</v>
      </c>
      <c r="B33" s="1358"/>
      <c r="C33" s="1358"/>
      <c r="D33" s="1358"/>
      <c r="E33" s="1358"/>
      <c r="F33" s="1358"/>
      <c r="G33" s="1358"/>
      <c r="H33" s="1358"/>
      <c r="I33" s="1358"/>
      <c r="J33" s="1358"/>
      <c r="K33" s="1358"/>
      <c r="L33" s="1358"/>
      <c r="M33" s="1358"/>
      <c r="N33" s="1358"/>
      <c r="O33" s="1358"/>
      <c r="P33" s="1359"/>
      <c r="Q33" s="1360"/>
      <c r="R33" s="1359"/>
      <c r="S33" s="1360"/>
      <c r="T33" s="1359"/>
      <c r="U33" s="1360"/>
      <c r="V33" s="81"/>
    </row>
    <row r="34" ht="25.15" customHeight="1" spans="1:21" x14ac:dyDescent="0.25">
      <c r="A34" s="1357" t="s">
        <v>2013</v>
      </c>
      <c r="B34" s="1358"/>
      <c r="C34" s="1358"/>
      <c r="D34" s="1358"/>
      <c r="E34" s="1358"/>
      <c r="F34" s="1358"/>
      <c r="G34" s="1358"/>
      <c r="H34" s="1358"/>
      <c r="I34" s="1358"/>
      <c r="J34" s="1358"/>
      <c r="K34" s="1358"/>
      <c r="L34" s="1358"/>
      <c r="M34" s="1358"/>
      <c r="N34" s="1358"/>
      <c r="O34" s="1358"/>
      <c r="P34" s="1361"/>
      <c r="Q34" s="1362"/>
      <c r="R34" s="1361"/>
      <c r="S34" s="1362"/>
      <c r="T34" s="1361"/>
      <c r="U34" s="1362"/>
    </row>
    <row r="35" ht="25.15" customHeight="1" spans="1:21" x14ac:dyDescent="0.25">
      <c r="A35" s="1363" t="s">
        <v>2014</v>
      </c>
      <c r="B35" s="1364"/>
      <c r="C35" s="1364"/>
      <c r="D35" s="1364"/>
      <c r="E35" s="1364"/>
      <c r="F35" s="1364"/>
      <c r="G35" s="1364"/>
      <c r="H35" s="1364"/>
      <c r="I35" s="1364"/>
      <c r="J35" s="1364"/>
      <c r="K35" s="1364"/>
      <c r="L35" s="1364"/>
      <c r="M35" s="1364"/>
      <c r="N35" s="1364"/>
      <c r="O35" s="1364"/>
      <c r="P35" s="1362"/>
      <c r="Q35" s="1362"/>
      <c r="R35" s="1362"/>
      <c r="S35" s="1362"/>
      <c r="T35" s="1362"/>
      <c r="U35" s="1362"/>
    </row>
    <row r="36" ht="25.15" customHeight="1" spans="1:21" x14ac:dyDescent="0.25">
      <c r="A36" s="1215"/>
      <c r="B36" s="1215"/>
      <c r="C36" s="1215"/>
      <c r="D36" s="1215"/>
      <c r="E36" s="1215"/>
      <c r="F36" s="1215"/>
      <c r="G36" s="1215"/>
      <c r="H36" s="1215"/>
      <c r="I36" s="1215"/>
      <c r="J36" s="1215"/>
      <c r="K36" s="1215"/>
      <c r="L36" s="1218"/>
      <c r="M36" s="1217"/>
      <c r="N36" s="1215"/>
      <c r="O36" s="1215"/>
      <c r="P36" s="1218"/>
      <c r="Q36" s="1218"/>
      <c r="R36" s="1218"/>
      <c r="S36" s="1218"/>
      <c r="T36" s="1218"/>
      <c r="U36" s="1218"/>
    </row>
    <row r="37" ht="25.15" customHeight="1" spans="1:21" x14ac:dyDescent="0.25">
      <c r="A37" s="1239"/>
      <c r="B37" s="1239"/>
      <c r="C37" s="1239"/>
      <c r="D37" s="1239"/>
      <c r="E37" s="1239"/>
      <c r="F37" s="1239"/>
      <c r="G37" s="1239"/>
      <c r="H37" s="1239"/>
      <c r="I37" s="1239"/>
      <c r="J37" s="1239"/>
      <c r="K37" s="1239"/>
      <c r="L37" s="1239"/>
      <c r="M37" s="1239"/>
      <c r="N37" s="1239"/>
      <c r="O37" s="1215"/>
      <c r="P37" s="1218"/>
      <c r="Q37" s="1218"/>
      <c r="R37" s="1218"/>
      <c r="S37" s="1218"/>
      <c r="T37" s="1218"/>
      <c r="U37" s="1218"/>
    </row>
    <row r="38" ht="25.15" customHeight="1" spans="1:21" x14ac:dyDescent="0.25">
      <c r="A38" s="1239"/>
      <c r="B38" s="1239"/>
      <c r="C38" s="1239"/>
      <c r="D38" s="1239"/>
      <c r="E38" s="1239"/>
      <c r="F38" s="1239"/>
      <c r="G38" s="1239"/>
      <c r="H38" s="1239"/>
      <c r="I38" s="1239"/>
      <c r="J38" s="1239"/>
      <c r="K38" s="1239"/>
      <c r="L38" s="1239"/>
      <c r="M38" s="1239"/>
      <c r="N38" s="1239"/>
      <c r="O38" s="1215"/>
      <c r="P38" s="1218"/>
      <c r="Q38" s="1218"/>
      <c r="R38" s="1218"/>
      <c r="S38" s="1218"/>
      <c r="T38" s="1218"/>
      <c r="U38" s="1218"/>
    </row>
    <row r="39" ht="13.5" customHeight="1" spans="1:15" x14ac:dyDescent="0.25">
      <c r="A39" s="681"/>
      <c r="B39" s="1"/>
      <c r="C39" s="1"/>
      <c r="D39" s="1"/>
      <c r="E39" s="1"/>
      <c r="F39" s="1"/>
      <c r="G39" s="1"/>
      <c r="H39" s="1"/>
      <c r="I39" s="1"/>
      <c r="J39" s="1"/>
      <c r="K39" s="1"/>
      <c r="L39" s="1"/>
      <c r="M39" s="1"/>
      <c r="N39" s="1"/>
      <c r="O39" s="1"/>
    </row>
    <row r="40" ht="13.5" customHeight="1" spans="1:22" x14ac:dyDescent="0.25">
      <c r="A40" s="1076"/>
      <c r="B40" s="1076"/>
      <c r="C40" s="81"/>
      <c r="D40" s="81"/>
      <c r="E40" s="81"/>
      <c r="F40" s="81"/>
      <c r="G40" s="1076"/>
      <c r="H40" s="81"/>
      <c r="I40" s="81"/>
      <c r="J40" s="81"/>
      <c r="K40" s="81"/>
      <c r="L40" s="81"/>
      <c r="M40" s="81"/>
      <c r="N40" s="81"/>
      <c r="O40" s="81"/>
      <c r="P40" s="81"/>
      <c r="Q40" s="81"/>
      <c r="R40" s="81"/>
      <c r="S40" s="81"/>
      <c r="T40" s="81"/>
      <c r="U40" s="81"/>
      <c r="V40" s="81"/>
    </row>
    <row r="41" ht="19.5" customHeight="1" spans="1:22" x14ac:dyDescent="0.25">
      <c r="A41" s="1076"/>
      <c r="B41" s="3"/>
      <c r="C41" s="3"/>
      <c r="D41" s="3"/>
      <c r="E41" s="3"/>
      <c r="F41" s="3"/>
      <c r="G41" s="3"/>
      <c r="H41" s="3"/>
      <c r="I41" s="3"/>
      <c r="J41" s="3"/>
      <c r="K41" s="3"/>
      <c r="L41" s="3"/>
      <c r="M41" s="3"/>
      <c r="N41" s="3"/>
      <c r="O41" s="3"/>
      <c r="P41" s="3"/>
      <c r="Q41" s="3"/>
      <c r="R41" s="3"/>
      <c r="S41" s="3"/>
      <c r="T41" s="3"/>
      <c r="U41" s="3"/>
      <c r="V41" s="3"/>
    </row>
    <row r="42" ht="19.5" customHeight="1" spans="1:22" x14ac:dyDescent="0.25">
      <c r="A42" s="3"/>
      <c r="B42" s="3"/>
      <c r="C42" s="3"/>
      <c r="D42" s="3"/>
      <c r="E42" s="3"/>
      <c r="F42" s="3"/>
      <c r="G42" s="3"/>
      <c r="H42" s="3"/>
      <c r="I42" s="3"/>
      <c r="J42" s="3"/>
      <c r="K42" s="3"/>
      <c r="L42" s="3"/>
      <c r="M42" s="3"/>
      <c r="N42" s="3"/>
      <c r="O42" s="3"/>
      <c r="P42" s="3"/>
      <c r="Q42" s="3"/>
      <c r="R42" s="3"/>
      <c r="S42" s="3"/>
      <c r="T42" s="3"/>
      <c r="U42" s="3"/>
      <c r="V42" s="3"/>
    </row>
    <row r="43" ht="19.5" customHeight="1" spans="1:22" x14ac:dyDescent="0.25">
      <c r="A43" s="1215" t="s">
        <v>2015</v>
      </c>
      <c r="B43" s="1215"/>
      <c r="C43" s="1215"/>
      <c r="D43" s="1215"/>
      <c r="E43" s="1215"/>
      <c r="F43" s="1215"/>
      <c r="G43" s="1215"/>
      <c r="H43" s="1215"/>
      <c r="I43" s="1215"/>
      <c r="J43" s="1215"/>
      <c r="K43" s="1215"/>
      <c r="L43" s="1218"/>
      <c r="M43" s="1217"/>
      <c r="N43" s="1215"/>
      <c r="O43" s="3"/>
      <c r="P43" s="3"/>
      <c r="Q43" s="3"/>
      <c r="R43" s="3"/>
      <c r="S43" s="3"/>
      <c r="T43" s="3"/>
      <c r="U43" s="3"/>
      <c r="V43" s="3"/>
    </row>
    <row r="44" ht="19.5" customHeight="1" spans="1:22" x14ac:dyDescent="0.25">
      <c r="A44" s="1365" t="s">
        <v>2016</v>
      </c>
      <c r="B44" s="1365"/>
      <c r="C44" s="1365"/>
      <c r="D44" s="1365"/>
      <c r="E44" s="1365"/>
      <c r="F44" s="1365"/>
      <c r="G44" s="1365"/>
      <c r="H44" s="1365" t="s">
        <v>2017</v>
      </c>
      <c r="I44" s="1365"/>
      <c r="J44" s="1365"/>
      <c r="K44" s="1365"/>
      <c r="L44" s="1365"/>
      <c r="M44" s="1365"/>
      <c r="N44" s="1365"/>
      <c r="O44" s="3"/>
      <c r="P44" s="3"/>
      <c r="Q44" s="3"/>
      <c r="R44" s="3"/>
      <c r="S44" s="3"/>
      <c r="T44" s="3"/>
      <c r="U44" s="3"/>
      <c r="V44" s="3"/>
    </row>
    <row r="45" ht="19.5" customHeight="1" spans="1:22" x14ac:dyDescent="0.25">
      <c r="A45" s="1365" t="s">
        <v>1928</v>
      </c>
      <c r="B45" s="1365"/>
      <c r="C45" s="1365"/>
      <c r="D45" s="1365"/>
      <c r="E45" s="1365"/>
      <c r="F45" s="1365"/>
      <c r="G45" s="1365"/>
      <c r="H45" s="1365" t="s">
        <v>2018</v>
      </c>
      <c r="I45" s="1365"/>
      <c r="J45" s="1365"/>
      <c r="K45" s="1365"/>
      <c r="L45" s="1365"/>
      <c r="M45" s="1365"/>
      <c r="N45" s="1365"/>
      <c r="O45" s="3"/>
      <c r="P45" s="3"/>
      <c r="Q45" s="3"/>
      <c r="R45" s="3"/>
      <c r="S45" s="3"/>
      <c r="T45" s="3"/>
      <c r="U45" s="3"/>
      <c r="V45" s="3"/>
    </row>
    <row r="46" ht="19.5" customHeight="1" spans="1:22" x14ac:dyDescent="0.25">
      <c r="A46" s="681"/>
      <c r="O46" s="3"/>
      <c r="P46" s="3"/>
      <c r="Q46" s="3"/>
      <c r="R46" s="3"/>
      <c r="S46" s="3"/>
      <c r="T46" s="3"/>
      <c r="U46" s="3"/>
      <c r="V46" s="3"/>
    </row>
    <row r="47" ht="19.5" customHeight="1" spans="1:22" x14ac:dyDescent="0.25">
      <c r="A47" s="1076"/>
      <c r="B47" s="1076"/>
      <c r="C47" s="81"/>
      <c r="D47" s="81"/>
      <c r="E47" s="81"/>
      <c r="F47" s="81"/>
      <c r="G47" s="1076"/>
      <c r="H47" s="81"/>
      <c r="I47" s="81"/>
      <c r="J47" s="81"/>
      <c r="K47" s="81"/>
      <c r="L47" s="81"/>
      <c r="M47" s="81"/>
      <c r="N47" s="81"/>
      <c r="O47" s="3"/>
      <c r="P47" s="3"/>
      <c r="Q47" s="3"/>
      <c r="R47" s="3"/>
      <c r="S47" s="3"/>
      <c r="T47" s="3"/>
      <c r="U47" s="3"/>
      <c r="V47" s="3"/>
    </row>
    <row r="48" ht="19.5" customHeight="1" spans="1:22" x14ac:dyDescent="0.25">
      <c r="A48" s="1076"/>
      <c r="B48" s="3"/>
      <c r="C48" s="3"/>
      <c r="D48" s="3"/>
      <c r="E48" s="3"/>
      <c r="F48" s="3"/>
      <c r="G48" s="3"/>
      <c r="H48" s="3"/>
      <c r="I48" s="3"/>
      <c r="J48" s="3"/>
      <c r="K48" s="3"/>
      <c r="L48" s="3"/>
      <c r="M48" s="3"/>
      <c r="N48" s="3"/>
      <c r="O48" s="3"/>
      <c r="P48" s="3"/>
      <c r="Q48" s="3"/>
      <c r="R48" s="3"/>
      <c r="S48" s="3"/>
      <c r="T48" s="3"/>
      <c r="U48" s="3"/>
      <c r="V48" s="3"/>
    </row>
    <row r="49" ht="19.5" customHeight="1" spans="1:22" x14ac:dyDescent="0.25">
      <c r="A49" s="3"/>
      <c r="B49" s="3"/>
      <c r="C49" s="3"/>
      <c r="D49" s="3"/>
      <c r="E49" s="3"/>
      <c r="F49" s="3"/>
      <c r="G49" s="3"/>
      <c r="H49" s="3"/>
      <c r="I49" s="3"/>
      <c r="J49" s="3"/>
      <c r="K49" s="3"/>
      <c r="L49" s="3"/>
      <c r="M49" s="3"/>
      <c r="N49" s="3"/>
      <c r="O49" s="3"/>
      <c r="P49" s="3"/>
      <c r="Q49" s="3"/>
      <c r="R49" s="3"/>
      <c r="S49" s="3"/>
      <c r="T49" s="3"/>
      <c r="U49" s="3"/>
      <c r="V49" s="3"/>
    </row>
    <row r="50" ht="19.5" customHeight="1" spans="1:22" x14ac:dyDescent="0.25">
      <c r="A50" s="3"/>
      <c r="B50" s="3"/>
      <c r="C50" s="3"/>
      <c r="D50" s="3"/>
      <c r="E50" s="3"/>
      <c r="F50" s="3"/>
      <c r="G50" s="3"/>
      <c r="H50" s="3"/>
      <c r="I50" s="3"/>
      <c r="J50" s="3"/>
      <c r="K50" s="3"/>
      <c r="L50" s="3"/>
      <c r="M50" s="3"/>
      <c r="N50" s="3"/>
      <c r="O50" s="3"/>
      <c r="P50" s="3"/>
      <c r="Q50" s="3"/>
      <c r="R50" s="3"/>
      <c r="S50" s="3"/>
      <c r="T50" s="3"/>
      <c r="U50" s="3"/>
      <c r="V50" s="3"/>
    </row>
    <row r="51" ht="19.5" customHeight="1" spans="1:22" x14ac:dyDescent="0.25">
      <c r="A51" s="1076"/>
      <c r="B51" s="3"/>
      <c r="C51" s="3"/>
      <c r="D51" s="3"/>
      <c r="E51" s="3"/>
      <c r="F51" s="3"/>
      <c r="G51" s="3"/>
      <c r="H51" s="3"/>
      <c r="I51" s="3"/>
      <c r="J51" s="3"/>
      <c r="K51" s="3"/>
      <c r="L51" s="3"/>
      <c r="M51" s="3"/>
      <c r="N51" s="3"/>
      <c r="O51" s="3"/>
      <c r="P51" s="3"/>
      <c r="Q51" s="3"/>
      <c r="R51" s="3"/>
      <c r="S51" s="3"/>
      <c r="T51" s="3"/>
      <c r="U51" s="3"/>
      <c r="V51" s="3"/>
    </row>
    <row r="52" ht="19.5" customHeight="1" spans="1:22" x14ac:dyDescent="0.25">
      <c r="A52" s="3"/>
      <c r="B52" s="3"/>
      <c r="C52" s="3"/>
      <c r="D52" s="3"/>
      <c r="E52" s="3"/>
      <c r="F52" s="3"/>
      <c r="G52" s="3"/>
      <c r="H52" s="3"/>
      <c r="I52" s="3"/>
      <c r="J52" s="3"/>
      <c r="K52" s="3"/>
      <c r="L52" s="3"/>
      <c r="M52" s="3"/>
      <c r="N52" s="3"/>
      <c r="O52" s="3"/>
      <c r="P52" s="3"/>
      <c r="Q52" s="3"/>
      <c r="R52" s="3"/>
      <c r="S52" s="3"/>
      <c r="T52" s="3"/>
      <c r="U52" s="3"/>
      <c r="V52" s="3"/>
    </row>
    <row r="53" ht="19.5" customHeight="1" spans="1:22" x14ac:dyDescent="0.25">
      <c r="A53" s="3"/>
      <c r="B53" s="3"/>
      <c r="C53" s="3"/>
      <c r="D53" s="3"/>
      <c r="E53" s="3"/>
      <c r="F53" s="3"/>
      <c r="G53" s="3"/>
      <c r="H53" s="3"/>
      <c r="I53" s="3"/>
      <c r="J53" s="3"/>
      <c r="K53" s="3"/>
      <c r="L53" s="3"/>
      <c r="M53" s="3"/>
      <c r="N53" s="3"/>
      <c r="O53" s="3"/>
      <c r="P53" s="3"/>
      <c r="Q53" s="3"/>
      <c r="R53" s="3"/>
      <c r="S53" s="3"/>
      <c r="T53" s="3"/>
      <c r="U53" s="3"/>
      <c r="V53" s="3"/>
    </row>
    <row r="54" ht="19.5" customHeight="1" spans="1:22" x14ac:dyDescent="0.25">
      <c r="A54" s="3"/>
      <c r="B54" s="3"/>
      <c r="C54" s="3"/>
      <c r="D54" s="3"/>
      <c r="E54" s="3"/>
      <c r="F54" s="3"/>
      <c r="G54" s="3"/>
      <c r="H54" s="3"/>
      <c r="I54" s="3"/>
      <c r="J54" s="3"/>
      <c r="K54" s="3"/>
      <c r="L54" s="3"/>
      <c r="M54" s="3"/>
      <c r="N54" s="3"/>
      <c r="O54" s="3"/>
      <c r="P54" s="3"/>
      <c r="Q54" s="3"/>
      <c r="R54" s="3"/>
      <c r="S54" s="3"/>
      <c r="T54" s="3"/>
      <c r="U54" s="3"/>
      <c r="V54" s="3"/>
    </row>
    <row r="55" ht="19.5" customHeight="1" spans="1:22" x14ac:dyDescent="0.25">
      <c r="A55" s="3"/>
      <c r="B55" s="3"/>
      <c r="C55" s="3"/>
      <c r="D55" s="3"/>
      <c r="E55" s="3"/>
      <c r="F55" s="3"/>
      <c r="G55" s="3"/>
      <c r="H55" s="3"/>
      <c r="I55" s="3"/>
      <c r="J55" s="3"/>
      <c r="K55" s="3"/>
      <c r="L55" s="3"/>
      <c r="M55" s="3"/>
      <c r="N55" s="3"/>
      <c r="O55" s="3"/>
      <c r="P55" s="3"/>
      <c r="Q55" s="3"/>
      <c r="R55" s="3"/>
      <c r="S55" s="3"/>
      <c r="T55" s="3"/>
      <c r="U55" s="3"/>
      <c r="V55" s="3"/>
    </row>
    <row r="56" ht="19.5" customHeight="1" spans="1:22" x14ac:dyDescent="0.25">
      <c r="A56" s="3"/>
      <c r="B56" s="3"/>
      <c r="C56" s="3"/>
      <c r="D56" s="3"/>
      <c r="E56" s="3"/>
      <c r="F56" s="3"/>
      <c r="G56" s="3"/>
      <c r="H56" s="3"/>
      <c r="I56" s="3"/>
      <c r="J56" s="3"/>
      <c r="K56" s="3"/>
      <c r="L56" s="3"/>
      <c r="M56" s="3"/>
      <c r="N56" s="3"/>
      <c r="O56" s="3"/>
      <c r="P56" s="3"/>
      <c r="Q56" s="3"/>
      <c r="R56" s="3"/>
      <c r="S56" s="3"/>
      <c r="T56" s="3"/>
      <c r="U56" s="3"/>
      <c r="V56" s="3"/>
    </row>
    <row r="57" ht="19.5" customHeight="1" spans="1:22" x14ac:dyDescent="0.25">
      <c r="A57" s="3"/>
      <c r="B57" s="3"/>
      <c r="C57" s="3"/>
      <c r="D57" s="3"/>
      <c r="E57" s="3"/>
      <c r="F57" s="3"/>
      <c r="G57" s="3"/>
      <c r="H57" s="3"/>
      <c r="I57" s="3"/>
      <c r="J57" s="3"/>
      <c r="K57" s="3"/>
      <c r="L57" s="3"/>
      <c r="M57" s="3"/>
      <c r="N57" s="3"/>
      <c r="O57" s="3"/>
      <c r="P57" s="3"/>
      <c r="Q57" s="3"/>
      <c r="R57" s="3"/>
      <c r="S57" s="3"/>
      <c r="T57" s="3"/>
      <c r="U57" s="3"/>
      <c r="V57" s="3"/>
    </row>
    <row r="58" ht="19.5" customHeight="1" spans="1:22" x14ac:dyDescent="0.25">
      <c r="A58" s="1076"/>
      <c r="B58" s="3"/>
      <c r="C58" s="3"/>
      <c r="D58" s="3"/>
      <c r="E58" s="3"/>
      <c r="F58" s="3"/>
      <c r="G58" s="3"/>
      <c r="H58" s="3"/>
      <c r="I58" s="3"/>
      <c r="J58" s="3"/>
      <c r="K58" s="3"/>
      <c r="L58" s="3"/>
      <c r="M58" s="3"/>
      <c r="N58" s="3"/>
      <c r="O58" s="3"/>
      <c r="P58" s="3"/>
      <c r="Q58" s="3"/>
      <c r="R58" s="3"/>
      <c r="S58" s="3"/>
      <c r="T58" s="3"/>
      <c r="U58" s="3"/>
      <c r="V58" s="3"/>
    </row>
    <row r="59" ht="19.5" customHeight="1" spans="1:22" x14ac:dyDescent="0.25">
      <c r="A59" s="3"/>
      <c r="B59" s="3"/>
      <c r="C59" s="3"/>
      <c r="D59" s="3"/>
      <c r="E59" s="3"/>
      <c r="F59" s="3"/>
      <c r="G59" s="3"/>
      <c r="H59" s="3"/>
      <c r="I59" s="3"/>
      <c r="J59" s="3"/>
      <c r="K59" s="3"/>
      <c r="L59" s="3"/>
      <c r="M59" s="3"/>
      <c r="N59" s="3"/>
      <c r="O59" s="3"/>
      <c r="P59" s="3"/>
      <c r="Q59" s="3"/>
      <c r="R59" s="3"/>
      <c r="S59" s="3"/>
      <c r="T59" s="3"/>
      <c r="U59" s="3"/>
      <c r="V59" s="3"/>
    </row>
    <row r="60" ht="19.5" customHeight="1" spans="1:22" x14ac:dyDescent="0.25">
      <c r="A60" s="3"/>
      <c r="B60" s="3"/>
      <c r="C60" s="3"/>
      <c r="D60" s="3"/>
      <c r="E60" s="3"/>
      <c r="F60" s="3"/>
      <c r="G60" s="3"/>
      <c r="H60" s="3"/>
      <c r="I60" s="3"/>
      <c r="J60" s="3"/>
      <c r="K60" s="3"/>
      <c r="L60" s="3"/>
      <c r="M60" s="3"/>
      <c r="N60" s="3"/>
      <c r="O60" s="3"/>
      <c r="P60" s="3"/>
      <c r="Q60" s="3"/>
      <c r="R60" s="3"/>
      <c r="S60" s="3"/>
      <c r="T60" s="3"/>
      <c r="U60" s="3"/>
      <c r="V60" s="3"/>
    </row>
    <row r="61" ht="19.5" customHeight="1" spans="1:22" x14ac:dyDescent="0.25">
      <c r="A61" s="3"/>
      <c r="B61" s="3"/>
      <c r="C61" s="3"/>
      <c r="D61" s="3"/>
      <c r="E61" s="3"/>
      <c r="F61" s="3"/>
      <c r="G61" s="3"/>
      <c r="H61" s="3"/>
      <c r="I61" s="3"/>
      <c r="J61" s="3"/>
      <c r="K61" s="3"/>
      <c r="L61" s="3"/>
      <c r="M61" s="3"/>
      <c r="N61" s="3"/>
      <c r="O61" s="3"/>
      <c r="P61" s="3"/>
      <c r="Q61" s="3"/>
      <c r="R61" s="3"/>
      <c r="S61" s="3"/>
      <c r="T61" s="3"/>
      <c r="U61" s="3"/>
      <c r="V61" s="3"/>
    </row>
    <row r="62" ht="19.5" customHeight="1" spans="1:22" x14ac:dyDescent="0.25">
      <c r="A62" s="3"/>
      <c r="B62" s="3"/>
      <c r="C62" s="3"/>
      <c r="D62" s="3"/>
      <c r="E62" s="3"/>
      <c r="F62" s="3"/>
      <c r="G62" s="3"/>
      <c r="H62" s="3"/>
      <c r="I62" s="3"/>
      <c r="J62" s="3"/>
      <c r="K62" s="3"/>
      <c r="L62" s="3"/>
      <c r="M62" s="3"/>
      <c r="N62" s="3"/>
      <c r="O62" s="3"/>
      <c r="P62" s="3"/>
      <c r="Q62" s="3"/>
      <c r="R62" s="3"/>
      <c r="S62" s="3"/>
      <c r="T62" s="3"/>
      <c r="U62" s="3"/>
      <c r="V62" s="3"/>
    </row>
    <row r="63" ht="19.5" customHeight="1" spans="1:22" x14ac:dyDescent="0.25">
      <c r="A63" s="3"/>
      <c r="B63" s="3"/>
      <c r="C63" s="3"/>
      <c r="D63" s="3"/>
      <c r="E63" s="3"/>
      <c r="F63" s="3"/>
      <c r="G63" s="3"/>
      <c r="H63" s="3"/>
      <c r="I63" s="3"/>
      <c r="J63" s="3"/>
      <c r="K63" s="3"/>
      <c r="L63" s="3"/>
      <c r="M63" s="3"/>
      <c r="N63" s="3"/>
      <c r="O63" s="3"/>
      <c r="P63" s="3"/>
      <c r="Q63" s="3"/>
      <c r="R63" s="3"/>
      <c r="S63" s="3"/>
      <c r="T63" s="3"/>
      <c r="U63" s="3"/>
      <c r="V63" s="3"/>
    </row>
    <row r="64" ht="19.5" customHeight="1" spans="1:22" x14ac:dyDescent="0.25">
      <c r="A64" s="3"/>
      <c r="B64" s="3"/>
      <c r="C64" s="3"/>
      <c r="D64" s="3"/>
      <c r="E64" s="3"/>
      <c r="F64" s="3"/>
      <c r="G64" s="3"/>
      <c r="H64" s="3"/>
      <c r="I64" s="3"/>
      <c r="J64" s="3"/>
      <c r="K64" s="3"/>
      <c r="L64" s="3"/>
      <c r="M64" s="3"/>
      <c r="N64" s="3"/>
      <c r="O64" s="3"/>
      <c r="P64" s="3"/>
      <c r="Q64" s="3"/>
      <c r="R64" s="3"/>
      <c r="S64" s="3"/>
      <c r="T64" s="3"/>
      <c r="U64" s="3"/>
      <c r="V64" s="3"/>
    </row>
    <row r="65" ht="19.5" customHeight="1" spans="1:22" x14ac:dyDescent="0.25">
      <c r="A65" s="3"/>
      <c r="B65" s="3"/>
      <c r="C65" s="3"/>
      <c r="D65" s="3"/>
      <c r="E65" s="3"/>
      <c r="F65" s="3"/>
      <c r="G65" s="3"/>
      <c r="H65" s="3"/>
      <c r="I65" s="3"/>
      <c r="J65" s="3"/>
      <c r="K65" s="3"/>
      <c r="L65" s="3"/>
      <c r="M65" s="3"/>
      <c r="N65" s="3"/>
      <c r="O65" s="3"/>
      <c r="P65" s="3"/>
      <c r="Q65" s="3"/>
      <c r="R65" s="3"/>
      <c r="S65" s="3"/>
      <c r="T65" s="3"/>
      <c r="U65" s="3"/>
      <c r="V65" s="3"/>
    </row>
    <row r="66" ht="19.5" customHeight="1" spans="1:22" x14ac:dyDescent="0.25">
      <c r="A66" s="3"/>
      <c r="B66" s="3"/>
      <c r="C66" s="3"/>
      <c r="D66" s="3"/>
      <c r="E66" s="3"/>
      <c r="F66" s="3"/>
      <c r="G66" s="3"/>
      <c r="H66" s="3"/>
      <c r="I66" s="3"/>
      <c r="J66" s="3"/>
      <c r="K66" s="3"/>
      <c r="L66" s="3"/>
      <c r="M66" s="3"/>
      <c r="N66" s="3"/>
      <c r="O66" s="3"/>
      <c r="P66" s="3"/>
      <c r="Q66" s="3"/>
      <c r="R66" s="3"/>
      <c r="S66" s="3"/>
      <c r="T66" s="3"/>
      <c r="U66" s="3"/>
      <c r="V66" s="3"/>
    </row>
    <row r="67" ht="20.25" customHeight="1" spans="1:22" x14ac:dyDescent="0.25">
      <c r="A67" s="1076"/>
      <c r="B67" s="1076"/>
      <c r="C67" s="3"/>
      <c r="D67" s="3"/>
      <c r="E67" s="3"/>
      <c r="F67" s="3"/>
      <c r="G67" s="3"/>
      <c r="H67" s="3"/>
      <c r="I67" s="3"/>
      <c r="J67" s="3"/>
      <c r="K67" s="3"/>
      <c r="L67" s="3"/>
      <c r="M67" s="3"/>
      <c r="N67" s="3"/>
      <c r="O67" s="3"/>
      <c r="P67" s="3"/>
      <c r="Q67" s="3"/>
      <c r="R67" s="3"/>
      <c r="S67" s="3"/>
      <c r="T67" s="3"/>
      <c r="U67" s="3"/>
      <c r="V67" s="3"/>
    </row>
    <row r="68" ht="20.25" customHeight="1" spans="1:22" x14ac:dyDescent="0.25">
      <c r="A68" s="3"/>
      <c r="B68" s="3"/>
      <c r="C68" s="3"/>
      <c r="D68" s="3"/>
      <c r="E68" s="3"/>
      <c r="F68" s="3"/>
      <c r="G68" s="3"/>
      <c r="H68" s="3"/>
      <c r="I68" s="3"/>
      <c r="J68" s="3"/>
      <c r="K68" s="3"/>
      <c r="L68" s="3"/>
      <c r="M68" s="3"/>
      <c r="N68" s="3"/>
      <c r="O68" s="3"/>
      <c r="P68" s="3"/>
      <c r="Q68" s="3"/>
      <c r="R68" s="3"/>
      <c r="S68" s="3"/>
      <c r="T68" s="3"/>
      <c r="U68" s="3"/>
      <c r="V68" s="3"/>
    </row>
    <row r="69" ht="20.25" customHeight="1" spans="1:22" x14ac:dyDescent="0.25">
      <c r="A69" s="3"/>
      <c r="B69" s="3"/>
      <c r="C69" s="3"/>
      <c r="D69" s="3"/>
      <c r="E69" s="3"/>
      <c r="F69" s="3"/>
      <c r="G69" s="3"/>
      <c r="H69" s="3"/>
      <c r="I69" s="3"/>
      <c r="J69" s="3"/>
      <c r="K69" s="3"/>
      <c r="L69" s="3"/>
      <c r="M69" s="3"/>
      <c r="N69" s="3"/>
      <c r="O69" s="3"/>
      <c r="P69" s="3"/>
      <c r="Q69" s="3"/>
      <c r="R69" s="3"/>
      <c r="S69" s="3"/>
      <c r="T69" s="3"/>
      <c r="U69" s="3"/>
      <c r="V69" s="3"/>
    </row>
    <row r="70" ht="20.25" customHeight="1" spans="1:22" x14ac:dyDescent="0.25">
      <c r="A70" s="3"/>
      <c r="B70" s="3"/>
      <c r="C70" s="3"/>
      <c r="D70" s="3"/>
      <c r="E70" s="3"/>
      <c r="F70" s="3"/>
      <c r="G70" s="3"/>
      <c r="H70" s="3"/>
      <c r="I70" s="3"/>
      <c r="J70" s="3"/>
      <c r="K70" s="3"/>
      <c r="L70" s="3"/>
      <c r="M70" s="3"/>
      <c r="N70" s="3"/>
      <c r="O70" s="3"/>
      <c r="P70" s="3"/>
      <c r="Q70" s="3"/>
      <c r="R70" s="3"/>
      <c r="S70" s="3"/>
      <c r="T70" s="3"/>
      <c r="U70" s="3"/>
      <c r="V70" s="3"/>
    </row>
    <row r="71" ht="20.25" customHeight="1" spans="1:22" x14ac:dyDescent="0.25">
      <c r="A71" s="3"/>
      <c r="B71" s="3"/>
      <c r="C71" s="3"/>
      <c r="D71" s="3"/>
      <c r="E71" s="3"/>
      <c r="F71" s="3"/>
      <c r="G71" s="3"/>
      <c r="H71" s="3"/>
      <c r="I71" s="3"/>
      <c r="J71" s="3"/>
      <c r="K71" s="3"/>
      <c r="L71" s="3"/>
      <c r="M71" s="3"/>
      <c r="N71" s="3"/>
      <c r="O71" s="3"/>
      <c r="P71" s="3"/>
      <c r="Q71" s="3"/>
      <c r="R71" s="3"/>
      <c r="S71" s="3"/>
      <c r="T71" s="3"/>
      <c r="U71" s="3"/>
      <c r="V71" s="3"/>
    </row>
    <row r="72" ht="20.25" customHeight="1" spans="1:22" x14ac:dyDescent="0.25">
      <c r="A72" s="3"/>
      <c r="B72" s="3"/>
      <c r="C72" s="3"/>
      <c r="D72" s="3"/>
      <c r="E72" s="3"/>
      <c r="F72" s="3"/>
      <c r="G72" s="3"/>
      <c r="H72" s="3"/>
      <c r="I72" s="3"/>
      <c r="J72" s="3"/>
      <c r="K72" s="3"/>
      <c r="L72" s="3"/>
      <c r="M72" s="3"/>
      <c r="N72" s="3"/>
      <c r="O72" s="3"/>
      <c r="P72" s="3"/>
      <c r="Q72" s="3"/>
      <c r="R72" s="3"/>
      <c r="S72" s="3"/>
      <c r="T72" s="3"/>
      <c r="U72" s="3"/>
      <c r="V72" s="3"/>
    </row>
    <row r="73" ht="20.25" customHeight="1" spans="1:22" x14ac:dyDescent="0.25">
      <c r="A73" s="3"/>
      <c r="B73" s="3"/>
      <c r="C73" s="3"/>
      <c r="D73" s="3"/>
      <c r="E73" s="3"/>
      <c r="F73" s="3"/>
      <c r="G73" s="3"/>
      <c r="H73" s="3"/>
      <c r="I73" s="3"/>
      <c r="J73" s="3"/>
      <c r="K73" s="3"/>
      <c r="L73" s="3"/>
      <c r="M73" s="3"/>
      <c r="N73" s="3"/>
      <c r="O73" s="3"/>
      <c r="P73" s="3"/>
      <c r="Q73" s="3"/>
      <c r="R73" s="3"/>
      <c r="S73" s="3"/>
      <c r="T73" s="3"/>
      <c r="U73" s="3"/>
      <c r="V73" s="3"/>
    </row>
    <row r="74" ht="20.25" customHeight="1" spans="1:22" x14ac:dyDescent="0.25">
      <c r="A74" s="3"/>
      <c r="B74" s="3"/>
      <c r="C74" s="3"/>
      <c r="D74" s="3"/>
      <c r="E74" s="3"/>
      <c r="F74" s="3"/>
      <c r="G74" s="3"/>
      <c r="H74" s="3"/>
      <c r="I74" s="3"/>
      <c r="J74" s="3"/>
      <c r="K74" s="3"/>
      <c r="L74" s="3"/>
      <c r="M74" s="3"/>
      <c r="N74" s="3"/>
      <c r="O74" s="3"/>
      <c r="P74" s="3"/>
      <c r="Q74" s="3"/>
      <c r="R74" s="3"/>
      <c r="S74" s="3"/>
      <c r="T74" s="3"/>
      <c r="U74" s="3"/>
      <c r="V74" s="3"/>
    </row>
    <row r="75" ht="20.25" customHeight="1" spans="1:22" x14ac:dyDescent="0.25">
      <c r="A75" s="3"/>
      <c r="B75" s="3"/>
      <c r="C75" s="3"/>
      <c r="D75" s="3"/>
      <c r="E75" s="3"/>
      <c r="F75" s="3"/>
      <c r="G75" s="3"/>
      <c r="H75" s="3"/>
      <c r="I75" s="3"/>
      <c r="J75" s="3"/>
      <c r="K75" s="3"/>
      <c r="L75" s="3"/>
      <c r="M75" s="3"/>
      <c r="N75" s="3"/>
      <c r="O75" s="3"/>
      <c r="P75" s="3"/>
      <c r="Q75" s="3"/>
      <c r="R75" s="3"/>
      <c r="S75" s="3"/>
      <c r="T75" s="3"/>
      <c r="U75" s="3"/>
      <c r="V75" s="3"/>
    </row>
    <row r="76" ht="20.25" customHeight="1" spans="1:22" x14ac:dyDescent="0.25">
      <c r="A76" s="1076"/>
      <c r="B76" s="3"/>
      <c r="C76" s="3"/>
      <c r="D76" s="3"/>
      <c r="E76" s="3"/>
      <c r="F76" s="3"/>
      <c r="G76" s="3"/>
      <c r="H76" s="3"/>
      <c r="I76" s="3"/>
      <c r="J76" s="3"/>
      <c r="K76" s="3"/>
      <c r="L76" s="3"/>
      <c r="M76" s="3"/>
      <c r="N76" s="3"/>
      <c r="O76" s="3"/>
      <c r="P76" s="3"/>
      <c r="Q76" s="3"/>
      <c r="R76" s="3"/>
      <c r="S76" s="3"/>
      <c r="T76" s="3"/>
      <c r="U76" s="3"/>
      <c r="V76" s="3"/>
    </row>
    <row r="77" ht="20.25" customHeight="1" spans="1:22" x14ac:dyDescent="0.25">
      <c r="A77" s="3"/>
      <c r="B77" s="3"/>
      <c r="C77" s="3"/>
      <c r="D77" s="3"/>
      <c r="E77" s="3"/>
      <c r="F77" s="3"/>
      <c r="G77" s="3"/>
      <c r="H77" s="3"/>
      <c r="I77" s="3"/>
      <c r="J77" s="3"/>
      <c r="K77" s="3"/>
      <c r="L77" s="3"/>
      <c r="M77" s="3"/>
      <c r="N77" s="3"/>
      <c r="O77" s="3"/>
      <c r="P77" s="3"/>
      <c r="Q77" s="3"/>
      <c r="R77" s="3"/>
      <c r="S77" s="3"/>
      <c r="T77" s="3"/>
      <c r="U77" s="3"/>
      <c r="V77" s="3"/>
    </row>
    <row r="78" ht="20.25" customHeight="1" spans="1:22" x14ac:dyDescent="0.25">
      <c r="A78" s="3"/>
      <c r="B78" s="3"/>
      <c r="C78" s="3"/>
      <c r="D78" s="3"/>
      <c r="E78" s="3"/>
      <c r="F78" s="3"/>
      <c r="G78" s="3"/>
      <c r="H78" s="3"/>
      <c r="I78" s="3"/>
      <c r="J78" s="3"/>
      <c r="K78" s="3"/>
      <c r="L78" s="3"/>
      <c r="M78" s="3"/>
      <c r="N78" s="3"/>
      <c r="O78" s="3"/>
      <c r="P78" s="3"/>
      <c r="Q78" s="3"/>
      <c r="R78" s="3"/>
      <c r="S78" s="3"/>
      <c r="T78" s="3"/>
      <c r="U78" s="3"/>
      <c r="V78" s="3"/>
    </row>
    <row r="79" ht="20.25" customHeight="1" spans="1:22" x14ac:dyDescent="0.25">
      <c r="A79" s="3"/>
      <c r="B79" s="3"/>
      <c r="C79" s="3"/>
      <c r="D79" s="3"/>
      <c r="E79" s="3"/>
      <c r="F79" s="3"/>
      <c r="G79" s="3"/>
      <c r="H79" s="3"/>
      <c r="I79" s="3"/>
      <c r="J79" s="3"/>
      <c r="K79" s="3"/>
      <c r="L79" s="3"/>
      <c r="M79" s="3"/>
      <c r="N79" s="3"/>
      <c r="O79" s="3"/>
      <c r="P79" s="3"/>
      <c r="Q79" s="3"/>
      <c r="R79" s="3"/>
      <c r="S79" s="3"/>
      <c r="T79" s="3"/>
      <c r="U79" s="3"/>
      <c r="V79" s="3"/>
    </row>
    <row r="80" ht="20.25" customHeight="1" spans="1:22" x14ac:dyDescent="0.25">
      <c r="A80" s="3"/>
      <c r="B80" s="3"/>
      <c r="C80" s="3"/>
      <c r="D80" s="3"/>
      <c r="E80" s="3"/>
      <c r="F80" s="3"/>
      <c r="G80" s="3"/>
      <c r="H80" s="3"/>
      <c r="I80" s="3"/>
      <c r="J80" s="3"/>
      <c r="K80" s="3"/>
      <c r="L80" s="3"/>
      <c r="M80" s="3"/>
      <c r="N80" s="3"/>
      <c r="O80" s="3"/>
      <c r="P80" s="3"/>
      <c r="Q80" s="3"/>
      <c r="R80" s="3"/>
      <c r="S80" s="3"/>
      <c r="T80" s="3"/>
      <c r="U80" s="3"/>
      <c r="V80" s="3"/>
    </row>
    <row r="81" ht="20.25" customHeight="1" spans="1:22" x14ac:dyDescent="0.25">
      <c r="A81" s="3"/>
      <c r="B81" s="3"/>
      <c r="C81" s="3"/>
      <c r="D81" s="3"/>
      <c r="E81" s="3"/>
      <c r="F81" s="3"/>
      <c r="G81" s="3"/>
      <c r="H81" s="3"/>
      <c r="I81" s="3"/>
      <c r="J81" s="3"/>
      <c r="K81" s="3"/>
      <c r="L81" s="3"/>
      <c r="M81" s="3"/>
      <c r="N81" s="3"/>
      <c r="O81" s="3"/>
      <c r="P81" s="3"/>
      <c r="Q81" s="3"/>
      <c r="R81" s="3"/>
      <c r="S81" s="3"/>
      <c r="T81" s="3"/>
      <c r="U81" s="3"/>
      <c r="V81" s="3"/>
    </row>
    <row r="82" ht="20.25" customHeight="1" spans="1:22" x14ac:dyDescent="0.25">
      <c r="A82" s="3"/>
      <c r="B82" s="3"/>
      <c r="C82" s="3"/>
      <c r="D82" s="3"/>
      <c r="E82" s="3"/>
      <c r="F82" s="3"/>
      <c r="G82" s="3"/>
      <c r="H82" s="3"/>
      <c r="I82" s="3"/>
      <c r="J82" s="3"/>
      <c r="K82" s="3"/>
      <c r="L82" s="3"/>
      <c r="M82" s="3"/>
      <c r="N82" s="3"/>
      <c r="O82" s="3"/>
      <c r="P82" s="3"/>
      <c r="Q82" s="3"/>
      <c r="R82" s="3"/>
      <c r="S82" s="3"/>
      <c r="T82" s="3"/>
      <c r="U82" s="3"/>
      <c r="V82" s="3"/>
    </row>
    <row r="83" ht="20.25" customHeight="1" spans="1:22" x14ac:dyDescent="0.25">
      <c r="A83" s="3"/>
      <c r="B83" s="3"/>
      <c r="C83" s="3"/>
      <c r="D83" s="3"/>
      <c r="E83" s="3"/>
      <c r="F83" s="3"/>
      <c r="G83" s="3"/>
      <c r="H83" s="3"/>
      <c r="I83" s="3"/>
      <c r="J83" s="3"/>
      <c r="K83" s="3"/>
      <c r="L83" s="3"/>
      <c r="M83" s="3"/>
      <c r="N83" s="3"/>
      <c r="O83" s="3"/>
      <c r="P83" s="3"/>
      <c r="Q83" s="3"/>
      <c r="R83" s="3"/>
      <c r="S83" s="3"/>
      <c r="T83" s="3"/>
      <c r="U83" s="3"/>
      <c r="V83" s="3"/>
    </row>
    <row r="84" ht="20.25" customHeight="1" spans="1:22" x14ac:dyDescent="0.25">
      <c r="A84" s="3"/>
      <c r="B84" s="3"/>
      <c r="C84" s="3"/>
      <c r="D84" s="3"/>
      <c r="E84" s="3"/>
      <c r="F84" s="3"/>
      <c r="G84" s="3"/>
      <c r="H84" s="3"/>
      <c r="I84" s="3"/>
      <c r="J84" s="3"/>
      <c r="K84" s="3"/>
      <c r="L84" s="3"/>
      <c r="M84" s="3"/>
      <c r="N84" s="3"/>
      <c r="O84" s="3"/>
      <c r="P84" s="3"/>
      <c r="Q84" s="3"/>
      <c r="R84" s="3"/>
      <c r="S84" s="3"/>
      <c r="T84" s="3"/>
      <c r="U84" s="3"/>
      <c r="V84" s="3"/>
    </row>
    <row r="85" ht="20.25" customHeight="1" spans="1:22" x14ac:dyDescent="0.25">
      <c r="A85" s="3"/>
      <c r="B85" s="3"/>
      <c r="C85" s="3"/>
      <c r="D85" s="3"/>
      <c r="E85" s="3"/>
      <c r="F85" s="3"/>
      <c r="G85" s="3"/>
      <c r="H85" s="3"/>
      <c r="I85" s="3"/>
      <c r="J85" s="3"/>
      <c r="K85" s="3"/>
      <c r="L85" s="3"/>
      <c r="M85" s="3"/>
      <c r="N85" s="3"/>
      <c r="O85" s="3"/>
      <c r="P85" s="3"/>
      <c r="Q85" s="3"/>
      <c r="R85" s="3"/>
      <c r="S85" s="3"/>
      <c r="T85" s="3"/>
      <c r="U85" s="3"/>
      <c r="V85" s="3"/>
    </row>
    <row r="86" ht="20.25" customHeight="1" spans="1:22" x14ac:dyDescent="0.25">
      <c r="A86" s="3"/>
      <c r="B86" s="3"/>
      <c r="C86" s="3"/>
      <c r="D86" s="3"/>
      <c r="E86" s="3"/>
      <c r="F86" s="3"/>
      <c r="G86" s="3"/>
      <c r="H86" s="3"/>
      <c r="I86" s="3"/>
      <c r="J86" s="3"/>
      <c r="K86" s="3"/>
      <c r="L86" s="3"/>
      <c r="M86" s="3"/>
      <c r="N86" s="3"/>
      <c r="O86" s="3"/>
      <c r="P86" s="3"/>
      <c r="Q86" s="3"/>
      <c r="R86" s="3"/>
      <c r="S86" s="3"/>
      <c r="T86" s="3"/>
      <c r="U86" s="3"/>
      <c r="V86" s="3"/>
    </row>
    <row r="87" ht="20.25" customHeight="1" spans="1:22" x14ac:dyDescent="0.25">
      <c r="A87" s="3"/>
      <c r="B87" s="3"/>
      <c r="C87" s="3"/>
      <c r="D87" s="3"/>
      <c r="E87" s="3"/>
      <c r="F87" s="3"/>
      <c r="G87" s="3"/>
      <c r="H87" s="3"/>
      <c r="I87" s="3"/>
      <c r="J87" s="3"/>
      <c r="K87" s="3"/>
      <c r="L87" s="3"/>
      <c r="M87" s="3"/>
      <c r="N87" s="3"/>
      <c r="O87" s="3"/>
      <c r="P87" s="3"/>
      <c r="Q87" s="3"/>
      <c r="R87" s="3"/>
      <c r="S87" s="3"/>
      <c r="T87" s="3"/>
      <c r="U87" s="3"/>
      <c r="V87" s="3"/>
    </row>
    <row r="88" ht="20.25" customHeight="1" spans="1:22" x14ac:dyDescent="0.25">
      <c r="A88" s="3"/>
      <c r="B88" s="3"/>
      <c r="C88" s="3"/>
      <c r="D88" s="3"/>
      <c r="E88" s="3"/>
      <c r="F88" s="3"/>
      <c r="G88" s="3"/>
      <c r="H88" s="3"/>
      <c r="I88" s="3"/>
      <c r="J88" s="3"/>
      <c r="K88" s="3"/>
      <c r="L88" s="3"/>
      <c r="M88" s="3"/>
      <c r="N88" s="3"/>
      <c r="O88" s="3"/>
      <c r="P88" s="3"/>
      <c r="Q88" s="3"/>
      <c r="R88" s="3"/>
      <c r="S88" s="3"/>
      <c r="T88" s="3"/>
      <c r="U88" s="3"/>
      <c r="V88" s="3"/>
    </row>
    <row r="89" ht="20.25" customHeight="1" spans="1:22" x14ac:dyDescent="0.25">
      <c r="A89" s="3"/>
      <c r="B89" s="3"/>
      <c r="C89" s="3"/>
      <c r="D89" s="3"/>
      <c r="E89" s="3"/>
      <c r="F89" s="3"/>
      <c r="G89" s="3"/>
      <c r="H89" s="3"/>
      <c r="I89" s="3"/>
      <c r="J89" s="3"/>
      <c r="K89" s="3"/>
      <c r="L89" s="3"/>
      <c r="M89" s="3"/>
      <c r="N89" s="3"/>
      <c r="O89" s="3"/>
      <c r="P89" s="3"/>
      <c r="Q89" s="3"/>
      <c r="R89" s="3"/>
      <c r="S89" s="3"/>
      <c r="T89" s="3"/>
      <c r="U89" s="3"/>
      <c r="V89" s="3"/>
    </row>
    <row r="90" ht="20.25" customHeight="1" spans="1:22" x14ac:dyDescent="0.25">
      <c r="A90" s="3"/>
      <c r="B90" s="3"/>
      <c r="C90" s="3"/>
      <c r="D90" s="3"/>
      <c r="E90" s="3"/>
      <c r="F90" s="3"/>
      <c r="G90" s="3"/>
      <c r="H90" s="3"/>
      <c r="I90" s="3"/>
      <c r="J90" s="3"/>
      <c r="K90" s="3"/>
      <c r="L90" s="3"/>
      <c r="M90" s="3"/>
      <c r="N90" s="3"/>
      <c r="O90" s="3"/>
      <c r="P90" s="3"/>
      <c r="Q90" s="3"/>
      <c r="R90" s="3"/>
      <c r="S90" s="3"/>
      <c r="T90" s="3"/>
      <c r="U90" s="3"/>
      <c r="V90" s="3"/>
    </row>
    <row r="91" ht="20.25" customHeight="1" spans="1:22" x14ac:dyDescent="0.25">
      <c r="A91" s="3"/>
      <c r="B91" s="3"/>
      <c r="C91" s="3"/>
      <c r="D91" s="3"/>
      <c r="E91" s="3"/>
      <c r="F91" s="3"/>
      <c r="G91" s="3"/>
      <c r="H91" s="3"/>
      <c r="I91" s="3"/>
      <c r="J91" s="3"/>
      <c r="K91" s="3"/>
      <c r="L91" s="3"/>
      <c r="M91" s="3"/>
      <c r="N91" s="3"/>
      <c r="O91" s="3"/>
      <c r="P91" s="3"/>
      <c r="Q91" s="3"/>
      <c r="R91" s="3"/>
      <c r="S91" s="3"/>
      <c r="T91" s="3"/>
      <c r="U91" s="3"/>
      <c r="V91" s="3"/>
    </row>
    <row r="92" ht="20.25" customHeight="1" spans="1:22" x14ac:dyDescent="0.25">
      <c r="A92" s="3"/>
      <c r="B92" s="3"/>
      <c r="C92" s="3"/>
      <c r="D92" s="3"/>
      <c r="E92" s="3"/>
      <c r="F92" s="3"/>
      <c r="G92" s="3"/>
      <c r="H92" s="3"/>
      <c r="I92" s="3"/>
      <c r="J92" s="3"/>
      <c r="K92" s="3"/>
      <c r="L92" s="3"/>
      <c r="M92" s="3"/>
      <c r="N92" s="3"/>
      <c r="O92" s="3"/>
      <c r="P92" s="3"/>
      <c r="Q92" s="3"/>
      <c r="R92" s="3"/>
      <c r="S92" s="3"/>
      <c r="T92" s="3"/>
      <c r="U92" s="3"/>
      <c r="V92" s="3"/>
    </row>
    <row r="93" ht="20.25" customHeight="1" spans="1:22" x14ac:dyDescent="0.25">
      <c r="A93" s="3"/>
      <c r="B93" s="3"/>
      <c r="C93" s="3"/>
      <c r="D93" s="3"/>
      <c r="E93" s="3"/>
      <c r="F93" s="3"/>
      <c r="G93" s="3"/>
      <c r="H93" s="3"/>
      <c r="I93" s="3"/>
      <c r="J93" s="3"/>
      <c r="K93" s="3"/>
      <c r="L93" s="3"/>
      <c r="M93" s="3"/>
      <c r="N93" s="3"/>
      <c r="O93" s="3"/>
      <c r="P93" s="3"/>
      <c r="Q93" s="3"/>
      <c r="R93" s="3"/>
      <c r="S93" s="3"/>
      <c r="T93" s="3"/>
      <c r="U93" s="3"/>
      <c r="V93" s="3"/>
    </row>
    <row r="94" ht="20.25" customHeight="1" spans="1:22" x14ac:dyDescent="0.25">
      <c r="A94" s="1076"/>
      <c r="B94" s="3"/>
      <c r="C94" s="3"/>
      <c r="D94" s="3"/>
      <c r="E94" s="3"/>
      <c r="F94" s="3"/>
      <c r="G94" s="3"/>
      <c r="H94" s="3"/>
      <c r="I94" s="3"/>
      <c r="J94" s="3"/>
      <c r="K94" s="3"/>
      <c r="L94" s="3"/>
      <c r="M94" s="3"/>
      <c r="N94" s="3"/>
      <c r="O94" s="3"/>
      <c r="P94" s="3"/>
      <c r="Q94" s="3"/>
      <c r="R94" s="3"/>
      <c r="S94" s="3"/>
      <c r="T94" s="3"/>
      <c r="U94" s="3"/>
      <c r="V94" s="3"/>
    </row>
    <row r="95" ht="20.25" customHeight="1" spans="1:22" x14ac:dyDescent="0.25">
      <c r="A95" s="3"/>
      <c r="B95" s="3"/>
      <c r="C95" s="3"/>
      <c r="D95" s="3"/>
      <c r="E95" s="3"/>
      <c r="F95" s="3"/>
      <c r="G95" s="3"/>
      <c r="H95" s="3"/>
      <c r="I95" s="3"/>
      <c r="J95" s="3"/>
      <c r="K95" s="3"/>
      <c r="L95" s="3"/>
      <c r="M95" s="3"/>
      <c r="N95" s="3"/>
      <c r="O95" s="3"/>
      <c r="P95" s="3"/>
      <c r="Q95" s="3"/>
      <c r="R95" s="3"/>
      <c r="S95" s="3"/>
      <c r="T95" s="3"/>
      <c r="U95" s="3"/>
      <c r="V95" s="3"/>
    </row>
    <row r="96" ht="20.25" customHeight="1" spans="1:22" x14ac:dyDescent="0.25">
      <c r="A96" s="3"/>
      <c r="B96" s="3"/>
      <c r="C96" s="3"/>
      <c r="D96" s="3"/>
      <c r="E96" s="3"/>
      <c r="F96" s="3"/>
      <c r="G96" s="3"/>
      <c r="H96" s="3"/>
      <c r="I96" s="3"/>
      <c r="J96" s="3"/>
      <c r="K96" s="3"/>
      <c r="L96" s="3"/>
      <c r="M96" s="3"/>
      <c r="N96" s="3"/>
      <c r="O96" s="3"/>
      <c r="P96" s="3"/>
      <c r="Q96" s="3"/>
      <c r="R96" s="3"/>
      <c r="S96" s="3"/>
      <c r="T96" s="3"/>
      <c r="U96" s="3"/>
      <c r="V96" s="3"/>
    </row>
    <row r="97" ht="20.25" customHeight="1" spans="1:22" x14ac:dyDescent="0.25">
      <c r="A97" s="3"/>
      <c r="B97" s="3"/>
      <c r="C97" s="3"/>
      <c r="D97" s="3"/>
      <c r="E97" s="3"/>
      <c r="F97" s="3"/>
      <c r="G97" s="3"/>
      <c r="H97" s="3"/>
      <c r="I97" s="3"/>
      <c r="J97" s="3"/>
      <c r="K97" s="3"/>
      <c r="L97" s="3"/>
      <c r="M97" s="3"/>
      <c r="N97" s="3"/>
      <c r="O97" s="3"/>
      <c r="P97" s="3"/>
      <c r="Q97" s="3"/>
      <c r="R97" s="3"/>
      <c r="S97" s="3"/>
      <c r="T97" s="3"/>
      <c r="U97" s="3"/>
      <c r="V97" s="3"/>
    </row>
    <row r="98" ht="20.25" customHeight="1" spans="1:22" x14ac:dyDescent="0.25">
      <c r="A98" s="3"/>
      <c r="B98" s="3"/>
      <c r="C98" s="3"/>
      <c r="D98" s="3"/>
      <c r="E98" s="3"/>
      <c r="F98" s="3"/>
      <c r="G98" s="3"/>
      <c r="H98" s="3"/>
      <c r="I98" s="3"/>
      <c r="J98" s="3"/>
      <c r="K98" s="3"/>
      <c r="L98" s="3"/>
      <c r="M98" s="3"/>
      <c r="N98" s="3"/>
      <c r="O98" s="3"/>
      <c r="P98" s="3"/>
      <c r="Q98" s="3"/>
      <c r="R98" s="3"/>
      <c r="S98" s="3"/>
      <c r="T98" s="3"/>
      <c r="U98" s="3"/>
      <c r="V98" s="3"/>
    </row>
    <row r="99" ht="20.25" customHeight="1" spans="1:22" x14ac:dyDescent="0.25">
      <c r="A99" s="3"/>
      <c r="B99" s="3"/>
      <c r="C99" s="3"/>
      <c r="D99" s="3"/>
      <c r="E99" s="3"/>
      <c r="F99" s="3"/>
      <c r="G99" s="3"/>
      <c r="H99" s="3"/>
      <c r="I99" s="3"/>
      <c r="J99" s="3"/>
      <c r="K99" s="3"/>
      <c r="L99" s="3"/>
      <c r="M99" s="3"/>
      <c r="N99" s="3"/>
      <c r="O99" s="3"/>
      <c r="P99" s="3"/>
      <c r="Q99" s="3"/>
      <c r="R99" s="3"/>
      <c r="S99" s="3"/>
      <c r="T99" s="3"/>
      <c r="U99" s="3"/>
      <c r="V99" s="3"/>
    </row>
    <row r="100" ht="20.25" customHeight="1" spans="1:22" x14ac:dyDescent="0.25">
      <c r="A100" s="3"/>
      <c r="B100" s="3"/>
      <c r="C100" s="3"/>
      <c r="D100" s="3"/>
      <c r="E100" s="3"/>
      <c r="F100" s="3"/>
      <c r="G100" s="3"/>
      <c r="H100" s="3"/>
      <c r="I100" s="3"/>
      <c r="J100" s="3"/>
      <c r="K100" s="3"/>
      <c r="L100" s="3"/>
      <c r="M100" s="3"/>
      <c r="N100" s="3"/>
      <c r="O100" s="3"/>
      <c r="P100" s="3"/>
      <c r="Q100" s="3"/>
      <c r="R100" s="3"/>
      <c r="S100" s="3"/>
      <c r="T100" s="3"/>
      <c r="U100" s="3"/>
      <c r="V100" s="3"/>
    </row>
    <row r="101" ht="20.25" customHeight="1" spans="1:22" x14ac:dyDescent="0.25">
      <c r="A101" s="3"/>
      <c r="B101" s="3"/>
      <c r="C101" s="3"/>
      <c r="D101" s="3"/>
      <c r="E101" s="3"/>
      <c r="F101" s="3"/>
      <c r="G101" s="3"/>
      <c r="H101" s="3"/>
      <c r="I101" s="3"/>
      <c r="J101" s="3"/>
      <c r="K101" s="3"/>
      <c r="L101" s="3"/>
      <c r="M101" s="3"/>
      <c r="N101" s="3"/>
      <c r="O101" s="3"/>
      <c r="P101" s="3"/>
      <c r="Q101" s="3"/>
      <c r="R101" s="3"/>
      <c r="S101" s="3"/>
      <c r="T101" s="3"/>
      <c r="U101" s="3"/>
      <c r="V101" s="3"/>
    </row>
    <row r="102" ht="20.25" customHeight="1" spans="1:22" x14ac:dyDescent="0.25">
      <c r="A102" s="3"/>
      <c r="B102" s="3"/>
      <c r="C102" s="3"/>
      <c r="D102" s="3"/>
      <c r="E102" s="3"/>
      <c r="F102" s="3"/>
      <c r="G102" s="3"/>
      <c r="H102" s="3"/>
      <c r="I102" s="3"/>
      <c r="J102" s="3"/>
      <c r="K102" s="3"/>
      <c r="L102" s="3"/>
      <c r="M102" s="3"/>
      <c r="N102" s="3"/>
      <c r="O102" s="3"/>
      <c r="P102" s="3"/>
      <c r="Q102" s="3"/>
      <c r="R102" s="3"/>
      <c r="S102" s="3"/>
      <c r="T102" s="3"/>
      <c r="U102" s="3"/>
      <c r="V102" s="3"/>
    </row>
    <row r="103" ht="20.25" customHeight="1" spans="1:22" x14ac:dyDescent="0.25">
      <c r="A103" s="3"/>
      <c r="B103" s="3"/>
      <c r="C103" s="3"/>
      <c r="D103" s="3"/>
      <c r="E103" s="3"/>
      <c r="F103" s="3"/>
      <c r="G103" s="3"/>
      <c r="H103" s="3"/>
      <c r="I103" s="3"/>
      <c r="J103" s="3"/>
      <c r="K103" s="3"/>
      <c r="L103" s="3"/>
      <c r="M103" s="3"/>
      <c r="N103" s="3"/>
      <c r="O103" s="3"/>
      <c r="P103" s="3"/>
      <c r="Q103" s="3"/>
      <c r="R103" s="3"/>
      <c r="S103" s="3"/>
      <c r="T103" s="3"/>
      <c r="U103" s="3"/>
      <c r="V103" s="3"/>
    </row>
    <row r="104" ht="20.25" customHeight="1" spans="1:22" x14ac:dyDescent="0.25">
      <c r="A104" s="3"/>
      <c r="B104" s="3"/>
      <c r="C104" s="3"/>
      <c r="D104" s="3"/>
      <c r="E104" s="3"/>
      <c r="F104" s="3"/>
      <c r="G104" s="3"/>
      <c r="H104" s="3"/>
      <c r="I104" s="3"/>
      <c r="J104" s="3"/>
      <c r="K104" s="3"/>
      <c r="L104" s="3"/>
      <c r="M104" s="3"/>
      <c r="N104" s="3"/>
      <c r="O104" s="3"/>
      <c r="P104" s="3"/>
      <c r="Q104" s="3"/>
      <c r="R104" s="3"/>
      <c r="S104" s="3"/>
      <c r="T104" s="3"/>
      <c r="U104" s="3"/>
      <c r="V104" s="3"/>
    </row>
    <row r="105" ht="20.25" customHeight="1" spans="1:22" x14ac:dyDescent="0.25">
      <c r="A105" s="3"/>
      <c r="B105" s="3"/>
      <c r="C105" s="3"/>
      <c r="D105" s="3"/>
      <c r="E105" s="3"/>
      <c r="F105" s="3"/>
      <c r="G105" s="3"/>
      <c r="H105" s="3"/>
      <c r="I105" s="3"/>
      <c r="J105" s="3"/>
      <c r="K105" s="3"/>
      <c r="L105" s="3"/>
      <c r="M105" s="3"/>
      <c r="N105" s="3"/>
      <c r="O105" s="3"/>
      <c r="P105" s="3"/>
      <c r="Q105" s="3"/>
      <c r="R105" s="3"/>
      <c r="S105" s="3"/>
      <c r="T105" s="3"/>
      <c r="U105" s="3"/>
      <c r="V105" s="3"/>
    </row>
    <row r="106" ht="20.25" customHeight="1" spans="1:22" x14ac:dyDescent="0.25">
      <c r="A106" s="3"/>
      <c r="B106" s="3"/>
      <c r="C106" s="3"/>
      <c r="D106" s="3"/>
      <c r="E106" s="3"/>
      <c r="F106" s="3"/>
      <c r="G106" s="3"/>
      <c r="H106" s="3"/>
      <c r="I106" s="3"/>
      <c r="J106" s="3"/>
      <c r="K106" s="3"/>
      <c r="L106" s="3"/>
      <c r="M106" s="3"/>
      <c r="N106" s="3"/>
      <c r="O106" s="3"/>
      <c r="P106" s="3"/>
      <c r="Q106" s="3"/>
      <c r="R106" s="3"/>
      <c r="S106" s="3"/>
      <c r="T106" s="3"/>
      <c r="U106" s="3"/>
      <c r="V106" s="3"/>
    </row>
    <row r="107" ht="20.25" customHeight="1" spans="1:22" x14ac:dyDescent="0.25">
      <c r="A107" s="3"/>
      <c r="B107" s="3"/>
      <c r="C107" s="3"/>
      <c r="D107" s="3"/>
      <c r="E107" s="3"/>
      <c r="F107" s="3"/>
      <c r="G107" s="3"/>
      <c r="H107" s="3"/>
      <c r="I107" s="3"/>
      <c r="J107" s="3"/>
      <c r="K107" s="3"/>
      <c r="L107" s="3"/>
      <c r="M107" s="3"/>
      <c r="N107" s="3"/>
      <c r="O107" s="3"/>
      <c r="P107" s="3"/>
      <c r="Q107" s="3"/>
      <c r="R107" s="3"/>
      <c r="S107" s="3"/>
      <c r="T107" s="3"/>
      <c r="U107" s="3"/>
      <c r="V107" s="3"/>
    </row>
    <row r="108" ht="20.25" customHeight="1" spans="1:22" x14ac:dyDescent="0.25">
      <c r="A108" s="3"/>
      <c r="B108" s="3"/>
      <c r="C108" s="3"/>
      <c r="D108" s="3"/>
      <c r="E108" s="3"/>
      <c r="F108" s="3"/>
      <c r="G108" s="3"/>
      <c r="H108" s="3"/>
      <c r="I108" s="3"/>
      <c r="J108" s="3"/>
      <c r="K108" s="3"/>
      <c r="L108" s="3"/>
      <c r="M108" s="3"/>
      <c r="N108" s="3"/>
      <c r="O108" s="3"/>
      <c r="P108" s="3"/>
      <c r="Q108" s="3"/>
      <c r="R108" s="3"/>
      <c r="S108" s="3"/>
      <c r="T108" s="3"/>
      <c r="U108" s="3"/>
      <c r="V108" s="3"/>
    </row>
    <row r="109" ht="20.25" customHeight="1" spans="1:22" x14ac:dyDescent="0.25">
      <c r="A109" s="3"/>
      <c r="B109" s="3"/>
      <c r="C109" s="3"/>
      <c r="D109" s="3"/>
      <c r="E109" s="3"/>
      <c r="F109" s="3"/>
      <c r="G109" s="3"/>
      <c r="H109" s="3"/>
      <c r="I109" s="3"/>
      <c r="J109" s="3"/>
      <c r="K109" s="3"/>
      <c r="L109" s="3"/>
      <c r="M109" s="3"/>
      <c r="N109" s="3"/>
      <c r="O109" s="3"/>
      <c r="P109" s="3"/>
      <c r="Q109" s="3"/>
      <c r="R109" s="3"/>
      <c r="S109" s="3"/>
      <c r="T109" s="3"/>
      <c r="U109" s="3"/>
      <c r="V109" s="3"/>
    </row>
    <row r="110" ht="20.25" customHeight="1" spans="1:22" x14ac:dyDescent="0.25">
      <c r="A110" s="3"/>
      <c r="B110" s="3"/>
      <c r="C110" s="3"/>
      <c r="D110" s="3"/>
      <c r="E110" s="3"/>
      <c r="F110" s="3"/>
      <c r="G110" s="3"/>
      <c r="H110" s="3"/>
      <c r="I110" s="3"/>
      <c r="J110" s="3"/>
      <c r="K110" s="3"/>
      <c r="L110" s="3"/>
      <c r="M110" s="3"/>
      <c r="N110" s="3"/>
      <c r="O110" s="3"/>
      <c r="P110" s="3"/>
      <c r="Q110" s="3"/>
      <c r="R110" s="3"/>
      <c r="S110" s="3"/>
      <c r="T110" s="3"/>
      <c r="U110" s="3"/>
      <c r="V110" s="3"/>
    </row>
    <row r="111" ht="20.25" customHeight="1" spans="1:22" x14ac:dyDescent="0.25">
      <c r="A111" s="3"/>
      <c r="B111" s="3"/>
      <c r="C111" s="3"/>
      <c r="D111" s="3"/>
      <c r="E111" s="3"/>
      <c r="F111" s="3"/>
      <c r="G111" s="3"/>
      <c r="H111" s="3"/>
      <c r="I111" s="3"/>
      <c r="J111" s="3"/>
      <c r="K111" s="3"/>
      <c r="L111" s="3"/>
      <c r="M111" s="3"/>
      <c r="N111" s="3"/>
      <c r="O111" s="3"/>
      <c r="P111" s="3"/>
      <c r="Q111" s="3"/>
      <c r="R111" s="3"/>
      <c r="S111" s="3"/>
      <c r="T111" s="3"/>
      <c r="U111" s="3"/>
      <c r="V111" s="3"/>
    </row>
    <row r="112" ht="20.25" customHeight="1" spans="1:22" x14ac:dyDescent="0.25">
      <c r="A112" s="3"/>
      <c r="B112" s="3"/>
      <c r="C112" s="3"/>
      <c r="D112" s="3"/>
      <c r="E112" s="3"/>
      <c r="F112" s="3"/>
      <c r="G112" s="3"/>
      <c r="H112" s="3"/>
      <c r="I112" s="3"/>
      <c r="J112" s="3"/>
      <c r="K112" s="3"/>
      <c r="L112" s="3"/>
      <c r="M112" s="3"/>
      <c r="N112" s="3"/>
      <c r="O112" s="3"/>
      <c r="P112" s="3"/>
      <c r="Q112" s="3"/>
      <c r="R112" s="3"/>
      <c r="S112" s="3"/>
      <c r="T112" s="3"/>
      <c r="U112" s="3"/>
      <c r="V112" s="3"/>
    </row>
    <row r="113" ht="20.25" customHeight="1" spans="1:22" x14ac:dyDescent="0.25">
      <c r="A113" s="3"/>
      <c r="B113" s="3"/>
      <c r="C113" s="3"/>
      <c r="D113" s="3"/>
      <c r="E113" s="3"/>
      <c r="F113" s="3"/>
      <c r="G113" s="3"/>
      <c r="H113" s="3"/>
      <c r="I113" s="3"/>
      <c r="J113" s="3"/>
      <c r="K113" s="3"/>
      <c r="L113" s="3"/>
      <c r="M113" s="3"/>
      <c r="N113" s="3"/>
      <c r="O113" s="3"/>
      <c r="P113" s="3"/>
      <c r="Q113" s="3"/>
      <c r="R113" s="3"/>
      <c r="S113" s="3"/>
      <c r="T113" s="3"/>
      <c r="U113" s="3"/>
      <c r="V113" s="3"/>
    </row>
    <row r="114" ht="20.25" customHeight="1" spans="1:22" x14ac:dyDescent="0.25">
      <c r="A114" s="3"/>
      <c r="B114" s="3"/>
      <c r="C114" s="3"/>
      <c r="D114" s="3"/>
      <c r="E114" s="3"/>
      <c r="F114" s="3"/>
      <c r="G114" s="3"/>
      <c r="H114" s="3"/>
      <c r="I114" s="3"/>
      <c r="J114" s="3"/>
      <c r="K114" s="3"/>
      <c r="L114" s="3"/>
      <c r="M114" s="3"/>
      <c r="N114" s="3"/>
      <c r="O114" s="3"/>
      <c r="P114" s="3"/>
      <c r="Q114" s="3"/>
      <c r="R114" s="3"/>
      <c r="S114" s="3"/>
      <c r="T114" s="3"/>
      <c r="U114" s="3"/>
      <c r="V114" s="3"/>
    </row>
    <row r="115" ht="20.25" customHeight="1" spans="1:22" x14ac:dyDescent="0.25">
      <c r="A115" s="3"/>
      <c r="B115" s="3"/>
      <c r="C115" s="3"/>
      <c r="D115" s="3"/>
      <c r="E115" s="3"/>
      <c r="F115" s="3"/>
      <c r="G115" s="3"/>
      <c r="H115" s="3"/>
      <c r="I115" s="3"/>
      <c r="J115" s="3"/>
      <c r="K115" s="3"/>
      <c r="L115" s="3"/>
      <c r="M115" s="3"/>
      <c r="N115" s="3"/>
      <c r="O115" s="3"/>
      <c r="P115" s="3"/>
      <c r="Q115" s="3"/>
      <c r="R115" s="3"/>
      <c r="S115" s="3"/>
      <c r="T115" s="3"/>
      <c r="U115" s="3"/>
      <c r="V115" s="3"/>
    </row>
    <row r="116" ht="20.25" customHeight="1" spans="1:22" x14ac:dyDescent="0.25">
      <c r="A116" s="3"/>
      <c r="B116" s="3"/>
      <c r="C116" s="3"/>
      <c r="D116" s="3"/>
      <c r="E116" s="3"/>
      <c r="F116" s="3"/>
      <c r="G116" s="3"/>
      <c r="H116" s="3"/>
      <c r="I116" s="3"/>
      <c r="J116" s="3"/>
      <c r="K116" s="3"/>
      <c r="L116" s="3"/>
      <c r="M116" s="3"/>
      <c r="N116" s="3"/>
      <c r="O116" s="3"/>
      <c r="P116" s="3"/>
      <c r="Q116" s="3"/>
      <c r="R116" s="3"/>
      <c r="S116" s="3"/>
      <c r="T116" s="3"/>
      <c r="U116" s="3"/>
      <c r="V116" s="3"/>
    </row>
    <row r="117" ht="20.25" customHeight="1" spans="1:22" x14ac:dyDescent="0.25">
      <c r="A117" s="3"/>
      <c r="B117" s="3"/>
      <c r="C117" s="3"/>
      <c r="D117" s="3"/>
      <c r="E117" s="3"/>
      <c r="F117" s="3"/>
      <c r="G117" s="3"/>
      <c r="H117" s="3"/>
      <c r="I117" s="3"/>
      <c r="J117" s="3"/>
      <c r="K117" s="3"/>
      <c r="L117" s="3"/>
      <c r="M117" s="3"/>
      <c r="N117" s="3"/>
      <c r="O117" s="3"/>
      <c r="P117" s="3"/>
      <c r="Q117" s="3"/>
      <c r="R117" s="3"/>
      <c r="S117" s="3"/>
      <c r="T117" s="3"/>
      <c r="U117" s="3"/>
      <c r="V117" s="3"/>
    </row>
    <row r="118" ht="20.25" customHeight="1" spans="1:22" x14ac:dyDescent="0.25">
      <c r="A118" s="3"/>
      <c r="B118" s="3"/>
      <c r="C118" s="3"/>
      <c r="D118" s="3"/>
      <c r="E118" s="3"/>
      <c r="F118" s="3"/>
      <c r="G118" s="3"/>
      <c r="H118" s="3"/>
      <c r="I118" s="3"/>
      <c r="J118" s="3"/>
      <c r="K118" s="3"/>
      <c r="L118" s="3"/>
      <c r="M118" s="3"/>
      <c r="N118" s="3"/>
      <c r="O118" s="3"/>
      <c r="P118" s="3"/>
      <c r="Q118" s="3"/>
      <c r="R118" s="3"/>
      <c r="S118" s="3"/>
      <c r="T118" s="3"/>
      <c r="U118" s="3"/>
      <c r="V118" s="3"/>
    </row>
    <row r="119" ht="20.25" customHeight="1" spans="1:22" x14ac:dyDescent="0.25">
      <c r="A119" s="3"/>
      <c r="B119" s="3"/>
      <c r="C119" s="3"/>
      <c r="D119" s="3"/>
      <c r="E119" s="3"/>
      <c r="F119" s="3"/>
      <c r="G119" s="3"/>
      <c r="H119" s="3"/>
      <c r="I119" s="3"/>
      <c r="J119" s="3"/>
      <c r="K119" s="3"/>
      <c r="L119" s="3"/>
      <c r="M119" s="3"/>
      <c r="N119" s="3"/>
      <c r="O119" s="3"/>
      <c r="P119" s="3"/>
      <c r="Q119" s="3"/>
      <c r="R119" s="3"/>
      <c r="S119" s="3"/>
      <c r="T119" s="3"/>
      <c r="U119" s="3"/>
      <c r="V119" s="3"/>
    </row>
    <row r="120" ht="20.25" customHeight="1" spans="1:22" x14ac:dyDescent="0.25">
      <c r="A120" s="3"/>
      <c r="B120" s="3"/>
      <c r="C120" s="3"/>
      <c r="D120" s="3"/>
      <c r="E120" s="3"/>
      <c r="F120" s="3"/>
      <c r="G120" s="3"/>
      <c r="H120" s="3"/>
      <c r="I120" s="3"/>
      <c r="J120" s="3"/>
      <c r="K120" s="3"/>
      <c r="L120" s="3"/>
      <c r="M120" s="3"/>
      <c r="N120" s="3"/>
      <c r="O120" s="3"/>
      <c r="P120" s="3"/>
      <c r="Q120" s="3"/>
      <c r="R120" s="3"/>
      <c r="S120" s="3"/>
      <c r="T120" s="3"/>
      <c r="U120" s="3"/>
      <c r="V120" s="3"/>
    </row>
    <row r="121" ht="20.25" customHeight="1" spans="1:22" x14ac:dyDescent="0.25">
      <c r="A121" s="3"/>
      <c r="B121" s="3"/>
      <c r="C121" s="3"/>
      <c r="D121" s="3"/>
      <c r="E121" s="3"/>
      <c r="F121" s="3"/>
      <c r="G121" s="3"/>
      <c r="H121" s="3"/>
      <c r="I121" s="3"/>
      <c r="J121" s="3"/>
      <c r="K121" s="3"/>
      <c r="L121" s="3"/>
      <c r="M121" s="3"/>
      <c r="N121" s="3"/>
      <c r="O121" s="3"/>
      <c r="P121" s="3"/>
      <c r="Q121" s="3"/>
      <c r="R121" s="3"/>
      <c r="S121" s="3"/>
      <c r="T121" s="3"/>
      <c r="U121" s="3"/>
      <c r="V121" s="3"/>
    </row>
    <row r="122" ht="20.25" customHeight="1" spans="1:22" x14ac:dyDescent="0.25">
      <c r="A122" s="3"/>
      <c r="B122" s="3"/>
      <c r="C122" s="3"/>
      <c r="D122" s="3"/>
      <c r="E122" s="3"/>
      <c r="F122" s="3"/>
      <c r="G122" s="3"/>
      <c r="H122" s="3"/>
      <c r="I122" s="3"/>
      <c r="J122" s="3"/>
      <c r="K122" s="3"/>
      <c r="L122" s="3"/>
      <c r="M122" s="3"/>
      <c r="N122" s="3"/>
      <c r="O122" s="3"/>
      <c r="P122" s="3"/>
      <c r="Q122" s="3"/>
      <c r="R122" s="3"/>
      <c r="S122" s="3"/>
      <c r="T122" s="3"/>
      <c r="U122" s="3"/>
      <c r="V122" s="3"/>
    </row>
    <row r="123" ht="20.25" customHeight="1" spans="1:22" x14ac:dyDescent="0.25">
      <c r="A123" s="3"/>
      <c r="B123" s="3"/>
      <c r="C123" s="3"/>
      <c r="D123" s="3"/>
      <c r="E123" s="3"/>
      <c r="F123" s="3"/>
      <c r="G123" s="3"/>
      <c r="H123" s="3"/>
      <c r="I123" s="3"/>
      <c r="J123" s="3"/>
      <c r="K123" s="3"/>
      <c r="L123" s="3"/>
      <c r="M123" s="3"/>
      <c r="N123" s="3"/>
      <c r="O123" s="3"/>
      <c r="P123" s="3"/>
      <c r="Q123" s="3"/>
      <c r="R123" s="3"/>
      <c r="S123" s="3"/>
      <c r="T123" s="3"/>
      <c r="U123" s="3"/>
      <c r="V123" s="3"/>
    </row>
    <row r="124" ht="20.25" customHeight="1" spans="1:22" x14ac:dyDescent="0.25">
      <c r="A124" s="3"/>
      <c r="B124" s="3"/>
      <c r="C124" s="3"/>
      <c r="D124" s="3"/>
      <c r="E124" s="3"/>
      <c r="F124" s="3"/>
      <c r="G124" s="3"/>
      <c r="H124" s="3"/>
      <c r="I124" s="3"/>
      <c r="J124" s="3"/>
      <c r="K124" s="3"/>
      <c r="L124" s="3"/>
      <c r="M124" s="3"/>
      <c r="N124" s="3"/>
      <c r="O124" s="3"/>
      <c r="P124" s="3"/>
      <c r="Q124" s="3"/>
      <c r="R124" s="3"/>
      <c r="S124" s="3"/>
      <c r="T124" s="3"/>
      <c r="U124" s="3"/>
      <c r="V124" s="3"/>
    </row>
    <row r="125" ht="20.25" customHeight="1" spans="1:22" x14ac:dyDescent="0.25">
      <c r="A125" s="3"/>
      <c r="B125" s="3"/>
      <c r="C125" s="3"/>
      <c r="D125" s="3"/>
      <c r="E125" s="3"/>
      <c r="F125" s="3"/>
      <c r="G125" s="3"/>
      <c r="H125" s="3"/>
      <c r="I125" s="3"/>
      <c r="J125" s="3"/>
      <c r="K125" s="3"/>
      <c r="L125" s="3"/>
      <c r="M125" s="3"/>
      <c r="N125" s="3"/>
      <c r="O125" s="3"/>
      <c r="P125" s="3"/>
      <c r="Q125" s="3"/>
      <c r="R125" s="3"/>
      <c r="S125" s="3"/>
      <c r="T125" s="3"/>
      <c r="U125" s="3"/>
      <c r="V125" s="3"/>
    </row>
    <row r="126" ht="20.25" customHeight="1" spans="1:22" x14ac:dyDescent="0.25">
      <c r="A126" s="3"/>
      <c r="B126" s="3"/>
      <c r="C126" s="3"/>
      <c r="D126" s="3"/>
      <c r="E126" s="3"/>
      <c r="F126" s="3"/>
      <c r="G126" s="3"/>
      <c r="H126" s="3"/>
      <c r="I126" s="3"/>
      <c r="J126" s="3"/>
      <c r="K126" s="3"/>
      <c r="L126" s="3"/>
      <c r="M126" s="3"/>
      <c r="N126" s="3"/>
      <c r="O126" s="3"/>
      <c r="P126" s="3"/>
      <c r="Q126" s="3"/>
      <c r="R126" s="3"/>
      <c r="S126" s="3"/>
      <c r="T126" s="3"/>
      <c r="U126" s="3"/>
      <c r="V126" s="3"/>
    </row>
    <row r="127" ht="20.25" customHeight="1" spans="1:22" x14ac:dyDescent="0.25">
      <c r="A127" s="3"/>
      <c r="B127" s="3"/>
      <c r="C127" s="3"/>
      <c r="D127" s="3"/>
      <c r="E127" s="3"/>
      <c r="F127" s="3"/>
      <c r="G127" s="3"/>
      <c r="H127" s="3"/>
      <c r="I127" s="3"/>
      <c r="J127" s="3"/>
      <c r="K127" s="3"/>
      <c r="L127" s="3"/>
      <c r="M127" s="3"/>
      <c r="N127" s="3"/>
      <c r="O127" s="3"/>
      <c r="P127" s="3"/>
      <c r="Q127" s="3"/>
      <c r="R127" s="3"/>
      <c r="S127" s="3"/>
      <c r="T127" s="3"/>
      <c r="U127" s="3"/>
      <c r="V127" s="3"/>
    </row>
    <row r="128" ht="20.25" customHeight="1" spans="1:22" x14ac:dyDescent="0.25">
      <c r="A128" s="3"/>
      <c r="B128" s="3"/>
      <c r="C128" s="3"/>
      <c r="D128" s="3"/>
      <c r="E128" s="3"/>
      <c r="F128" s="3"/>
      <c r="G128" s="3"/>
      <c r="H128" s="3"/>
      <c r="I128" s="3"/>
      <c r="J128" s="3"/>
      <c r="K128" s="3"/>
      <c r="L128" s="3"/>
      <c r="M128" s="3"/>
      <c r="N128" s="3"/>
      <c r="O128" s="3"/>
      <c r="P128" s="3"/>
      <c r="Q128" s="3"/>
      <c r="R128" s="3"/>
      <c r="S128" s="3"/>
      <c r="T128" s="3"/>
      <c r="U128" s="3"/>
      <c r="V128" s="3"/>
    </row>
    <row r="129" ht="20.25" customHeight="1" spans="1:22" x14ac:dyDescent="0.25">
      <c r="A129" s="3"/>
      <c r="B129" s="3"/>
      <c r="C129" s="3"/>
      <c r="D129" s="3"/>
      <c r="E129" s="3"/>
      <c r="F129" s="3"/>
      <c r="G129" s="3"/>
      <c r="H129" s="3"/>
      <c r="I129" s="3"/>
      <c r="J129" s="3"/>
      <c r="K129" s="3"/>
      <c r="L129" s="3"/>
      <c r="M129" s="3"/>
      <c r="N129" s="3"/>
      <c r="O129" s="3"/>
      <c r="P129" s="3"/>
      <c r="Q129" s="3"/>
      <c r="R129" s="3"/>
      <c r="S129" s="3"/>
      <c r="T129" s="3"/>
      <c r="U129" s="3"/>
      <c r="V129" s="3"/>
    </row>
    <row r="130" ht="20.25" customHeight="1" spans="1:22" x14ac:dyDescent="0.25">
      <c r="A130" s="3"/>
      <c r="B130" s="3"/>
      <c r="C130" s="3"/>
      <c r="D130" s="3"/>
      <c r="E130" s="3"/>
      <c r="F130" s="3"/>
      <c r="G130" s="3"/>
      <c r="H130" s="3"/>
      <c r="I130" s="3"/>
      <c r="J130" s="3"/>
      <c r="K130" s="3"/>
      <c r="L130" s="3"/>
      <c r="M130" s="3"/>
      <c r="N130" s="3"/>
      <c r="O130" s="3"/>
      <c r="P130" s="3"/>
      <c r="Q130" s="3"/>
      <c r="R130" s="3"/>
      <c r="S130" s="3"/>
      <c r="T130" s="3"/>
      <c r="U130" s="3"/>
      <c r="V130" s="3"/>
    </row>
    <row r="131" ht="12.75" customHeight="1" spans="1:22" x14ac:dyDescent="0.25">
      <c r="A131" s="3"/>
      <c r="B131" s="3"/>
      <c r="C131" s="3"/>
      <c r="D131" s="3"/>
      <c r="E131" s="3"/>
      <c r="F131" s="3"/>
      <c r="G131" s="3"/>
      <c r="H131" s="3"/>
      <c r="I131" s="3"/>
      <c r="J131" s="3"/>
      <c r="K131" s="3"/>
      <c r="L131" s="3"/>
      <c r="M131" s="3"/>
      <c r="N131" s="3"/>
      <c r="O131" s="3"/>
      <c r="P131" s="3"/>
      <c r="Q131" s="3"/>
      <c r="R131" s="3"/>
      <c r="S131" s="3"/>
      <c r="T131" s="3"/>
      <c r="U131" s="3"/>
      <c r="V131" s="3"/>
    </row>
    <row r="132" ht="12.75" customHeight="1" spans="1:22" x14ac:dyDescent="0.25">
      <c r="A132" s="3"/>
      <c r="B132" s="3"/>
      <c r="C132" s="3"/>
      <c r="D132" s="3"/>
      <c r="E132" s="3"/>
      <c r="F132" s="3"/>
      <c r="G132" s="3"/>
      <c r="H132" s="3"/>
      <c r="I132" s="3"/>
      <c r="J132" s="3"/>
      <c r="K132" s="3"/>
      <c r="L132" s="3"/>
      <c r="M132" s="3"/>
      <c r="N132" s="3"/>
      <c r="O132" s="3"/>
      <c r="P132" s="3"/>
      <c r="Q132" s="3"/>
      <c r="R132" s="3"/>
      <c r="S132" s="3"/>
      <c r="T132" s="3"/>
      <c r="U132" s="3"/>
      <c r="V132" s="3"/>
    </row>
    <row r="133" ht="12.75" customHeight="1" spans="1:22" x14ac:dyDescent="0.25">
      <c r="A133" s="3"/>
      <c r="B133" s="3"/>
      <c r="C133" s="3"/>
      <c r="D133" s="3"/>
      <c r="E133" s="3"/>
      <c r="F133" s="3"/>
      <c r="G133" s="3"/>
      <c r="H133" s="3"/>
      <c r="I133" s="3"/>
      <c r="J133" s="3"/>
      <c r="K133" s="3"/>
      <c r="L133" s="3"/>
      <c r="M133" s="3"/>
      <c r="N133" s="3"/>
      <c r="O133" s="3"/>
      <c r="P133" s="3"/>
      <c r="Q133" s="3"/>
      <c r="R133" s="3"/>
      <c r="S133" s="3"/>
      <c r="T133" s="3"/>
      <c r="U133" s="3"/>
      <c r="V133" s="3"/>
    </row>
    <row r="134" ht="12.75" customHeight="1" spans="1:22" x14ac:dyDescent="0.25">
      <c r="A134" s="3"/>
      <c r="B134" s="3"/>
      <c r="C134" s="3"/>
      <c r="D134" s="3"/>
      <c r="E134" s="3"/>
      <c r="F134" s="3"/>
      <c r="G134" s="3"/>
      <c r="H134" s="3"/>
      <c r="I134" s="3"/>
      <c r="J134" s="3"/>
      <c r="K134" s="3"/>
      <c r="L134" s="3"/>
      <c r="M134" s="3"/>
      <c r="N134" s="3"/>
      <c r="O134" s="3"/>
      <c r="P134" s="3"/>
      <c r="Q134" s="3"/>
      <c r="R134" s="3"/>
      <c r="S134" s="3"/>
      <c r="T134" s="3"/>
      <c r="U134" s="3"/>
      <c r="V134" s="3"/>
    </row>
    <row r="135" ht="12.75" customHeight="1" spans="1:22" x14ac:dyDescent="0.25">
      <c r="A135" s="3"/>
      <c r="B135" s="3"/>
      <c r="C135" s="3"/>
      <c r="D135" s="3"/>
      <c r="E135" s="3"/>
      <c r="F135" s="3"/>
      <c r="G135" s="3"/>
      <c r="H135" s="3"/>
      <c r="I135" s="3"/>
      <c r="J135" s="3"/>
      <c r="K135" s="3"/>
      <c r="L135" s="3"/>
      <c r="M135" s="3"/>
      <c r="N135" s="3"/>
      <c r="O135" s="3"/>
      <c r="P135" s="3"/>
      <c r="Q135" s="3"/>
      <c r="R135" s="3"/>
      <c r="S135" s="3"/>
      <c r="T135" s="3"/>
      <c r="U135" s="3"/>
      <c r="V135" s="3"/>
    </row>
    <row r="136" ht="12.75" customHeight="1" spans="1:22" x14ac:dyDescent="0.25">
      <c r="A136" s="3"/>
      <c r="B136" s="3"/>
      <c r="C136" s="3"/>
      <c r="D136" s="3"/>
      <c r="E136" s="3"/>
      <c r="F136" s="3"/>
      <c r="G136" s="3"/>
      <c r="H136" s="3"/>
      <c r="I136" s="3"/>
      <c r="J136" s="3"/>
      <c r="K136" s="3"/>
      <c r="L136" s="3"/>
      <c r="M136" s="3"/>
      <c r="N136" s="3"/>
      <c r="O136" s="3"/>
      <c r="P136" s="3"/>
      <c r="Q136" s="3"/>
      <c r="R136" s="3"/>
      <c r="S136" s="3"/>
      <c r="T136" s="3"/>
      <c r="U136" s="3"/>
      <c r="V136" s="3"/>
    </row>
    <row r="137" ht="12.75" customHeight="1" spans="1:22" x14ac:dyDescent="0.25">
      <c r="A137" s="3"/>
      <c r="B137" s="3"/>
      <c r="C137" s="3"/>
      <c r="D137" s="3"/>
      <c r="E137" s="3"/>
      <c r="F137" s="3"/>
      <c r="G137" s="3"/>
      <c r="H137" s="3"/>
      <c r="I137" s="3"/>
      <c r="J137" s="3"/>
      <c r="K137" s="3"/>
      <c r="L137" s="3"/>
      <c r="M137" s="3"/>
      <c r="N137" s="3"/>
      <c r="O137" s="3"/>
      <c r="P137" s="3"/>
      <c r="Q137" s="3"/>
      <c r="R137" s="3"/>
      <c r="S137" s="3"/>
      <c r="T137" s="3"/>
      <c r="U137" s="3"/>
      <c r="V137" s="3"/>
    </row>
    <row r="138" ht="12.75" customHeight="1" spans="1:22" x14ac:dyDescent="0.25">
      <c r="A138" s="3"/>
      <c r="B138" s="3"/>
      <c r="C138" s="3"/>
      <c r="D138" s="3"/>
      <c r="E138" s="3"/>
      <c r="F138" s="3"/>
      <c r="G138" s="3"/>
      <c r="H138" s="3"/>
      <c r="I138" s="3"/>
      <c r="J138" s="3"/>
      <c r="K138" s="3"/>
      <c r="L138" s="3"/>
      <c r="M138" s="3"/>
      <c r="N138" s="3"/>
      <c r="O138" s="3"/>
      <c r="P138" s="3"/>
      <c r="Q138" s="3"/>
      <c r="R138" s="3"/>
      <c r="S138" s="3"/>
      <c r="T138" s="3"/>
      <c r="U138" s="3"/>
      <c r="V138" s="3"/>
    </row>
    <row r="139" ht="12.75" customHeight="1" spans="1:22" x14ac:dyDescent="0.25">
      <c r="A139" s="3"/>
      <c r="B139" s="3"/>
      <c r="C139" s="3"/>
      <c r="D139" s="3"/>
      <c r="E139" s="3"/>
      <c r="F139" s="3"/>
      <c r="G139" s="3"/>
      <c r="H139" s="3"/>
      <c r="I139" s="3"/>
      <c r="J139" s="3"/>
      <c r="K139" s="3"/>
      <c r="L139" s="3"/>
      <c r="M139" s="3"/>
      <c r="N139" s="3"/>
      <c r="O139" s="3"/>
      <c r="P139" s="3"/>
      <c r="Q139" s="3"/>
      <c r="R139" s="3"/>
      <c r="S139" s="3"/>
      <c r="T139" s="3"/>
      <c r="U139" s="3"/>
      <c r="V139" s="3"/>
    </row>
    <row r="140" ht="12.75" customHeight="1" spans="1:22" x14ac:dyDescent="0.25">
      <c r="A140" s="3"/>
      <c r="B140" s="3"/>
      <c r="C140" s="3"/>
      <c r="D140" s="3"/>
      <c r="E140" s="3"/>
      <c r="F140" s="3"/>
      <c r="G140" s="3"/>
      <c r="H140" s="3"/>
      <c r="I140" s="3"/>
      <c r="J140" s="3"/>
      <c r="K140" s="3"/>
      <c r="L140" s="3"/>
      <c r="M140" s="3"/>
      <c r="N140" s="3"/>
      <c r="O140" s="3"/>
      <c r="P140" s="3"/>
      <c r="Q140" s="3"/>
      <c r="R140" s="3"/>
      <c r="S140" s="3"/>
      <c r="T140" s="3"/>
      <c r="U140" s="3"/>
      <c r="V140" s="3"/>
    </row>
    <row r="141" ht="12.75" customHeight="1" spans="1:22" x14ac:dyDescent="0.25">
      <c r="A141" s="3"/>
      <c r="B141" s="3"/>
      <c r="C141" s="3"/>
      <c r="D141" s="3"/>
      <c r="E141" s="3"/>
      <c r="F141" s="3"/>
      <c r="G141" s="3"/>
      <c r="H141" s="3"/>
      <c r="I141" s="3"/>
      <c r="J141" s="3"/>
      <c r="K141" s="3"/>
      <c r="L141" s="3"/>
      <c r="M141" s="3"/>
      <c r="N141" s="3"/>
      <c r="O141" s="3"/>
      <c r="P141" s="3"/>
      <c r="Q141" s="3"/>
      <c r="R141" s="3"/>
      <c r="S141" s="3"/>
      <c r="T141" s="3"/>
      <c r="U141" s="3"/>
      <c r="V141" s="3"/>
    </row>
    <row r="142" ht="12.75" customHeight="1" spans="1:22" x14ac:dyDescent="0.25">
      <c r="A142" s="3"/>
      <c r="B142" s="3"/>
      <c r="C142" s="3"/>
      <c r="D142" s="3"/>
      <c r="E142" s="3"/>
      <c r="F142" s="3"/>
      <c r="G142" s="3"/>
      <c r="H142" s="3"/>
      <c r="I142" s="3"/>
      <c r="J142" s="3"/>
      <c r="K142" s="3"/>
      <c r="L142" s="3"/>
      <c r="M142" s="3"/>
      <c r="N142" s="3"/>
      <c r="O142" s="3"/>
      <c r="P142" s="3"/>
      <c r="Q142" s="3"/>
      <c r="R142" s="3"/>
      <c r="S142" s="3"/>
      <c r="T142" s="3"/>
      <c r="U142" s="3"/>
      <c r="V142" s="3"/>
    </row>
    <row r="143" ht="12.75" customHeight="1" spans="1:22" x14ac:dyDescent="0.25">
      <c r="A143" s="3"/>
      <c r="B143" s="3"/>
      <c r="C143" s="3"/>
      <c r="D143" s="3"/>
      <c r="E143" s="3"/>
      <c r="F143" s="3"/>
      <c r="G143" s="3"/>
      <c r="H143" s="3"/>
      <c r="I143" s="3"/>
      <c r="J143" s="3"/>
      <c r="K143" s="3"/>
      <c r="L143" s="3"/>
      <c r="M143" s="3"/>
      <c r="N143" s="3"/>
      <c r="O143" s="3"/>
      <c r="P143" s="3"/>
      <c r="Q143" s="3"/>
      <c r="R143" s="3"/>
      <c r="S143" s="3"/>
      <c r="T143" s="3"/>
      <c r="U143" s="3"/>
      <c r="V143" s="3"/>
    </row>
    <row r="144" ht="12.75" customHeight="1" spans="1:22" x14ac:dyDescent="0.25">
      <c r="A144" s="3"/>
      <c r="B144" s="3"/>
      <c r="C144" s="3"/>
      <c r="D144" s="3"/>
      <c r="E144" s="3"/>
      <c r="F144" s="3"/>
      <c r="G144" s="3"/>
      <c r="H144" s="3"/>
      <c r="I144" s="3"/>
      <c r="J144" s="3"/>
      <c r="K144" s="3"/>
      <c r="L144" s="3"/>
      <c r="M144" s="3"/>
      <c r="N144" s="3"/>
      <c r="O144" s="3"/>
      <c r="P144" s="3"/>
      <c r="Q144" s="3"/>
      <c r="R144" s="3"/>
      <c r="S144" s="3"/>
      <c r="T144" s="3"/>
      <c r="U144" s="3"/>
      <c r="V144" s="3"/>
    </row>
    <row r="145" ht="12.75" customHeight="1" spans="1:22" x14ac:dyDescent="0.25">
      <c r="A145" s="3"/>
      <c r="B145" s="3"/>
      <c r="C145" s="3"/>
      <c r="D145" s="3"/>
      <c r="E145" s="3"/>
      <c r="F145" s="3"/>
      <c r="G145" s="3"/>
      <c r="H145" s="3"/>
      <c r="I145" s="3"/>
      <c r="J145" s="3"/>
      <c r="K145" s="3"/>
      <c r="L145" s="3"/>
      <c r="M145" s="3"/>
      <c r="N145" s="3"/>
      <c r="O145" s="3"/>
      <c r="P145" s="3"/>
      <c r="Q145" s="3"/>
      <c r="R145" s="3"/>
      <c r="S145" s="3"/>
      <c r="T145" s="3"/>
      <c r="U145" s="3"/>
      <c r="V145" s="3"/>
    </row>
    <row r="146" ht="12.75" customHeight="1" spans="1:22" x14ac:dyDescent="0.25">
      <c r="A146" s="3"/>
      <c r="B146" s="3"/>
      <c r="C146" s="3"/>
      <c r="D146" s="3"/>
      <c r="E146" s="3"/>
      <c r="F146" s="3"/>
      <c r="G146" s="3"/>
      <c r="H146" s="3"/>
      <c r="I146" s="3"/>
      <c r="J146" s="3"/>
      <c r="K146" s="3"/>
      <c r="L146" s="3"/>
      <c r="M146" s="3"/>
      <c r="N146" s="3"/>
      <c r="O146" s="3"/>
      <c r="P146" s="3"/>
      <c r="Q146" s="3"/>
      <c r="R146" s="3"/>
      <c r="S146" s="3"/>
      <c r="T146" s="3"/>
      <c r="U146" s="3"/>
      <c r="V146" s="3"/>
    </row>
    <row r="147" ht="12.75" customHeight="1" spans="1:22" x14ac:dyDescent="0.25">
      <c r="A147" s="3"/>
      <c r="B147" s="3"/>
      <c r="C147" s="3"/>
      <c r="D147" s="3"/>
      <c r="E147" s="3"/>
      <c r="F147" s="3"/>
      <c r="G147" s="3"/>
      <c r="H147" s="3"/>
      <c r="I147" s="3"/>
      <c r="J147" s="3"/>
      <c r="K147" s="3"/>
      <c r="L147" s="3"/>
      <c r="M147" s="3"/>
      <c r="N147" s="3"/>
      <c r="O147" s="3"/>
      <c r="P147" s="3"/>
      <c r="Q147" s="3"/>
      <c r="R147" s="3"/>
      <c r="S147" s="3"/>
      <c r="T147" s="3"/>
      <c r="U147" s="3"/>
      <c r="V147" s="3"/>
    </row>
    <row r="148" ht="12.75" customHeight="1" spans="1:22" x14ac:dyDescent="0.25">
      <c r="A148" s="3"/>
      <c r="B148" s="3"/>
      <c r="C148" s="3"/>
      <c r="D148" s="3"/>
      <c r="E148" s="3"/>
      <c r="F148" s="3"/>
      <c r="G148" s="3"/>
      <c r="H148" s="3"/>
      <c r="I148" s="3"/>
      <c r="J148" s="3"/>
      <c r="K148" s="3"/>
      <c r="L148" s="3"/>
      <c r="M148" s="3"/>
      <c r="N148" s="3"/>
      <c r="O148" s="3"/>
      <c r="P148" s="3"/>
      <c r="Q148" s="3"/>
      <c r="R148" s="3"/>
      <c r="S148" s="3"/>
      <c r="T148" s="3"/>
      <c r="U148" s="3"/>
      <c r="V148" s="3"/>
    </row>
    <row r="149" ht="12.75" customHeight="1" spans="1:22" x14ac:dyDescent="0.25">
      <c r="A149" s="3"/>
      <c r="B149" s="3"/>
      <c r="C149" s="3"/>
      <c r="D149" s="3"/>
      <c r="E149" s="3"/>
      <c r="F149" s="3"/>
      <c r="G149" s="3"/>
      <c r="H149" s="3"/>
      <c r="I149" s="3"/>
      <c r="J149" s="3"/>
      <c r="K149" s="3"/>
      <c r="L149" s="3"/>
      <c r="M149" s="3"/>
      <c r="N149" s="3"/>
      <c r="O149" s="3"/>
      <c r="P149" s="3"/>
      <c r="Q149" s="3"/>
      <c r="R149" s="3"/>
      <c r="S149" s="3"/>
      <c r="T149" s="3"/>
      <c r="U149" s="3"/>
      <c r="V149" s="3"/>
    </row>
    <row r="150" ht="12.75" customHeight="1" spans="1:22" x14ac:dyDescent="0.25">
      <c r="A150" s="3"/>
      <c r="B150" s="3"/>
      <c r="C150" s="3"/>
      <c r="D150" s="3"/>
      <c r="E150" s="3"/>
      <c r="F150" s="3"/>
      <c r="G150" s="3"/>
      <c r="H150" s="3"/>
      <c r="I150" s="3"/>
      <c r="J150" s="3"/>
      <c r="K150" s="3"/>
      <c r="L150" s="3"/>
      <c r="M150" s="3"/>
      <c r="N150" s="3"/>
      <c r="O150" s="3"/>
      <c r="P150" s="3"/>
      <c r="Q150" s="3"/>
      <c r="R150" s="3"/>
      <c r="S150" s="3"/>
      <c r="T150" s="3"/>
      <c r="U150" s="3"/>
      <c r="V150" s="3"/>
    </row>
    <row r="151" ht="12.75" customHeight="1" spans="1:22" x14ac:dyDescent="0.25">
      <c r="A151" s="3"/>
      <c r="B151" s="3"/>
      <c r="C151" s="3"/>
      <c r="D151" s="3"/>
      <c r="E151" s="3"/>
      <c r="F151" s="3"/>
      <c r="G151" s="3"/>
      <c r="H151" s="3"/>
      <c r="I151" s="3"/>
      <c r="J151" s="3"/>
      <c r="K151" s="3"/>
      <c r="L151" s="3"/>
      <c r="M151" s="3"/>
      <c r="N151" s="3"/>
      <c r="O151" s="3"/>
      <c r="P151" s="3"/>
      <c r="Q151" s="3"/>
      <c r="R151" s="3"/>
      <c r="S151" s="3"/>
      <c r="T151" s="3"/>
      <c r="U151" s="3"/>
      <c r="V151" s="3"/>
    </row>
    <row r="152" ht="12.75" customHeight="1" spans="1:22" x14ac:dyDescent="0.25">
      <c r="A152" s="3"/>
      <c r="B152" s="3"/>
      <c r="C152" s="3"/>
      <c r="D152" s="3"/>
      <c r="E152" s="3"/>
      <c r="F152" s="3"/>
      <c r="G152" s="3"/>
      <c r="H152" s="3"/>
      <c r="I152" s="3"/>
      <c r="J152" s="3"/>
      <c r="K152" s="3"/>
      <c r="L152" s="3"/>
      <c r="M152" s="3"/>
      <c r="N152" s="3"/>
      <c r="O152" s="3"/>
      <c r="P152" s="3"/>
      <c r="Q152" s="3"/>
      <c r="R152" s="3"/>
      <c r="S152" s="3"/>
      <c r="T152" s="3"/>
      <c r="U152" s="3"/>
      <c r="V152" s="3"/>
    </row>
    <row r="153" ht="12.75" customHeight="1" spans="1:22" x14ac:dyDescent="0.25">
      <c r="A153" s="3"/>
      <c r="B153" s="3"/>
      <c r="C153" s="3"/>
      <c r="D153" s="3"/>
      <c r="E153" s="3"/>
      <c r="F153" s="3"/>
      <c r="G153" s="3"/>
      <c r="H153" s="3"/>
      <c r="I153" s="3"/>
      <c r="J153" s="3"/>
      <c r="K153" s="3"/>
      <c r="L153" s="3"/>
      <c r="M153" s="3"/>
      <c r="N153" s="3"/>
      <c r="O153" s="3"/>
      <c r="P153" s="3"/>
      <c r="Q153" s="3"/>
      <c r="R153" s="3"/>
      <c r="S153" s="3"/>
      <c r="T153" s="3"/>
      <c r="U153" s="3"/>
      <c r="V153" s="3"/>
    </row>
    <row r="154" ht="12.75" customHeight="1" spans="1:22" x14ac:dyDescent="0.25">
      <c r="A154" s="3"/>
      <c r="B154" s="3"/>
      <c r="C154" s="3"/>
      <c r="D154" s="3"/>
      <c r="E154" s="3"/>
      <c r="F154" s="3"/>
      <c r="G154" s="3"/>
      <c r="H154" s="3"/>
      <c r="I154" s="3"/>
      <c r="J154" s="3"/>
      <c r="K154" s="3"/>
      <c r="L154" s="3"/>
      <c r="M154" s="3"/>
      <c r="N154" s="3"/>
      <c r="O154" s="3"/>
      <c r="P154" s="3"/>
      <c r="Q154" s="3"/>
      <c r="R154" s="3"/>
      <c r="S154" s="3"/>
      <c r="T154" s="3"/>
      <c r="U154" s="3"/>
      <c r="V154" s="3"/>
    </row>
    <row r="155" ht="12.75" customHeight="1" spans="1:22" x14ac:dyDescent="0.25">
      <c r="A155" s="3"/>
      <c r="B155" s="3"/>
      <c r="C155" s="3"/>
      <c r="D155" s="3"/>
      <c r="E155" s="3"/>
      <c r="F155" s="3"/>
      <c r="G155" s="3"/>
      <c r="H155" s="3"/>
      <c r="I155" s="3"/>
      <c r="J155" s="3"/>
      <c r="K155" s="3"/>
      <c r="L155" s="3"/>
      <c r="M155" s="3"/>
      <c r="N155" s="3"/>
      <c r="O155" s="3"/>
      <c r="P155" s="3"/>
      <c r="Q155" s="3"/>
      <c r="R155" s="3"/>
      <c r="S155" s="3"/>
      <c r="T155" s="3"/>
      <c r="U155" s="3"/>
      <c r="V155" s="3"/>
    </row>
    <row r="156" ht="12.75" customHeight="1" spans="1:22" x14ac:dyDescent="0.25">
      <c r="A156" s="3"/>
      <c r="B156" s="3"/>
      <c r="C156" s="3"/>
      <c r="D156" s="3"/>
      <c r="E156" s="3"/>
      <c r="F156" s="3"/>
      <c r="G156" s="3"/>
      <c r="H156" s="3"/>
      <c r="I156" s="3"/>
      <c r="J156" s="3"/>
      <c r="K156" s="3"/>
      <c r="L156" s="3"/>
      <c r="M156" s="3"/>
      <c r="N156" s="3"/>
      <c r="O156" s="3"/>
      <c r="P156" s="3"/>
      <c r="Q156" s="3"/>
      <c r="R156" s="3"/>
      <c r="S156" s="3"/>
      <c r="T156" s="3"/>
      <c r="U156" s="3"/>
      <c r="V156" s="3"/>
    </row>
    <row r="157" ht="12.75" customHeight="1" spans="1:22" x14ac:dyDescent="0.25">
      <c r="A157" s="3"/>
      <c r="B157" s="3"/>
      <c r="C157" s="3"/>
      <c r="D157" s="3"/>
      <c r="E157" s="3"/>
      <c r="F157" s="3"/>
      <c r="G157" s="3"/>
      <c r="H157" s="3"/>
      <c r="I157" s="3"/>
      <c r="J157" s="3"/>
      <c r="K157" s="3"/>
      <c r="L157" s="3"/>
      <c r="M157" s="3"/>
      <c r="N157" s="3"/>
      <c r="O157" s="3"/>
      <c r="P157" s="3"/>
      <c r="Q157" s="3"/>
      <c r="R157" s="3"/>
      <c r="S157" s="3"/>
      <c r="T157" s="3"/>
      <c r="U157" s="3"/>
      <c r="V157" s="3"/>
    </row>
    <row r="158" ht="12.75" customHeight="1" spans="1:22" x14ac:dyDescent="0.25">
      <c r="A158" s="3"/>
      <c r="B158" s="3"/>
      <c r="C158" s="3"/>
      <c r="D158" s="3"/>
      <c r="E158" s="3"/>
      <c r="F158" s="3"/>
      <c r="G158" s="3"/>
      <c r="H158" s="3"/>
      <c r="I158" s="3"/>
      <c r="J158" s="3"/>
      <c r="K158" s="3"/>
      <c r="L158" s="3"/>
      <c r="M158" s="3"/>
      <c r="N158" s="3"/>
      <c r="O158" s="3"/>
      <c r="P158" s="3"/>
      <c r="Q158" s="3"/>
      <c r="R158" s="3"/>
      <c r="S158" s="3"/>
      <c r="T158" s="3"/>
      <c r="U158" s="3"/>
      <c r="V158" s="3"/>
    </row>
    <row r="159" ht="12.75" customHeight="1" spans="1:22" x14ac:dyDescent="0.25">
      <c r="A159" s="3"/>
      <c r="B159" s="3"/>
      <c r="C159" s="3"/>
      <c r="D159" s="3"/>
      <c r="E159" s="3"/>
      <c r="F159" s="3"/>
      <c r="G159" s="3"/>
      <c r="H159" s="3"/>
      <c r="I159" s="3"/>
      <c r="J159" s="3"/>
      <c r="K159" s="3"/>
      <c r="L159" s="3"/>
      <c r="M159" s="3"/>
      <c r="N159" s="3"/>
      <c r="O159" s="3"/>
      <c r="P159" s="3"/>
      <c r="Q159" s="3"/>
      <c r="R159" s="3"/>
      <c r="S159" s="3"/>
      <c r="T159" s="3"/>
      <c r="U159" s="3"/>
      <c r="V159" s="3"/>
    </row>
    <row r="160" ht="12.75" customHeight="1" spans="1:22" x14ac:dyDescent="0.25">
      <c r="A160" s="3"/>
      <c r="B160" s="3"/>
      <c r="C160" s="3"/>
      <c r="D160" s="3"/>
      <c r="E160" s="3"/>
      <c r="F160" s="3"/>
      <c r="G160" s="3"/>
      <c r="H160" s="3"/>
      <c r="I160" s="3"/>
      <c r="J160" s="3"/>
      <c r="K160" s="3"/>
      <c r="L160" s="3"/>
      <c r="M160" s="3"/>
      <c r="N160" s="3"/>
      <c r="O160" s="3"/>
      <c r="P160" s="3"/>
      <c r="Q160" s="3"/>
      <c r="R160" s="3"/>
      <c r="S160" s="3"/>
      <c r="T160" s="3"/>
      <c r="U160" s="3"/>
      <c r="V160" s="3"/>
    </row>
    <row r="161" ht="12.75" customHeight="1" spans="1:22" x14ac:dyDescent="0.25">
      <c r="A161" s="3"/>
      <c r="B161" s="3"/>
      <c r="C161" s="3"/>
      <c r="D161" s="3"/>
      <c r="E161" s="3"/>
      <c r="F161" s="3"/>
      <c r="G161" s="3"/>
      <c r="H161" s="3"/>
      <c r="I161" s="3"/>
      <c r="J161" s="3"/>
      <c r="K161" s="3"/>
      <c r="L161" s="3"/>
      <c r="M161" s="3"/>
      <c r="N161" s="3"/>
      <c r="O161" s="3"/>
      <c r="P161" s="3"/>
      <c r="Q161" s="3"/>
      <c r="R161" s="3"/>
      <c r="S161" s="3"/>
      <c r="T161" s="3"/>
      <c r="U161" s="3"/>
      <c r="V161" s="3"/>
    </row>
    <row r="162" ht="12.75" customHeight="1" spans="1:22" x14ac:dyDescent="0.25">
      <c r="A162" s="3"/>
      <c r="B162" s="3"/>
      <c r="C162" s="3"/>
      <c r="D162" s="3"/>
      <c r="E162" s="3"/>
      <c r="F162" s="3"/>
      <c r="G162" s="3"/>
      <c r="H162" s="3"/>
      <c r="I162" s="3"/>
      <c r="J162" s="3"/>
      <c r="K162" s="3"/>
      <c r="L162" s="3"/>
      <c r="M162" s="3"/>
      <c r="N162" s="3"/>
      <c r="O162" s="3"/>
      <c r="P162" s="3"/>
      <c r="Q162" s="3"/>
      <c r="R162" s="3"/>
      <c r="S162" s="3"/>
      <c r="T162" s="3"/>
      <c r="U162" s="3"/>
      <c r="V162" s="3"/>
    </row>
    <row r="163" ht="12.75" customHeight="1" spans="1:22" x14ac:dyDescent="0.25">
      <c r="A163" s="3"/>
      <c r="B163" s="3"/>
      <c r="C163" s="3"/>
      <c r="D163" s="3"/>
      <c r="E163" s="3"/>
      <c r="F163" s="3"/>
      <c r="G163" s="3"/>
      <c r="H163" s="3"/>
      <c r="I163" s="3"/>
      <c r="J163" s="3"/>
      <c r="K163" s="3"/>
      <c r="L163" s="3"/>
      <c r="M163" s="3"/>
      <c r="N163" s="3"/>
      <c r="O163" s="3"/>
      <c r="P163" s="3"/>
      <c r="Q163" s="3"/>
      <c r="R163" s="3"/>
      <c r="S163" s="3"/>
      <c r="T163" s="3"/>
      <c r="U163" s="3"/>
      <c r="V163" s="3"/>
    </row>
    <row r="164" ht="12.75" customHeight="1" spans="1:22" x14ac:dyDescent="0.25">
      <c r="A164" s="3"/>
      <c r="B164" s="3"/>
      <c r="C164" s="3"/>
      <c r="D164" s="3"/>
      <c r="E164" s="3"/>
      <c r="F164" s="3"/>
      <c r="G164" s="3"/>
      <c r="H164" s="3"/>
      <c r="I164" s="3"/>
      <c r="J164" s="3"/>
      <c r="K164" s="3"/>
      <c r="L164" s="3"/>
      <c r="M164" s="3"/>
      <c r="N164" s="3"/>
      <c r="O164" s="3"/>
      <c r="P164" s="3"/>
      <c r="Q164" s="3"/>
      <c r="R164" s="3"/>
      <c r="S164" s="3"/>
      <c r="T164" s="3"/>
      <c r="U164" s="3"/>
      <c r="V164" s="3"/>
    </row>
    <row r="165" ht="12.75" customHeight="1" spans="1:22" x14ac:dyDescent="0.25">
      <c r="A165" s="3"/>
      <c r="B165" s="3"/>
      <c r="C165" s="3"/>
      <c r="D165" s="3"/>
      <c r="E165" s="3"/>
      <c r="F165" s="3"/>
      <c r="G165" s="3"/>
      <c r="H165" s="3"/>
      <c r="I165" s="3"/>
      <c r="J165" s="3"/>
      <c r="K165" s="3"/>
      <c r="L165" s="3"/>
      <c r="M165" s="3"/>
      <c r="N165" s="3"/>
      <c r="O165" s="3"/>
      <c r="P165" s="3"/>
      <c r="Q165" s="3"/>
      <c r="R165" s="3"/>
      <c r="S165" s="3"/>
      <c r="T165" s="3"/>
      <c r="U165" s="3"/>
      <c r="V165" s="3"/>
    </row>
    <row r="166" ht="12.75" customHeight="1" spans="1:22" x14ac:dyDescent="0.25">
      <c r="A166" s="3"/>
      <c r="B166" s="3"/>
      <c r="C166" s="3"/>
      <c r="D166" s="3"/>
      <c r="E166" s="3"/>
      <c r="F166" s="3"/>
      <c r="G166" s="3"/>
      <c r="H166" s="3"/>
      <c r="I166" s="3"/>
      <c r="J166" s="3"/>
      <c r="K166" s="3"/>
      <c r="L166" s="3"/>
      <c r="M166" s="3"/>
      <c r="N166" s="3"/>
      <c r="O166" s="3"/>
      <c r="P166" s="3"/>
      <c r="Q166" s="3"/>
      <c r="R166" s="3"/>
      <c r="S166" s="3"/>
      <c r="T166" s="3"/>
      <c r="U166" s="3"/>
      <c r="V166" s="3"/>
    </row>
    <row r="167" ht="12.75" customHeight="1" spans="1:22" x14ac:dyDescent="0.25">
      <c r="A167" s="3"/>
      <c r="B167" s="3"/>
      <c r="C167" s="3"/>
      <c r="D167" s="3"/>
      <c r="E167" s="3"/>
      <c r="F167" s="3"/>
      <c r="G167" s="3"/>
      <c r="H167" s="3"/>
      <c r="I167" s="3"/>
      <c r="J167" s="3"/>
      <c r="K167" s="3"/>
      <c r="L167" s="3"/>
      <c r="M167" s="3"/>
      <c r="N167" s="3"/>
      <c r="O167" s="3"/>
      <c r="P167" s="3"/>
      <c r="Q167" s="3"/>
      <c r="R167" s="3"/>
      <c r="S167" s="3"/>
      <c r="T167" s="3"/>
      <c r="U167" s="3"/>
      <c r="V167" s="3"/>
    </row>
    <row r="168" ht="12.75" customHeight="1" spans="1:22" x14ac:dyDescent="0.25">
      <c r="A168" s="3"/>
      <c r="B168" s="3"/>
      <c r="C168" s="3"/>
      <c r="D168" s="3"/>
      <c r="E168" s="3"/>
      <c r="F168" s="3"/>
      <c r="G168" s="3"/>
      <c r="H168" s="3"/>
      <c r="I168" s="3"/>
      <c r="J168" s="3"/>
      <c r="K168" s="3"/>
      <c r="L168" s="3"/>
      <c r="M168" s="3"/>
      <c r="N168" s="3"/>
      <c r="O168" s="3"/>
      <c r="P168" s="3"/>
      <c r="Q168" s="3"/>
      <c r="R168" s="3"/>
      <c r="S168" s="3"/>
      <c r="T168" s="3"/>
      <c r="U168" s="3"/>
      <c r="V168" s="3"/>
    </row>
    <row r="169" ht="12.75" customHeight="1" spans="1:22" x14ac:dyDescent="0.25">
      <c r="A169" s="3"/>
      <c r="B169" s="3"/>
      <c r="C169" s="3"/>
      <c r="D169" s="3"/>
      <c r="E169" s="3"/>
      <c r="F169" s="3"/>
      <c r="G169" s="3"/>
      <c r="H169" s="3"/>
      <c r="I169" s="3"/>
      <c r="J169" s="3"/>
      <c r="K169" s="3"/>
      <c r="L169" s="3"/>
      <c r="M169" s="3"/>
      <c r="N169" s="3"/>
      <c r="O169" s="3"/>
      <c r="P169" s="3"/>
      <c r="Q169" s="3"/>
      <c r="R169" s="3"/>
      <c r="S169" s="3"/>
      <c r="T169" s="3"/>
      <c r="U169" s="3"/>
      <c r="V169" s="3"/>
    </row>
    <row r="170" ht="12.75" customHeight="1" spans="1:22" x14ac:dyDescent="0.25">
      <c r="A170" s="3"/>
      <c r="B170" s="3"/>
      <c r="C170" s="3"/>
      <c r="D170" s="3"/>
      <c r="E170" s="3"/>
      <c r="F170" s="3"/>
      <c r="G170" s="3"/>
      <c r="H170" s="3"/>
      <c r="I170" s="3"/>
      <c r="J170" s="3"/>
      <c r="K170" s="3"/>
      <c r="L170" s="3"/>
      <c r="M170" s="3"/>
      <c r="N170" s="3"/>
      <c r="O170" s="3"/>
      <c r="P170" s="3"/>
      <c r="Q170" s="3"/>
      <c r="R170" s="3"/>
      <c r="S170" s="3"/>
      <c r="T170" s="3"/>
      <c r="U170" s="3"/>
      <c r="V170" s="3"/>
    </row>
    <row r="171" ht="12.75" customHeight="1" spans="1:22" x14ac:dyDescent="0.25">
      <c r="A171" s="3"/>
      <c r="B171" s="3"/>
      <c r="C171" s="3"/>
      <c r="D171" s="3"/>
      <c r="E171" s="3"/>
      <c r="F171" s="3"/>
      <c r="G171" s="3"/>
      <c r="H171" s="3"/>
      <c r="I171" s="3"/>
      <c r="J171" s="3"/>
      <c r="K171" s="3"/>
      <c r="L171" s="3"/>
      <c r="M171" s="3"/>
      <c r="N171" s="3"/>
      <c r="O171" s="3"/>
      <c r="P171" s="3"/>
      <c r="Q171" s="3"/>
      <c r="R171" s="3"/>
      <c r="S171" s="3"/>
      <c r="T171" s="3"/>
      <c r="U171" s="3"/>
      <c r="V171" s="3"/>
    </row>
    <row r="172" ht="12.75" customHeight="1" spans="1:22" x14ac:dyDescent="0.25">
      <c r="A172" s="3"/>
      <c r="B172" s="3"/>
      <c r="C172" s="3"/>
      <c r="D172" s="3"/>
      <c r="E172" s="3"/>
      <c r="F172" s="3"/>
      <c r="G172" s="3"/>
      <c r="H172" s="3"/>
      <c r="I172" s="3"/>
      <c r="J172" s="3"/>
      <c r="K172" s="3"/>
      <c r="L172" s="3"/>
      <c r="M172" s="3"/>
      <c r="N172" s="3"/>
      <c r="O172" s="3"/>
      <c r="P172" s="3"/>
      <c r="Q172" s="3"/>
      <c r="R172" s="3"/>
      <c r="S172" s="3"/>
      <c r="T172" s="3"/>
      <c r="U172" s="3"/>
      <c r="V172" s="3"/>
    </row>
    <row r="173" ht="12.75" customHeight="1" spans="1:22" x14ac:dyDescent="0.25">
      <c r="A173" s="3"/>
      <c r="B173" s="3"/>
      <c r="C173" s="3"/>
      <c r="D173" s="3"/>
      <c r="E173" s="3"/>
      <c r="F173" s="3"/>
      <c r="G173" s="3"/>
      <c r="H173" s="3"/>
      <c r="I173" s="3"/>
      <c r="J173" s="3"/>
      <c r="K173" s="3"/>
      <c r="L173" s="3"/>
      <c r="M173" s="3"/>
      <c r="N173" s="3"/>
      <c r="O173" s="3"/>
      <c r="P173" s="3"/>
      <c r="Q173" s="3"/>
      <c r="R173" s="3"/>
      <c r="S173" s="3"/>
      <c r="T173" s="3"/>
      <c r="U173" s="3"/>
      <c r="V173" s="3"/>
    </row>
    <row r="174" ht="12.75" customHeight="1" spans="1:22" x14ac:dyDescent="0.25">
      <c r="A174" s="3"/>
      <c r="B174" s="3"/>
      <c r="C174" s="3"/>
      <c r="D174" s="3"/>
      <c r="E174" s="3"/>
      <c r="F174" s="3"/>
      <c r="G174" s="3"/>
      <c r="H174" s="3"/>
      <c r="I174" s="3"/>
      <c r="J174" s="3"/>
      <c r="K174" s="3"/>
      <c r="L174" s="3"/>
      <c r="M174" s="3"/>
      <c r="N174" s="3"/>
      <c r="O174" s="3"/>
      <c r="P174" s="3"/>
      <c r="Q174" s="3"/>
      <c r="R174" s="3"/>
      <c r="S174" s="3"/>
      <c r="T174" s="3"/>
      <c r="U174" s="3"/>
      <c r="V174" s="3"/>
    </row>
    <row r="175" ht="12.75" customHeight="1" spans="1:22" x14ac:dyDescent="0.25">
      <c r="A175" s="3"/>
      <c r="B175" s="3"/>
      <c r="C175" s="3"/>
      <c r="D175" s="3"/>
      <c r="E175" s="3"/>
      <c r="F175" s="3"/>
      <c r="G175" s="3"/>
      <c r="H175" s="3"/>
      <c r="I175" s="3"/>
      <c r="J175" s="3"/>
      <c r="K175" s="3"/>
      <c r="L175" s="3"/>
      <c r="M175" s="3"/>
      <c r="N175" s="3"/>
      <c r="O175" s="3"/>
      <c r="P175" s="3"/>
      <c r="Q175" s="3"/>
      <c r="R175" s="3"/>
      <c r="S175" s="3"/>
      <c r="T175" s="3"/>
      <c r="U175" s="3"/>
      <c r="V175" s="3"/>
    </row>
    <row r="176" ht="12.75" customHeight="1" spans="1:22" x14ac:dyDescent="0.25">
      <c r="A176" s="3"/>
      <c r="B176" s="3"/>
      <c r="C176" s="3"/>
      <c r="D176" s="3"/>
      <c r="E176" s="3"/>
      <c r="F176" s="3"/>
      <c r="G176" s="3"/>
      <c r="H176" s="3"/>
      <c r="I176" s="3"/>
      <c r="J176" s="3"/>
      <c r="K176" s="3"/>
      <c r="L176" s="3"/>
      <c r="M176" s="3"/>
      <c r="N176" s="3"/>
      <c r="O176" s="3"/>
      <c r="P176" s="3"/>
      <c r="Q176" s="3"/>
      <c r="R176" s="3"/>
      <c r="S176" s="3"/>
      <c r="T176" s="3"/>
      <c r="U176" s="3"/>
      <c r="V176" s="3"/>
    </row>
    <row r="177" ht="12.75" customHeight="1" spans="1:22" x14ac:dyDescent="0.25">
      <c r="A177" s="3"/>
      <c r="B177" s="3"/>
      <c r="C177" s="3"/>
      <c r="D177" s="3"/>
      <c r="E177" s="3"/>
      <c r="F177" s="3"/>
      <c r="G177" s="3"/>
      <c r="H177" s="3"/>
      <c r="I177" s="3"/>
      <c r="J177" s="3"/>
      <c r="K177" s="3"/>
      <c r="L177" s="3"/>
      <c r="M177" s="3"/>
      <c r="N177" s="3"/>
      <c r="O177" s="3"/>
      <c r="P177" s="3"/>
      <c r="Q177" s="3"/>
      <c r="R177" s="3"/>
      <c r="S177" s="3"/>
      <c r="T177" s="3"/>
      <c r="U177" s="3"/>
      <c r="V177" s="3"/>
    </row>
    <row r="178" ht="12.75" customHeight="1" spans="1:22" x14ac:dyDescent="0.25">
      <c r="A178" s="3"/>
      <c r="B178" s="3"/>
      <c r="C178" s="3"/>
      <c r="D178" s="3"/>
      <c r="E178" s="3"/>
      <c r="F178" s="3"/>
      <c r="G178" s="3"/>
      <c r="H178" s="3"/>
      <c r="I178" s="3"/>
      <c r="J178" s="3"/>
      <c r="K178" s="3"/>
      <c r="L178" s="3"/>
      <c r="M178" s="3"/>
      <c r="N178" s="3"/>
      <c r="O178" s="3"/>
      <c r="P178" s="3"/>
      <c r="Q178" s="3"/>
      <c r="R178" s="3"/>
      <c r="S178" s="3"/>
      <c r="T178" s="3"/>
      <c r="U178" s="3"/>
      <c r="V178" s="3"/>
    </row>
    <row r="179" ht="12.75" customHeight="1" spans="1:22" x14ac:dyDescent="0.25">
      <c r="A179" s="3"/>
      <c r="B179" s="3"/>
      <c r="C179" s="3"/>
      <c r="D179" s="3"/>
      <c r="E179" s="3"/>
      <c r="F179" s="3"/>
      <c r="G179" s="3"/>
      <c r="H179" s="3"/>
      <c r="I179" s="3"/>
      <c r="J179" s="3"/>
      <c r="K179" s="3"/>
      <c r="L179" s="3"/>
      <c r="M179" s="3"/>
      <c r="N179" s="3"/>
      <c r="O179" s="3"/>
      <c r="P179" s="3"/>
      <c r="Q179" s="3"/>
      <c r="R179" s="3"/>
      <c r="S179" s="3"/>
      <c r="T179" s="3"/>
      <c r="U179" s="3"/>
      <c r="V179" s="3"/>
    </row>
    <row r="180" ht="12.75" customHeight="1" spans="1:22" x14ac:dyDescent="0.25">
      <c r="A180" s="3"/>
      <c r="B180" s="3"/>
      <c r="C180" s="3"/>
      <c r="D180" s="3"/>
      <c r="E180" s="3"/>
      <c r="F180" s="3"/>
      <c r="G180" s="3"/>
      <c r="H180" s="3"/>
      <c r="I180" s="3"/>
      <c r="J180" s="3"/>
      <c r="K180" s="3"/>
      <c r="L180" s="3"/>
      <c r="M180" s="3"/>
      <c r="N180" s="3"/>
      <c r="O180" s="3"/>
      <c r="P180" s="3"/>
      <c r="Q180" s="3"/>
      <c r="R180" s="3"/>
      <c r="S180" s="3"/>
      <c r="T180" s="3"/>
      <c r="U180" s="3"/>
      <c r="V180" s="3"/>
    </row>
    <row r="181" ht="12.75" customHeight="1" spans="1:22" x14ac:dyDescent="0.25">
      <c r="A181" s="3"/>
      <c r="B181" s="3"/>
      <c r="C181" s="3"/>
      <c r="D181" s="3"/>
      <c r="E181" s="3"/>
      <c r="F181" s="3"/>
      <c r="G181" s="3"/>
      <c r="H181" s="3"/>
      <c r="I181" s="3"/>
      <c r="J181" s="3"/>
      <c r="K181" s="3"/>
      <c r="L181" s="3"/>
      <c r="M181" s="3"/>
      <c r="N181" s="3"/>
      <c r="O181" s="3"/>
      <c r="P181" s="3"/>
      <c r="Q181" s="3"/>
      <c r="R181" s="3"/>
      <c r="S181" s="3"/>
      <c r="T181" s="3"/>
      <c r="U181" s="3"/>
      <c r="V181" s="3"/>
    </row>
    <row r="182" ht="12.75" customHeight="1" spans="1:22" x14ac:dyDescent="0.25">
      <c r="A182" s="3"/>
      <c r="B182" s="3"/>
      <c r="C182" s="3"/>
      <c r="D182" s="3"/>
      <c r="E182" s="3"/>
      <c r="F182" s="3"/>
      <c r="G182" s="3"/>
      <c r="H182" s="3"/>
      <c r="I182" s="3"/>
      <c r="J182" s="3"/>
      <c r="K182" s="3"/>
      <c r="L182" s="3"/>
      <c r="M182" s="3"/>
      <c r="N182" s="3"/>
      <c r="O182" s="3"/>
      <c r="P182" s="3"/>
      <c r="Q182" s="3"/>
      <c r="R182" s="3"/>
      <c r="S182" s="3"/>
      <c r="T182" s="3"/>
      <c r="U182" s="3"/>
      <c r="V182" s="3"/>
    </row>
    <row r="183" ht="12.75" customHeight="1" spans="1:22" x14ac:dyDescent="0.25">
      <c r="A183" s="3"/>
      <c r="B183" s="3"/>
      <c r="C183" s="3"/>
      <c r="D183" s="3"/>
      <c r="E183" s="3"/>
      <c r="F183" s="3"/>
      <c r="G183" s="3"/>
      <c r="H183" s="3"/>
      <c r="I183" s="3"/>
      <c r="J183" s="3"/>
      <c r="K183" s="3"/>
      <c r="L183" s="3"/>
      <c r="M183" s="3"/>
      <c r="N183" s="3"/>
      <c r="O183" s="3"/>
      <c r="P183" s="3"/>
      <c r="Q183" s="3"/>
      <c r="R183" s="3"/>
      <c r="S183" s="3"/>
      <c r="T183" s="3"/>
      <c r="U183" s="3"/>
      <c r="V183" s="3"/>
    </row>
    <row r="184" ht="12.75" customHeight="1" spans="1:22" x14ac:dyDescent="0.25">
      <c r="A184" s="3"/>
      <c r="B184" s="3"/>
      <c r="C184" s="3"/>
      <c r="D184" s="3"/>
      <c r="E184" s="3"/>
      <c r="F184" s="3"/>
      <c r="G184" s="3"/>
      <c r="H184" s="3"/>
      <c r="I184" s="3"/>
      <c r="J184" s="3"/>
      <c r="K184" s="3"/>
      <c r="L184" s="3"/>
      <c r="M184" s="3"/>
      <c r="N184" s="3"/>
      <c r="O184" s="3"/>
      <c r="P184" s="3"/>
      <c r="Q184" s="3"/>
      <c r="R184" s="3"/>
      <c r="S184" s="3"/>
      <c r="T184" s="3"/>
      <c r="U184" s="3"/>
      <c r="V184" s="3"/>
    </row>
    <row r="185" ht="12.75" customHeight="1" spans="1:22" x14ac:dyDescent="0.25">
      <c r="A185" s="3"/>
      <c r="B185" s="3"/>
      <c r="C185" s="3"/>
      <c r="D185" s="3"/>
      <c r="E185" s="3"/>
      <c r="F185" s="3"/>
      <c r="G185" s="3"/>
      <c r="H185" s="3"/>
      <c r="I185" s="3"/>
      <c r="J185" s="3"/>
      <c r="K185" s="3"/>
      <c r="L185" s="3"/>
      <c r="M185" s="3"/>
      <c r="N185" s="3"/>
      <c r="O185" s="3"/>
      <c r="P185" s="3"/>
      <c r="Q185" s="3"/>
      <c r="R185" s="3"/>
      <c r="S185" s="3"/>
      <c r="T185" s="3"/>
      <c r="U185" s="3"/>
      <c r="V185" s="3"/>
    </row>
    <row r="186" ht="12.75" customHeight="1" spans="1:22" x14ac:dyDescent="0.25">
      <c r="A186" s="3"/>
      <c r="B186" s="3"/>
      <c r="C186" s="3"/>
      <c r="D186" s="3"/>
      <c r="E186" s="3"/>
      <c r="F186" s="3"/>
      <c r="G186" s="3"/>
      <c r="H186" s="3"/>
      <c r="I186" s="3"/>
      <c r="J186" s="3"/>
      <c r="K186" s="3"/>
      <c r="L186" s="3"/>
      <c r="M186" s="3"/>
      <c r="N186" s="3"/>
      <c r="O186" s="3"/>
      <c r="P186" s="3"/>
      <c r="Q186" s="3"/>
      <c r="R186" s="3"/>
      <c r="S186" s="3"/>
      <c r="T186" s="3"/>
      <c r="U186" s="3"/>
      <c r="V186" s="3"/>
    </row>
    <row r="187" ht="12.75" customHeight="1" spans="1:22" x14ac:dyDescent="0.25">
      <c r="A187" s="3"/>
      <c r="B187" s="3"/>
      <c r="C187" s="3"/>
      <c r="D187" s="3"/>
      <c r="E187" s="3"/>
      <c r="F187" s="3"/>
      <c r="G187" s="3"/>
      <c r="H187" s="3"/>
      <c r="I187" s="3"/>
      <c r="J187" s="3"/>
      <c r="K187" s="3"/>
      <c r="L187" s="3"/>
      <c r="M187" s="3"/>
      <c r="N187" s="3"/>
      <c r="O187" s="3"/>
      <c r="P187" s="3"/>
      <c r="Q187" s="3"/>
      <c r="R187" s="3"/>
      <c r="S187" s="3"/>
      <c r="T187" s="3"/>
      <c r="U187" s="3"/>
      <c r="V187" s="3"/>
    </row>
    <row r="188" ht="12.75" customHeight="1" spans="1:22" x14ac:dyDescent="0.25">
      <c r="A188" s="3"/>
      <c r="B188" s="3"/>
      <c r="C188" s="3"/>
      <c r="D188" s="3"/>
      <c r="E188" s="3"/>
      <c r="F188" s="3"/>
      <c r="G188" s="3"/>
      <c r="H188" s="3"/>
      <c r="I188" s="3"/>
      <c r="J188" s="3"/>
      <c r="K188" s="3"/>
      <c r="L188" s="3"/>
      <c r="M188" s="3"/>
      <c r="N188" s="3"/>
      <c r="O188" s="3"/>
      <c r="P188" s="3"/>
      <c r="Q188" s="3"/>
      <c r="R188" s="3"/>
      <c r="S188" s="3"/>
      <c r="T188" s="3"/>
      <c r="U188" s="3"/>
      <c r="V188" s="3"/>
    </row>
    <row r="189" ht="12.75" customHeight="1" spans="1:22" x14ac:dyDescent="0.25">
      <c r="A189" s="3"/>
      <c r="B189" s="3"/>
      <c r="C189" s="3"/>
      <c r="D189" s="3"/>
      <c r="E189" s="3"/>
      <c r="F189" s="3"/>
      <c r="G189" s="3"/>
      <c r="H189" s="3"/>
      <c r="I189" s="3"/>
      <c r="J189" s="3"/>
      <c r="K189" s="3"/>
      <c r="L189" s="3"/>
      <c r="M189" s="3"/>
      <c r="N189" s="3"/>
      <c r="O189" s="3"/>
      <c r="P189" s="3"/>
      <c r="Q189" s="3"/>
      <c r="R189" s="3"/>
      <c r="S189" s="3"/>
      <c r="T189" s="3"/>
      <c r="U189" s="3"/>
      <c r="V189" s="3"/>
    </row>
    <row r="190" ht="12.75" customHeight="1" spans="1:22" x14ac:dyDescent="0.25">
      <c r="A190" s="3"/>
      <c r="B190" s="3"/>
      <c r="C190" s="3"/>
      <c r="D190" s="3"/>
      <c r="E190" s="3"/>
      <c r="F190" s="3"/>
      <c r="G190" s="3"/>
      <c r="H190" s="3"/>
      <c r="I190" s="3"/>
      <c r="J190" s="3"/>
      <c r="K190" s="3"/>
      <c r="L190" s="3"/>
      <c r="M190" s="3"/>
      <c r="N190" s="3"/>
      <c r="O190" s="3"/>
      <c r="P190" s="3"/>
      <c r="Q190" s="3"/>
      <c r="R190" s="3"/>
      <c r="S190" s="3"/>
      <c r="T190" s="3"/>
      <c r="U190" s="3"/>
      <c r="V190" s="3"/>
    </row>
    <row r="191" ht="12.75" customHeight="1" spans="1:22" x14ac:dyDescent="0.25">
      <c r="A191" s="3"/>
      <c r="B191" s="3"/>
      <c r="C191" s="3"/>
      <c r="D191" s="3"/>
      <c r="E191" s="3"/>
      <c r="F191" s="3"/>
      <c r="G191" s="3"/>
      <c r="H191" s="3"/>
      <c r="I191" s="3"/>
      <c r="J191" s="3"/>
      <c r="K191" s="3"/>
      <c r="L191" s="3"/>
      <c r="M191" s="3"/>
      <c r="N191" s="3"/>
      <c r="O191" s="3"/>
      <c r="P191" s="3"/>
      <c r="Q191" s="3"/>
      <c r="R191" s="3"/>
      <c r="S191" s="3"/>
      <c r="T191" s="3"/>
      <c r="U191" s="3"/>
      <c r="V191" s="3"/>
    </row>
    <row r="192" ht="12.75" customHeight="1" spans="1:22" x14ac:dyDescent="0.25">
      <c r="A192" s="3"/>
      <c r="B192" s="3"/>
      <c r="C192" s="3"/>
      <c r="D192" s="3"/>
      <c r="E192" s="3"/>
      <c r="F192" s="3"/>
      <c r="G192" s="3"/>
      <c r="H192" s="3"/>
      <c r="I192" s="3"/>
      <c r="J192" s="3"/>
      <c r="K192" s="3"/>
      <c r="L192" s="3"/>
      <c r="M192" s="3"/>
      <c r="N192" s="3"/>
      <c r="O192" s="3"/>
      <c r="P192" s="3"/>
      <c r="Q192" s="3"/>
      <c r="R192" s="3"/>
      <c r="S192" s="3"/>
      <c r="T192" s="3"/>
      <c r="U192" s="3"/>
      <c r="V192" s="3"/>
    </row>
    <row r="193" ht="12.75" customHeight="1" spans="1:22" x14ac:dyDescent="0.25">
      <c r="A193" s="3"/>
      <c r="B193" s="3"/>
      <c r="C193" s="3"/>
      <c r="D193" s="3"/>
      <c r="E193" s="3"/>
      <c r="F193" s="3"/>
      <c r="G193" s="3"/>
      <c r="H193" s="3"/>
      <c r="I193" s="3"/>
      <c r="J193" s="3"/>
      <c r="K193" s="3"/>
      <c r="L193" s="3"/>
      <c r="M193" s="3"/>
      <c r="N193" s="3"/>
      <c r="O193" s="3"/>
      <c r="P193" s="3"/>
      <c r="Q193" s="3"/>
      <c r="R193" s="3"/>
      <c r="S193" s="3"/>
      <c r="T193" s="3"/>
      <c r="U193" s="3"/>
      <c r="V193" s="3"/>
    </row>
    <row r="194" ht="12.75" customHeight="1" spans="1:22" x14ac:dyDescent="0.25">
      <c r="A194" s="3"/>
      <c r="B194" s="3"/>
      <c r="C194" s="3"/>
      <c r="D194" s="3"/>
      <c r="E194" s="3"/>
      <c r="F194" s="3"/>
      <c r="G194" s="3"/>
      <c r="H194" s="3"/>
      <c r="I194" s="3"/>
      <c r="J194" s="3"/>
      <c r="K194" s="3"/>
      <c r="L194" s="3"/>
      <c r="M194" s="3"/>
      <c r="N194" s="3"/>
      <c r="O194" s="3"/>
      <c r="P194" s="3"/>
      <c r="Q194" s="3"/>
      <c r="R194" s="3"/>
      <c r="S194" s="3"/>
      <c r="T194" s="3"/>
      <c r="U194" s="3"/>
      <c r="V194" s="3"/>
    </row>
    <row r="195" ht="12.75" customHeight="1" spans="1:22" x14ac:dyDescent="0.25">
      <c r="A195" s="3"/>
      <c r="B195" s="3"/>
      <c r="C195" s="3"/>
      <c r="D195" s="3"/>
      <c r="E195" s="3"/>
      <c r="F195" s="3"/>
      <c r="G195" s="3"/>
      <c r="H195" s="3"/>
      <c r="I195" s="3"/>
      <c r="J195" s="3"/>
      <c r="K195" s="3"/>
      <c r="L195" s="3"/>
      <c r="M195" s="3"/>
      <c r="N195" s="3"/>
      <c r="O195" s="3"/>
      <c r="P195" s="3"/>
      <c r="Q195" s="3"/>
      <c r="R195" s="3"/>
      <c r="S195" s="3"/>
      <c r="T195" s="3"/>
      <c r="U195" s="3"/>
      <c r="V195" s="3"/>
    </row>
    <row r="196" ht="12.75" customHeight="1" spans="1:22" x14ac:dyDescent="0.25">
      <c r="A196" s="3"/>
      <c r="B196" s="3"/>
      <c r="C196" s="3"/>
      <c r="D196" s="3"/>
      <c r="E196" s="3"/>
      <c r="F196" s="3"/>
      <c r="G196" s="3"/>
      <c r="H196" s="3"/>
      <c r="I196" s="3"/>
      <c r="J196" s="3"/>
      <c r="K196" s="3"/>
      <c r="L196" s="3"/>
      <c r="M196" s="3"/>
      <c r="N196" s="3"/>
      <c r="O196" s="3"/>
      <c r="P196" s="3"/>
      <c r="Q196" s="3"/>
      <c r="R196" s="3"/>
      <c r="S196" s="3"/>
      <c r="T196" s="3"/>
      <c r="U196" s="3"/>
      <c r="V196" s="3"/>
    </row>
    <row r="197" ht="12.75" customHeight="1" spans="1:22" x14ac:dyDescent="0.25">
      <c r="A197" s="3"/>
      <c r="B197" s="3"/>
      <c r="C197" s="3"/>
      <c r="D197" s="3"/>
      <c r="E197" s="3"/>
      <c r="F197" s="3"/>
      <c r="G197" s="3"/>
      <c r="H197" s="3"/>
      <c r="I197" s="3"/>
      <c r="J197" s="3"/>
      <c r="K197" s="3"/>
      <c r="L197" s="3"/>
      <c r="M197" s="3"/>
      <c r="N197" s="3"/>
      <c r="O197" s="3"/>
      <c r="P197" s="3"/>
      <c r="Q197" s="3"/>
      <c r="R197" s="3"/>
      <c r="S197" s="3"/>
      <c r="T197" s="3"/>
      <c r="U197" s="3"/>
      <c r="V197" s="3"/>
    </row>
    <row r="198" ht="12.75" customHeight="1" spans="1:22" x14ac:dyDescent="0.25">
      <c r="A198" s="3"/>
      <c r="B198" s="3"/>
      <c r="C198" s="3"/>
      <c r="D198" s="3"/>
      <c r="E198" s="3"/>
      <c r="F198" s="3"/>
      <c r="G198" s="3"/>
      <c r="H198" s="3"/>
      <c r="I198" s="3"/>
      <c r="J198" s="3"/>
      <c r="K198" s="3"/>
      <c r="L198" s="3"/>
      <c r="M198" s="3"/>
      <c r="N198" s="3"/>
      <c r="O198" s="3"/>
      <c r="P198" s="3"/>
      <c r="Q198" s="3"/>
      <c r="R198" s="3"/>
      <c r="S198" s="3"/>
      <c r="T198" s="3"/>
      <c r="U198" s="3"/>
      <c r="V198" s="3"/>
    </row>
    <row r="199" ht="12.75" customHeight="1" spans="1:22" x14ac:dyDescent="0.25">
      <c r="A199" s="3"/>
      <c r="B199" s="3"/>
      <c r="C199" s="3"/>
      <c r="D199" s="3"/>
      <c r="E199" s="3"/>
      <c r="F199" s="3"/>
      <c r="G199" s="3"/>
      <c r="H199" s="3"/>
      <c r="I199" s="3"/>
      <c r="J199" s="3"/>
      <c r="K199" s="3"/>
      <c r="L199" s="3"/>
      <c r="M199" s="3"/>
      <c r="N199" s="3"/>
      <c r="O199" s="3"/>
      <c r="P199" s="3"/>
      <c r="Q199" s="3"/>
      <c r="R199" s="3"/>
      <c r="S199" s="3"/>
      <c r="T199" s="3"/>
      <c r="U199" s="3"/>
      <c r="V199" s="3"/>
    </row>
    <row r="200" ht="12.75" customHeight="1" spans="1:22" x14ac:dyDescent="0.25">
      <c r="A200" s="3"/>
      <c r="B200" s="3"/>
      <c r="C200" s="3"/>
      <c r="D200" s="3"/>
      <c r="E200" s="3"/>
      <c r="F200" s="3"/>
      <c r="G200" s="3"/>
      <c r="H200" s="3"/>
      <c r="I200" s="3"/>
      <c r="J200" s="3"/>
      <c r="K200" s="3"/>
      <c r="L200" s="3"/>
      <c r="M200" s="3"/>
      <c r="N200" s="3"/>
      <c r="O200" s="3"/>
      <c r="P200" s="3"/>
      <c r="Q200" s="3"/>
      <c r="R200" s="3"/>
      <c r="S200" s="3"/>
      <c r="T200" s="3"/>
      <c r="U200" s="3"/>
      <c r="V200" s="3"/>
    </row>
    <row r="201" ht="12.75" customHeight="1" spans="1:22" x14ac:dyDescent="0.25">
      <c r="A201" s="3"/>
      <c r="B201" s="3"/>
      <c r="C201" s="3"/>
      <c r="D201" s="3"/>
      <c r="E201" s="3"/>
      <c r="F201" s="3"/>
      <c r="G201" s="3"/>
      <c r="H201" s="3"/>
      <c r="I201" s="3"/>
      <c r="J201" s="3"/>
      <c r="K201" s="3"/>
      <c r="L201" s="3"/>
      <c r="M201" s="3"/>
      <c r="N201" s="3"/>
      <c r="O201" s="3"/>
      <c r="P201" s="3"/>
      <c r="Q201" s="3"/>
      <c r="R201" s="3"/>
      <c r="S201" s="3"/>
      <c r="T201" s="3"/>
      <c r="U201" s="3"/>
      <c r="V201" s="3"/>
    </row>
    <row r="202" ht="12.75" customHeight="1" spans="1:22" x14ac:dyDescent="0.25">
      <c r="A202" s="3"/>
      <c r="B202" s="3"/>
      <c r="C202" s="3"/>
      <c r="D202" s="3"/>
      <c r="E202" s="3"/>
      <c r="F202" s="3"/>
      <c r="G202" s="3"/>
      <c r="H202" s="3"/>
      <c r="I202" s="3"/>
      <c r="J202" s="3"/>
      <c r="K202" s="3"/>
      <c r="L202" s="3"/>
      <c r="M202" s="3"/>
      <c r="N202" s="3"/>
      <c r="O202" s="3"/>
      <c r="P202" s="3"/>
      <c r="Q202" s="3"/>
      <c r="R202" s="3"/>
      <c r="S202" s="3"/>
      <c r="T202" s="3"/>
      <c r="U202" s="3"/>
      <c r="V202" s="3"/>
    </row>
    <row r="203" ht="12.75" customHeight="1" spans="1:22" x14ac:dyDescent="0.25">
      <c r="A203" s="3"/>
      <c r="B203" s="3"/>
      <c r="C203" s="3"/>
      <c r="D203" s="3"/>
      <c r="E203" s="3"/>
      <c r="F203" s="3"/>
      <c r="G203" s="3"/>
      <c r="H203" s="3"/>
      <c r="I203" s="3"/>
      <c r="J203" s="3"/>
      <c r="K203" s="3"/>
      <c r="L203" s="3"/>
      <c r="M203" s="3"/>
      <c r="N203" s="3"/>
      <c r="O203" s="3"/>
      <c r="P203" s="3"/>
      <c r="Q203" s="3"/>
      <c r="R203" s="3"/>
      <c r="S203" s="3"/>
      <c r="T203" s="3"/>
      <c r="U203" s="3"/>
      <c r="V203" s="3"/>
    </row>
    <row r="204" ht="12.75" customHeight="1" spans="1:22" x14ac:dyDescent="0.25">
      <c r="A204" s="3"/>
      <c r="B204" s="3"/>
      <c r="C204" s="3"/>
      <c r="D204" s="3"/>
      <c r="E204" s="3"/>
      <c r="F204" s="3"/>
      <c r="G204" s="3"/>
      <c r="H204" s="3"/>
      <c r="I204" s="3"/>
      <c r="J204" s="3"/>
      <c r="K204" s="3"/>
      <c r="L204" s="3"/>
      <c r="M204" s="3"/>
      <c r="N204" s="3"/>
      <c r="O204" s="3"/>
      <c r="P204" s="3"/>
      <c r="Q204" s="3"/>
      <c r="R204" s="3"/>
      <c r="S204" s="3"/>
      <c r="T204" s="3"/>
      <c r="U204" s="3"/>
      <c r="V204" s="3"/>
    </row>
    <row r="205" ht="12.75" customHeight="1" spans="1:22" x14ac:dyDescent="0.25">
      <c r="A205" s="3"/>
      <c r="B205" s="3"/>
      <c r="C205" s="3"/>
      <c r="D205" s="3"/>
      <c r="E205" s="3"/>
      <c r="F205" s="3"/>
      <c r="G205" s="3"/>
      <c r="H205" s="3"/>
      <c r="I205" s="3"/>
      <c r="J205" s="3"/>
      <c r="K205" s="3"/>
      <c r="L205" s="3"/>
      <c r="M205" s="3"/>
      <c r="N205" s="3"/>
      <c r="O205" s="3"/>
      <c r="P205" s="3"/>
      <c r="Q205" s="3"/>
      <c r="R205" s="3"/>
      <c r="S205" s="3"/>
      <c r="T205" s="3"/>
      <c r="U205" s="3"/>
      <c r="V205" s="3"/>
    </row>
    <row r="206" ht="12.75" customHeight="1" spans="1:22" x14ac:dyDescent="0.25">
      <c r="A206" s="3"/>
      <c r="B206" s="3"/>
      <c r="C206" s="3"/>
      <c r="D206" s="3"/>
      <c r="E206" s="3"/>
      <c r="F206" s="3"/>
      <c r="G206" s="3"/>
      <c r="H206" s="3"/>
      <c r="I206" s="3"/>
      <c r="J206" s="3"/>
      <c r="K206" s="3"/>
      <c r="L206" s="3"/>
      <c r="M206" s="3"/>
      <c r="N206" s="3"/>
      <c r="O206" s="3"/>
      <c r="P206" s="3"/>
      <c r="Q206" s="3"/>
      <c r="R206" s="3"/>
      <c r="S206" s="3"/>
      <c r="T206" s="3"/>
      <c r="U206" s="3"/>
      <c r="V206" s="3"/>
    </row>
    <row r="207" ht="12.75" customHeight="1" spans="1:22" x14ac:dyDescent="0.25">
      <c r="A207" s="3"/>
      <c r="B207" s="3"/>
      <c r="C207" s="3"/>
      <c r="D207" s="3"/>
      <c r="E207" s="3"/>
      <c r="F207" s="3"/>
      <c r="G207" s="3"/>
      <c r="H207" s="3"/>
      <c r="I207" s="3"/>
      <c r="J207" s="3"/>
      <c r="K207" s="3"/>
      <c r="L207" s="3"/>
      <c r="M207" s="3"/>
      <c r="N207" s="3"/>
      <c r="O207" s="3"/>
      <c r="P207" s="3"/>
      <c r="Q207" s="3"/>
      <c r="R207" s="3"/>
      <c r="S207" s="3"/>
      <c r="T207" s="3"/>
      <c r="U207" s="3"/>
      <c r="V207" s="3"/>
    </row>
    <row r="208" ht="12.75" customHeight="1" spans="1:22" x14ac:dyDescent="0.25">
      <c r="A208" s="3"/>
      <c r="B208" s="3"/>
      <c r="C208" s="3"/>
      <c r="D208" s="3"/>
      <c r="E208" s="3"/>
      <c r="F208" s="3"/>
      <c r="G208" s="3"/>
      <c r="H208" s="3"/>
      <c r="I208" s="3"/>
      <c r="J208" s="3"/>
      <c r="K208" s="3"/>
      <c r="L208" s="3"/>
      <c r="M208" s="3"/>
      <c r="N208" s="3"/>
      <c r="O208" s="3"/>
      <c r="P208" s="3"/>
      <c r="Q208" s="3"/>
      <c r="R208" s="3"/>
      <c r="S208" s="3"/>
      <c r="T208" s="3"/>
      <c r="U208" s="3"/>
      <c r="V208" s="3"/>
    </row>
    <row r="209" ht="12.75" customHeight="1" spans="1:22" x14ac:dyDescent="0.25">
      <c r="A209" s="3"/>
      <c r="B209" s="3"/>
      <c r="C209" s="3"/>
      <c r="D209" s="3"/>
      <c r="E209" s="3"/>
      <c r="F209" s="3"/>
      <c r="G209" s="3"/>
      <c r="H209" s="3"/>
      <c r="I209" s="3"/>
      <c r="J209" s="3"/>
      <c r="K209" s="3"/>
      <c r="L209" s="3"/>
      <c r="M209" s="3"/>
      <c r="N209" s="3"/>
      <c r="O209" s="3"/>
      <c r="P209" s="3"/>
      <c r="Q209" s="3"/>
      <c r="R209" s="3"/>
      <c r="S209" s="3"/>
      <c r="T209" s="3"/>
      <c r="U209" s="3"/>
      <c r="V209" s="3"/>
    </row>
    <row r="210" ht="12.75" customHeight="1" spans="1:22" x14ac:dyDescent="0.25">
      <c r="A210" s="3"/>
      <c r="B210" s="3"/>
      <c r="C210" s="3"/>
      <c r="D210" s="3"/>
      <c r="E210" s="3"/>
      <c r="F210" s="3"/>
      <c r="G210" s="3"/>
      <c r="H210" s="3"/>
      <c r="I210" s="3"/>
      <c r="J210" s="3"/>
      <c r="K210" s="3"/>
      <c r="L210" s="3"/>
      <c r="M210" s="3"/>
      <c r="N210" s="3"/>
      <c r="O210" s="3"/>
      <c r="P210" s="3"/>
      <c r="Q210" s="3"/>
      <c r="R210" s="3"/>
      <c r="S210" s="3"/>
      <c r="T210" s="3"/>
      <c r="U210" s="3"/>
      <c r="V210" s="3"/>
    </row>
    <row r="211" ht="12.75" customHeight="1" spans="1:22" x14ac:dyDescent="0.25">
      <c r="A211" s="3"/>
      <c r="B211" s="3"/>
      <c r="C211" s="3"/>
      <c r="D211" s="3"/>
      <c r="E211" s="3"/>
      <c r="F211" s="3"/>
      <c r="G211" s="3"/>
      <c r="H211" s="3"/>
      <c r="I211" s="3"/>
      <c r="J211" s="3"/>
      <c r="K211" s="3"/>
      <c r="L211" s="3"/>
      <c r="M211" s="3"/>
      <c r="N211" s="3"/>
      <c r="O211" s="3"/>
      <c r="P211" s="3"/>
      <c r="Q211" s="3"/>
      <c r="R211" s="3"/>
      <c r="S211" s="3"/>
      <c r="T211" s="3"/>
      <c r="U211" s="3"/>
      <c r="V211" s="3"/>
    </row>
    <row r="212" ht="12.75" customHeight="1" spans="1:22" x14ac:dyDescent="0.25">
      <c r="A212" s="3"/>
      <c r="B212" s="3"/>
      <c r="C212" s="3"/>
      <c r="D212" s="3"/>
      <c r="E212" s="3"/>
      <c r="F212" s="3"/>
      <c r="G212" s="3"/>
      <c r="H212" s="3"/>
      <c r="I212" s="3"/>
      <c r="J212" s="3"/>
      <c r="K212" s="3"/>
      <c r="L212" s="3"/>
      <c r="M212" s="3"/>
      <c r="N212" s="3"/>
      <c r="O212" s="3"/>
      <c r="P212" s="3"/>
      <c r="Q212" s="3"/>
      <c r="R212" s="3"/>
      <c r="S212" s="3"/>
      <c r="T212" s="3"/>
      <c r="U212" s="3"/>
      <c r="V212" s="3"/>
    </row>
    <row r="213" ht="12.75" customHeight="1" spans="1:22" x14ac:dyDescent="0.25">
      <c r="A213" s="3"/>
      <c r="B213" s="3"/>
      <c r="C213" s="3"/>
      <c r="D213" s="3"/>
      <c r="E213" s="3"/>
      <c r="F213" s="3"/>
      <c r="G213" s="3"/>
      <c r="H213" s="3"/>
      <c r="I213" s="3"/>
      <c r="J213" s="3"/>
      <c r="K213" s="3"/>
      <c r="L213" s="3"/>
      <c r="M213" s="3"/>
      <c r="N213" s="3"/>
      <c r="O213" s="3"/>
      <c r="P213" s="3"/>
      <c r="Q213" s="3"/>
      <c r="R213" s="3"/>
      <c r="S213" s="3"/>
      <c r="T213" s="3"/>
      <c r="U213" s="3"/>
      <c r="V213" s="3"/>
    </row>
    <row r="214" ht="12.75" customHeight="1" spans="1:22" x14ac:dyDescent="0.25">
      <c r="A214" s="3"/>
      <c r="B214" s="3"/>
      <c r="C214" s="3"/>
      <c r="D214" s="3"/>
      <c r="E214" s="3"/>
      <c r="F214" s="3"/>
      <c r="G214" s="3"/>
      <c r="H214" s="3"/>
      <c r="I214" s="3"/>
      <c r="J214" s="3"/>
      <c r="K214" s="3"/>
      <c r="L214" s="3"/>
      <c r="M214" s="3"/>
      <c r="N214" s="3"/>
      <c r="O214" s="3"/>
      <c r="P214" s="3"/>
      <c r="Q214" s="3"/>
      <c r="R214" s="3"/>
      <c r="S214" s="3"/>
      <c r="T214" s="3"/>
      <c r="U214" s="3"/>
      <c r="V214" s="3"/>
    </row>
    <row r="215" ht="12.75" customHeight="1" spans="1:22" x14ac:dyDescent="0.25">
      <c r="A215" s="3"/>
      <c r="B215" s="3"/>
      <c r="C215" s="3"/>
      <c r="D215" s="3"/>
      <c r="E215" s="3"/>
      <c r="F215" s="3"/>
      <c r="G215" s="3"/>
      <c r="H215" s="3"/>
      <c r="I215" s="3"/>
      <c r="J215" s="3"/>
      <c r="K215" s="3"/>
      <c r="L215" s="3"/>
      <c r="M215" s="3"/>
      <c r="N215" s="3"/>
      <c r="O215" s="3"/>
      <c r="P215" s="3"/>
      <c r="Q215" s="3"/>
      <c r="R215" s="3"/>
      <c r="S215" s="3"/>
      <c r="T215" s="3"/>
      <c r="U215" s="3"/>
      <c r="V215" s="3"/>
    </row>
    <row r="216" ht="12.75" customHeight="1" spans="1:22" x14ac:dyDescent="0.25">
      <c r="A216" s="3"/>
      <c r="B216" s="3"/>
      <c r="C216" s="3"/>
      <c r="D216" s="3"/>
      <c r="E216" s="3"/>
      <c r="F216" s="3"/>
      <c r="G216" s="3"/>
      <c r="H216" s="3"/>
      <c r="I216" s="3"/>
      <c r="J216" s="3"/>
      <c r="K216" s="3"/>
      <c r="L216" s="3"/>
      <c r="M216" s="3"/>
      <c r="N216" s="3"/>
      <c r="O216" s="3"/>
      <c r="P216" s="3"/>
      <c r="Q216" s="3"/>
      <c r="R216" s="3"/>
      <c r="S216" s="3"/>
      <c r="T216" s="3"/>
      <c r="U216" s="3"/>
      <c r="V216" s="3"/>
    </row>
    <row r="217" ht="12.75" customHeight="1" spans="1:22" x14ac:dyDescent="0.25">
      <c r="A217" s="3"/>
      <c r="B217" s="3"/>
      <c r="C217" s="3"/>
      <c r="D217" s="3"/>
      <c r="E217" s="3"/>
      <c r="F217" s="3"/>
      <c r="G217" s="3"/>
      <c r="H217" s="3"/>
      <c r="I217" s="3"/>
      <c r="J217" s="3"/>
      <c r="K217" s="3"/>
      <c r="L217" s="3"/>
      <c r="M217" s="3"/>
      <c r="N217" s="3"/>
      <c r="O217" s="3"/>
      <c r="P217" s="3"/>
      <c r="Q217" s="3"/>
      <c r="R217" s="3"/>
      <c r="S217" s="3"/>
      <c r="T217" s="3"/>
      <c r="U217" s="3"/>
      <c r="V217" s="3"/>
    </row>
    <row r="218" ht="12.75" customHeight="1" spans="1:22" x14ac:dyDescent="0.25">
      <c r="A218" s="3"/>
      <c r="B218" s="3"/>
      <c r="C218" s="3"/>
      <c r="D218" s="3"/>
      <c r="E218" s="3"/>
      <c r="F218" s="3"/>
      <c r="G218" s="3"/>
      <c r="H218" s="3"/>
      <c r="I218" s="3"/>
      <c r="J218" s="3"/>
      <c r="K218" s="3"/>
      <c r="L218" s="3"/>
      <c r="M218" s="3"/>
      <c r="N218" s="3"/>
      <c r="O218" s="3"/>
      <c r="P218" s="3"/>
      <c r="Q218" s="3"/>
      <c r="R218" s="3"/>
      <c r="S218" s="3"/>
      <c r="T218" s="3"/>
      <c r="U218" s="3"/>
      <c r="V218" s="3"/>
    </row>
    <row r="219" ht="12.75" customHeight="1" spans="1:22" x14ac:dyDescent="0.25">
      <c r="A219" s="3"/>
      <c r="B219" s="3"/>
      <c r="C219" s="3"/>
      <c r="D219" s="3"/>
      <c r="E219" s="3"/>
      <c r="F219" s="3"/>
      <c r="G219" s="3"/>
      <c r="H219" s="3"/>
      <c r="I219" s="3"/>
      <c r="J219" s="3"/>
      <c r="K219" s="3"/>
      <c r="L219" s="3"/>
      <c r="M219" s="3"/>
      <c r="N219" s="3"/>
      <c r="O219" s="3"/>
      <c r="P219" s="3"/>
      <c r="Q219" s="3"/>
      <c r="R219" s="3"/>
      <c r="S219" s="3"/>
      <c r="T219" s="3"/>
      <c r="U219" s="3"/>
      <c r="V219" s="3"/>
    </row>
    <row r="220" ht="12.75" customHeight="1" spans="1:22" x14ac:dyDescent="0.25">
      <c r="A220" s="3"/>
      <c r="B220" s="3"/>
      <c r="C220" s="3"/>
      <c r="D220" s="3"/>
      <c r="E220" s="3"/>
      <c r="F220" s="3"/>
      <c r="G220" s="3"/>
      <c r="H220" s="3"/>
      <c r="I220" s="3"/>
      <c r="J220" s="3"/>
      <c r="K220" s="3"/>
      <c r="L220" s="3"/>
      <c r="M220" s="3"/>
      <c r="N220" s="3"/>
      <c r="O220" s="3"/>
      <c r="P220" s="3"/>
      <c r="Q220" s="3"/>
      <c r="R220" s="3"/>
      <c r="S220" s="3"/>
      <c r="T220" s="3"/>
      <c r="U220" s="3"/>
      <c r="V220" s="3"/>
    </row>
    <row r="221" ht="12.75" customHeight="1" spans="1:22" x14ac:dyDescent="0.25">
      <c r="A221" s="3"/>
      <c r="B221" s="3"/>
      <c r="C221" s="3"/>
      <c r="D221" s="3"/>
      <c r="E221" s="3"/>
      <c r="F221" s="3"/>
      <c r="G221" s="3"/>
      <c r="H221" s="3"/>
      <c r="I221" s="3"/>
      <c r="J221" s="3"/>
      <c r="K221" s="3"/>
      <c r="L221" s="3"/>
      <c r="M221" s="3"/>
      <c r="N221" s="3"/>
      <c r="O221" s="3"/>
      <c r="P221" s="3"/>
      <c r="Q221" s="3"/>
      <c r="R221" s="3"/>
      <c r="S221" s="3"/>
      <c r="T221" s="3"/>
      <c r="U221" s="3"/>
      <c r="V221" s="3"/>
    </row>
    <row r="222" ht="12.75" customHeight="1" spans="1:22" x14ac:dyDescent="0.25">
      <c r="A222" s="3"/>
      <c r="B222" s="3"/>
      <c r="C222" s="3"/>
      <c r="D222" s="3"/>
      <c r="E222" s="3"/>
      <c r="F222" s="3"/>
      <c r="G222" s="3"/>
      <c r="H222" s="3"/>
      <c r="I222" s="3"/>
      <c r="J222" s="3"/>
      <c r="K222" s="3"/>
      <c r="L222" s="3"/>
      <c r="M222" s="3"/>
      <c r="N222" s="3"/>
      <c r="O222" s="3"/>
      <c r="P222" s="3"/>
      <c r="Q222" s="3"/>
      <c r="R222" s="3"/>
      <c r="S222" s="3"/>
      <c r="T222" s="3"/>
      <c r="U222" s="3"/>
      <c r="V222" s="3"/>
    </row>
    <row r="223" ht="12.75" customHeight="1" spans="1:22" x14ac:dyDescent="0.25">
      <c r="A223" s="3"/>
      <c r="B223" s="3"/>
      <c r="C223" s="3"/>
      <c r="D223" s="3"/>
      <c r="E223" s="3"/>
      <c r="F223" s="3"/>
      <c r="G223" s="3"/>
      <c r="H223" s="3"/>
      <c r="I223" s="3"/>
      <c r="J223" s="3"/>
      <c r="K223" s="3"/>
      <c r="L223" s="3"/>
      <c r="M223" s="3"/>
      <c r="N223" s="3"/>
      <c r="O223" s="3"/>
      <c r="P223" s="3"/>
      <c r="Q223" s="3"/>
      <c r="R223" s="3"/>
      <c r="S223" s="3"/>
      <c r="T223" s="3"/>
      <c r="U223" s="3"/>
      <c r="V223" s="3"/>
    </row>
    <row r="224" ht="12.75" customHeight="1" spans="1:22" x14ac:dyDescent="0.25">
      <c r="A224" s="3"/>
      <c r="B224" s="3"/>
      <c r="C224" s="3"/>
      <c r="D224" s="3"/>
      <c r="E224" s="3"/>
      <c r="F224" s="3"/>
      <c r="G224" s="3"/>
      <c r="H224" s="3"/>
      <c r="I224" s="3"/>
      <c r="J224" s="3"/>
      <c r="K224" s="3"/>
      <c r="L224" s="3"/>
      <c r="M224" s="3"/>
      <c r="N224" s="3"/>
      <c r="O224" s="3"/>
      <c r="P224" s="3"/>
      <c r="Q224" s="3"/>
      <c r="R224" s="3"/>
      <c r="S224" s="3"/>
      <c r="T224" s="3"/>
      <c r="U224" s="3"/>
      <c r="V224" s="3"/>
    </row>
    <row r="225" ht="12.75" customHeight="1" spans="1:22" x14ac:dyDescent="0.25">
      <c r="A225" s="3"/>
      <c r="B225" s="3"/>
      <c r="C225" s="3"/>
      <c r="D225" s="3"/>
      <c r="E225" s="3"/>
      <c r="F225" s="3"/>
      <c r="G225" s="3"/>
      <c r="H225" s="3"/>
      <c r="I225" s="3"/>
      <c r="J225" s="3"/>
      <c r="K225" s="3"/>
      <c r="L225" s="3"/>
      <c r="M225" s="3"/>
      <c r="N225" s="3"/>
      <c r="O225" s="3"/>
      <c r="P225" s="3"/>
      <c r="Q225" s="3"/>
      <c r="R225" s="3"/>
      <c r="S225" s="3"/>
      <c r="T225" s="3"/>
      <c r="U225" s="3"/>
      <c r="V225" s="3"/>
    </row>
    <row r="226" ht="12.75" customHeight="1" spans="1:22" x14ac:dyDescent="0.25">
      <c r="A226" s="3"/>
      <c r="B226" s="3"/>
      <c r="C226" s="3"/>
      <c r="D226" s="3"/>
      <c r="E226" s="3"/>
      <c r="F226" s="3"/>
      <c r="G226" s="3"/>
      <c r="H226" s="3"/>
      <c r="I226" s="3"/>
      <c r="J226" s="3"/>
      <c r="K226" s="3"/>
      <c r="L226" s="3"/>
      <c r="M226" s="3"/>
      <c r="N226" s="3"/>
      <c r="O226" s="3"/>
      <c r="P226" s="3"/>
      <c r="Q226" s="3"/>
      <c r="R226" s="3"/>
      <c r="S226" s="3"/>
      <c r="T226" s="3"/>
      <c r="U226" s="3"/>
      <c r="V226" s="3"/>
    </row>
    <row r="227" ht="12.75" customHeight="1" spans="1:22" x14ac:dyDescent="0.25">
      <c r="A227" s="3"/>
      <c r="B227" s="3"/>
      <c r="C227" s="3"/>
      <c r="D227" s="3"/>
      <c r="E227" s="3"/>
      <c r="F227" s="3"/>
      <c r="G227" s="3"/>
      <c r="H227" s="3"/>
      <c r="I227" s="3"/>
      <c r="J227" s="3"/>
      <c r="K227" s="3"/>
      <c r="L227" s="3"/>
      <c r="M227" s="3"/>
      <c r="N227" s="3"/>
      <c r="O227" s="3"/>
      <c r="P227" s="3"/>
      <c r="Q227" s="3"/>
      <c r="R227" s="3"/>
      <c r="S227" s="3"/>
      <c r="T227" s="3"/>
      <c r="U227" s="3"/>
      <c r="V227" s="3"/>
    </row>
    <row r="228" ht="12.75" customHeight="1" spans="1:22" x14ac:dyDescent="0.25">
      <c r="A228" s="3"/>
      <c r="B228" s="3"/>
      <c r="C228" s="3"/>
      <c r="D228" s="3"/>
      <c r="E228" s="3"/>
      <c r="F228" s="3"/>
      <c r="G228" s="3"/>
      <c r="H228" s="3"/>
      <c r="I228" s="3"/>
      <c r="J228" s="3"/>
      <c r="K228" s="3"/>
      <c r="L228" s="3"/>
      <c r="M228" s="3"/>
      <c r="N228" s="3"/>
      <c r="O228" s="3"/>
      <c r="P228" s="3"/>
      <c r="Q228" s="3"/>
      <c r="R228" s="3"/>
      <c r="S228" s="3"/>
      <c r="T228" s="3"/>
      <c r="U228" s="3"/>
      <c r="V228" s="3"/>
    </row>
    <row r="229" ht="12.75" customHeight="1" spans="1:22" x14ac:dyDescent="0.25">
      <c r="A229" s="3"/>
      <c r="B229" s="3"/>
      <c r="C229" s="3"/>
      <c r="D229" s="3"/>
      <c r="E229" s="3"/>
      <c r="F229" s="3"/>
      <c r="G229" s="3"/>
      <c r="H229" s="3"/>
      <c r="I229" s="3"/>
      <c r="J229" s="3"/>
      <c r="K229" s="3"/>
      <c r="L229" s="3"/>
      <c r="M229" s="3"/>
      <c r="N229" s="3"/>
      <c r="O229" s="3"/>
      <c r="P229" s="3"/>
      <c r="Q229" s="3"/>
      <c r="R229" s="3"/>
      <c r="S229" s="3"/>
      <c r="T229" s="3"/>
      <c r="U229" s="3"/>
      <c r="V229" s="3"/>
    </row>
    <row r="230" ht="12.75" customHeight="1" spans="1:22" x14ac:dyDescent="0.25">
      <c r="A230" s="3"/>
      <c r="B230" s="3"/>
      <c r="C230" s="3"/>
      <c r="D230" s="3"/>
      <c r="E230" s="3"/>
      <c r="F230" s="3"/>
      <c r="G230" s="3"/>
      <c r="H230" s="3"/>
      <c r="I230" s="3"/>
      <c r="J230" s="3"/>
      <c r="K230" s="3"/>
      <c r="L230" s="3"/>
      <c r="M230" s="3"/>
      <c r="N230" s="3"/>
      <c r="O230" s="3"/>
      <c r="P230" s="3"/>
      <c r="Q230" s="3"/>
      <c r="R230" s="3"/>
      <c r="S230" s="3"/>
      <c r="T230" s="3"/>
      <c r="U230" s="3"/>
      <c r="V230" s="3"/>
    </row>
    <row r="231" ht="12.75" customHeight="1" spans="1:22" x14ac:dyDescent="0.25">
      <c r="A231" s="3"/>
      <c r="B231" s="3"/>
      <c r="C231" s="3"/>
      <c r="D231" s="3"/>
      <c r="E231" s="3"/>
      <c r="F231" s="3"/>
      <c r="G231" s="3"/>
      <c r="H231" s="3"/>
      <c r="I231" s="3"/>
      <c r="J231" s="3"/>
      <c r="K231" s="3"/>
      <c r="L231" s="3"/>
      <c r="M231" s="3"/>
      <c r="N231" s="3"/>
      <c r="O231" s="3"/>
      <c r="P231" s="3"/>
      <c r="Q231" s="3"/>
      <c r="R231" s="3"/>
      <c r="S231" s="3"/>
      <c r="T231" s="3"/>
      <c r="U231" s="3"/>
      <c r="V231" s="3"/>
    </row>
    <row r="232" ht="12.75" customHeight="1" spans="1:22" x14ac:dyDescent="0.25">
      <c r="A232" s="3"/>
      <c r="B232" s="3"/>
      <c r="C232" s="3"/>
      <c r="D232" s="3"/>
      <c r="E232" s="3"/>
      <c r="F232" s="3"/>
      <c r="G232" s="3"/>
      <c r="H232" s="3"/>
      <c r="I232" s="3"/>
      <c r="J232" s="3"/>
      <c r="K232" s="3"/>
      <c r="L232" s="3"/>
      <c r="M232" s="3"/>
      <c r="N232" s="3"/>
      <c r="O232" s="3"/>
      <c r="P232" s="3"/>
      <c r="Q232" s="3"/>
      <c r="R232" s="3"/>
      <c r="S232" s="3"/>
      <c r="T232" s="3"/>
      <c r="U232" s="3"/>
      <c r="V232" s="3"/>
    </row>
    <row r="233" ht="12.75" customHeight="1" spans="1:22" x14ac:dyDescent="0.25">
      <c r="A233" s="3"/>
      <c r="B233" s="3"/>
      <c r="C233" s="3"/>
      <c r="D233" s="3"/>
      <c r="E233" s="3"/>
      <c r="F233" s="3"/>
      <c r="G233" s="3"/>
      <c r="H233" s="3"/>
      <c r="I233" s="3"/>
      <c r="J233" s="3"/>
      <c r="K233" s="3"/>
      <c r="L233" s="3"/>
      <c r="M233" s="3"/>
      <c r="N233" s="3"/>
      <c r="O233" s="3"/>
      <c r="P233" s="3"/>
      <c r="Q233" s="3"/>
      <c r="R233" s="3"/>
      <c r="S233" s="3"/>
      <c r="T233" s="3"/>
      <c r="U233" s="3"/>
      <c r="V233" s="3"/>
    </row>
    <row r="234" ht="12.75" customHeight="1" spans="1:22" x14ac:dyDescent="0.25">
      <c r="A234" s="3"/>
      <c r="B234" s="3"/>
      <c r="C234" s="3"/>
      <c r="D234" s="3"/>
      <c r="E234" s="3"/>
      <c r="F234" s="3"/>
      <c r="G234" s="3"/>
      <c r="H234" s="3"/>
      <c r="I234" s="3"/>
      <c r="J234" s="3"/>
      <c r="K234" s="3"/>
      <c r="L234" s="3"/>
      <c r="M234" s="3"/>
      <c r="N234" s="3"/>
      <c r="O234" s="3"/>
      <c r="P234" s="3"/>
      <c r="Q234" s="3"/>
      <c r="R234" s="3"/>
      <c r="S234" s="3"/>
      <c r="T234" s="3"/>
      <c r="U234" s="3"/>
      <c r="V234" s="3"/>
    </row>
    <row r="235" ht="12.75" customHeight="1" spans="1:22" x14ac:dyDescent="0.25">
      <c r="A235" s="3"/>
      <c r="B235" s="3"/>
      <c r="C235" s="3"/>
      <c r="D235" s="3"/>
      <c r="E235" s="3"/>
      <c r="F235" s="3"/>
      <c r="G235" s="3"/>
      <c r="H235" s="3"/>
      <c r="I235" s="3"/>
      <c r="J235" s="3"/>
      <c r="K235" s="3"/>
      <c r="L235" s="3"/>
      <c r="M235" s="3"/>
      <c r="N235" s="3"/>
      <c r="O235" s="3"/>
      <c r="P235" s="3"/>
      <c r="Q235" s="3"/>
      <c r="R235" s="3"/>
      <c r="S235" s="3"/>
      <c r="T235" s="3"/>
      <c r="U235" s="3"/>
      <c r="V235" s="3"/>
    </row>
    <row r="236" ht="12.75" customHeight="1" spans="1:22" x14ac:dyDescent="0.25">
      <c r="A236" s="3"/>
      <c r="B236" s="3"/>
      <c r="C236" s="3"/>
      <c r="D236" s="3"/>
      <c r="E236" s="3"/>
      <c r="F236" s="3"/>
      <c r="G236" s="3"/>
      <c r="H236" s="3"/>
      <c r="I236" s="3"/>
      <c r="J236" s="3"/>
      <c r="K236" s="3"/>
      <c r="L236" s="3"/>
      <c r="M236" s="3"/>
      <c r="N236" s="3"/>
      <c r="O236" s="3"/>
      <c r="P236" s="3"/>
      <c r="Q236" s="3"/>
      <c r="R236" s="3"/>
      <c r="S236" s="3"/>
      <c r="T236" s="3"/>
      <c r="U236" s="3"/>
      <c r="V236" s="3"/>
    </row>
    <row r="237" ht="12.75" customHeight="1" spans="1:22" x14ac:dyDescent="0.25">
      <c r="A237" s="3"/>
      <c r="B237" s="3"/>
      <c r="C237" s="3"/>
      <c r="D237" s="3"/>
      <c r="E237" s="3"/>
      <c r="F237" s="3"/>
      <c r="G237" s="3"/>
      <c r="H237" s="3"/>
      <c r="I237" s="3"/>
      <c r="J237" s="3"/>
      <c r="K237" s="3"/>
      <c r="L237" s="3"/>
      <c r="M237" s="3"/>
      <c r="N237" s="3"/>
      <c r="O237" s="3"/>
      <c r="P237" s="3"/>
      <c r="Q237" s="3"/>
      <c r="R237" s="3"/>
      <c r="S237" s="3"/>
      <c r="T237" s="3"/>
      <c r="U237" s="3"/>
      <c r="V237" s="3"/>
    </row>
    <row r="238" ht="12.75" customHeight="1" spans="1:22" x14ac:dyDescent="0.25">
      <c r="A238" s="3"/>
      <c r="B238" s="3"/>
      <c r="C238" s="3"/>
      <c r="D238" s="3"/>
      <c r="E238" s="3"/>
      <c r="F238" s="3"/>
      <c r="G238" s="3"/>
      <c r="H238" s="3"/>
      <c r="I238" s="3"/>
      <c r="J238" s="3"/>
      <c r="K238" s="3"/>
      <c r="L238" s="3"/>
      <c r="M238" s="3"/>
      <c r="N238" s="3"/>
      <c r="O238" s="3"/>
      <c r="P238" s="3"/>
      <c r="Q238" s="3"/>
      <c r="R238" s="3"/>
      <c r="S238" s="3"/>
      <c r="T238" s="3"/>
      <c r="U238" s="3"/>
      <c r="V238" s="3"/>
    </row>
    <row r="239" ht="12.75" customHeight="1" spans="1:22" x14ac:dyDescent="0.25">
      <c r="A239" s="3"/>
      <c r="B239" s="3"/>
      <c r="C239" s="3"/>
      <c r="D239" s="3"/>
      <c r="E239" s="3"/>
      <c r="F239" s="3"/>
      <c r="G239" s="3"/>
      <c r="H239" s="3"/>
      <c r="I239" s="3"/>
      <c r="J239" s="3"/>
      <c r="K239" s="3"/>
      <c r="L239" s="3"/>
      <c r="M239" s="3"/>
      <c r="N239" s="3"/>
      <c r="O239" s="3"/>
      <c r="P239" s="3"/>
      <c r="Q239" s="3"/>
      <c r="R239" s="3"/>
      <c r="S239" s="3"/>
      <c r="T239" s="3"/>
      <c r="U239" s="3"/>
      <c r="V239" s="3"/>
    </row>
    <row r="240" ht="12.75" customHeight="1" spans="1:22" x14ac:dyDescent="0.25">
      <c r="A240" s="3"/>
      <c r="B240" s="3"/>
      <c r="C240" s="3"/>
      <c r="D240" s="3"/>
      <c r="E240" s="3"/>
      <c r="F240" s="3"/>
      <c r="G240" s="3"/>
      <c r="H240" s="3"/>
      <c r="I240" s="3"/>
      <c r="J240" s="3"/>
      <c r="K240" s="3"/>
      <c r="L240" s="3"/>
      <c r="M240" s="3"/>
      <c r="N240" s="3"/>
      <c r="O240" s="3"/>
      <c r="P240" s="3"/>
      <c r="Q240" s="3"/>
      <c r="R240" s="3"/>
      <c r="S240" s="3"/>
      <c r="T240" s="3"/>
      <c r="U240" s="3"/>
      <c r="V240" s="3"/>
    </row>
    <row r="241" ht="12.75" customHeight="1" spans="1:22" x14ac:dyDescent="0.25">
      <c r="A241" s="3"/>
      <c r="B241" s="3"/>
      <c r="C241" s="3"/>
      <c r="D241" s="3"/>
      <c r="E241" s="3"/>
      <c r="F241" s="3"/>
      <c r="G241" s="3"/>
      <c r="H241" s="3"/>
      <c r="I241" s="3"/>
      <c r="J241" s="3"/>
      <c r="K241" s="3"/>
      <c r="L241" s="3"/>
      <c r="M241" s="3"/>
      <c r="N241" s="3"/>
      <c r="O241" s="3"/>
      <c r="P241" s="3"/>
      <c r="Q241" s="3"/>
      <c r="R241" s="3"/>
      <c r="S241" s="3"/>
      <c r="T241" s="3"/>
      <c r="U241" s="3"/>
      <c r="V241" s="3"/>
    </row>
    <row r="242" ht="12.75" customHeight="1" spans="1:22" x14ac:dyDescent="0.25">
      <c r="A242" s="3"/>
      <c r="B242" s="3"/>
      <c r="C242" s="3"/>
      <c r="D242" s="3"/>
      <c r="E242" s="3"/>
      <c r="F242" s="3"/>
      <c r="G242" s="3"/>
      <c r="H242" s="3"/>
      <c r="I242" s="3"/>
      <c r="J242" s="3"/>
      <c r="K242" s="3"/>
      <c r="L242" s="3"/>
      <c r="M242" s="3"/>
      <c r="N242" s="3"/>
      <c r="O242" s="3"/>
      <c r="P242" s="3"/>
      <c r="Q242" s="3"/>
      <c r="R242" s="3"/>
      <c r="S242" s="3"/>
      <c r="T242" s="3"/>
      <c r="U242" s="3"/>
      <c r="V242" s="3"/>
    </row>
    <row r="243" ht="12.75" customHeight="1" spans="1:22" x14ac:dyDescent="0.25">
      <c r="A243" s="3"/>
      <c r="B243" s="3"/>
      <c r="C243" s="3"/>
      <c r="D243" s="3"/>
      <c r="E243" s="3"/>
      <c r="F243" s="3"/>
      <c r="G243" s="3"/>
      <c r="H243" s="3"/>
      <c r="I243" s="3"/>
      <c r="J243" s="3"/>
      <c r="K243" s="3"/>
      <c r="L243" s="3"/>
      <c r="M243" s="3"/>
      <c r="N243" s="3"/>
      <c r="O243" s="3"/>
      <c r="P243" s="3"/>
      <c r="Q243" s="3"/>
      <c r="R243" s="3"/>
      <c r="S243" s="3"/>
      <c r="T243" s="3"/>
      <c r="U243" s="3"/>
      <c r="V243" s="3"/>
    </row>
    <row r="244" ht="12.75" customHeight="1" spans="1:22" x14ac:dyDescent="0.25">
      <c r="A244" s="3"/>
      <c r="B244" s="3"/>
      <c r="C244" s="3"/>
      <c r="D244" s="3"/>
      <c r="E244" s="3"/>
      <c r="F244" s="3"/>
      <c r="G244" s="3"/>
      <c r="H244" s="3"/>
      <c r="I244" s="3"/>
      <c r="J244" s="3"/>
      <c r="K244" s="3"/>
      <c r="L244" s="3"/>
      <c r="M244" s="3"/>
      <c r="N244" s="3"/>
      <c r="O244" s="3"/>
      <c r="P244" s="3"/>
      <c r="Q244" s="3"/>
      <c r="R244" s="3"/>
      <c r="S244" s="3"/>
      <c r="T244" s="3"/>
      <c r="U244" s="3"/>
      <c r="V244" s="3"/>
    </row>
    <row r="245" ht="12.75" customHeight="1" spans="1:22" x14ac:dyDescent="0.25">
      <c r="A245" s="3"/>
      <c r="B245" s="3"/>
      <c r="C245" s="3"/>
      <c r="D245" s="3"/>
      <c r="E245" s="3"/>
      <c r="F245" s="3"/>
      <c r="G245" s="3"/>
      <c r="H245" s="3"/>
      <c r="I245" s="3"/>
      <c r="J245" s="3"/>
      <c r="K245" s="3"/>
      <c r="L245" s="3"/>
      <c r="M245" s="3"/>
      <c r="N245" s="3"/>
      <c r="O245" s="3"/>
      <c r="P245" s="3"/>
      <c r="Q245" s="3"/>
      <c r="R245" s="3"/>
      <c r="S245" s="3"/>
      <c r="T245" s="3"/>
      <c r="U245" s="3"/>
      <c r="V245" s="3"/>
    </row>
    <row r="246" ht="12.75" customHeight="1" spans="1:22" x14ac:dyDescent="0.25">
      <c r="A246" s="3"/>
      <c r="B246" s="3"/>
      <c r="C246" s="3"/>
      <c r="D246" s="3"/>
      <c r="E246" s="3"/>
      <c r="F246" s="3"/>
      <c r="G246" s="3"/>
      <c r="H246" s="3"/>
      <c r="I246" s="3"/>
      <c r="J246" s="3"/>
      <c r="K246" s="3"/>
      <c r="L246" s="3"/>
      <c r="M246" s="3"/>
      <c r="N246" s="3"/>
      <c r="O246" s="3"/>
      <c r="P246" s="3"/>
      <c r="Q246" s="3"/>
      <c r="R246" s="3"/>
      <c r="S246" s="3"/>
      <c r="T246" s="3"/>
      <c r="U246" s="3"/>
      <c r="V246" s="3"/>
    </row>
    <row r="247" ht="12.75" customHeight="1" spans="1:22" x14ac:dyDescent="0.25">
      <c r="A247" s="3"/>
      <c r="B247" s="3"/>
      <c r="C247" s="3"/>
      <c r="D247" s="3"/>
      <c r="E247" s="3"/>
      <c r="F247" s="3"/>
      <c r="G247" s="3"/>
      <c r="H247" s="3"/>
      <c r="I247" s="3"/>
      <c r="J247" s="3"/>
      <c r="K247" s="3"/>
      <c r="L247" s="3"/>
      <c r="M247" s="3"/>
      <c r="N247" s="3"/>
      <c r="O247" s="3"/>
      <c r="P247" s="3"/>
      <c r="Q247" s="3"/>
      <c r="R247" s="3"/>
      <c r="S247" s="3"/>
      <c r="T247" s="3"/>
      <c r="U247" s="3"/>
      <c r="V247" s="3"/>
    </row>
    <row r="248" ht="12.75" customHeight="1" spans="1:22" x14ac:dyDescent="0.25">
      <c r="A248" s="3"/>
      <c r="B248" s="3"/>
      <c r="C248" s="3"/>
      <c r="D248" s="3"/>
      <c r="E248" s="3"/>
      <c r="F248" s="3"/>
      <c r="G248" s="3"/>
      <c r="H248" s="3"/>
      <c r="I248" s="3"/>
      <c r="J248" s="3"/>
      <c r="K248" s="3"/>
      <c r="L248" s="3"/>
      <c r="M248" s="3"/>
      <c r="N248" s="3"/>
      <c r="O248" s="3"/>
      <c r="P248" s="3"/>
      <c r="Q248" s="3"/>
      <c r="R248" s="3"/>
      <c r="S248" s="3"/>
      <c r="T248" s="3"/>
      <c r="U248" s="3"/>
      <c r="V248" s="3"/>
    </row>
    <row r="249" ht="12.75" customHeight="1" spans="1:22" x14ac:dyDescent="0.25">
      <c r="A249" s="3"/>
      <c r="B249" s="3"/>
      <c r="C249" s="3"/>
      <c r="D249" s="3"/>
      <c r="E249" s="3"/>
      <c r="F249" s="3"/>
      <c r="G249" s="3"/>
      <c r="H249" s="3"/>
      <c r="I249" s="3"/>
      <c r="J249" s="3"/>
      <c r="K249" s="3"/>
      <c r="L249" s="3"/>
      <c r="M249" s="3"/>
      <c r="N249" s="3"/>
      <c r="O249" s="3"/>
      <c r="P249" s="3"/>
      <c r="Q249" s="3"/>
      <c r="R249" s="3"/>
      <c r="S249" s="3"/>
      <c r="T249" s="3"/>
      <c r="U249" s="3"/>
      <c r="V249" s="3"/>
    </row>
    <row r="250" ht="12.75" customHeight="1" spans="1:22" x14ac:dyDescent="0.25">
      <c r="A250" s="3"/>
      <c r="B250" s="3"/>
      <c r="C250" s="3"/>
      <c r="D250" s="3"/>
      <c r="E250" s="3"/>
      <c r="F250" s="3"/>
      <c r="G250" s="3"/>
      <c r="H250" s="3"/>
      <c r="I250" s="3"/>
      <c r="J250" s="3"/>
      <c r="K250" s="3"/>
      <c r="L250" s="3"/>
      <c r="M250" s="3"/>
      <c r="N250" s="3"/>
      <c r="O250" s="3"/>
      <c r="P250" s="3"/>
      <c r="Q250" s="3"/>
      <c r="R250" s="3"/>
      <c r="S250" s="3"/>
      <c r="T250" s="3"/>
      <c r="U250" s="3"/>
      <c r="V250" s="3"/>
    </row>
    <row r="251" ht="12.75" customHeight="1" spans="1:22" x14ac:dyDescent="0.25">
      <c r="A251" s="3"/>
      <c r="B251" s="3"/>
      <c r="C251" s="3"/>
      <c r="D251" s="3"/>
      <c r="E251" s="3"/>
      <c r="F251" s="3"/>
      <c r="G251" s="3"/>
      <c r="H251" s="3"/>
      <c r="I251" s="3"/>
      <c r="J251" s="3"/>
      <c r="K251" s="3"/>
      <c r="L251" s="3"/>
      <c r="M251" s="3"/>
      <c r="N251" s="3"/>
      <c r="O251" s="3"/>
      <c r="P251" s="3"/>
      <c r="Q251" s="3"/>
      <c r="R251" s="3"/>
      <c r="S251" s="3"/>
      <c r="T251" s="3"/>
      <c r="U251" s="3"/>
      <c r="V251" s="3"/>
    </row>
    <row r="252" ht="12.75" customHeight="1" spans="1:22" x14ac:dyDescent="0.25">
      <c r="A252" s="3"/>
      <c r="B252" s="3"/>
      <c r="C252" s="3"/>
      <c r="D252" s="3"/>
      <c r="E252" s="3"/>
      <c r="F252" s="3"/>
      <c r="G252" s="3"/>
      <c r="H252" s="3"/>
      <c r="I252" s="3"/>
      <c r="J252" s="3"/>
      <c r="K252" s="3"/>
      <c r="L252" s="3"/>
      <c r="M252" s="3"/>
      <c r="N252" s="3"/>
      <c r="O252" s="3"/>
      <c r="P252" s="3"/>
      <c r="Q252" s="3"/>
      <c r="R252" s="3"/>
      <c r="S252" s="3"/>
      <c r="T252" s="3"/>
      <c r="U252" s="3"/>
      <c r="V252" s="3"/>
    </row>
    <row r="253" ht="12.75" customHeight="1" spans="1:22" x14ac:dyDescent="0.25">
      <c r="A253" s="3"/>
      <c r="B253" s="3"/>
      <c r="C253" s="3"/>
      <c r="D253" s="3"/>
      <c r="E253" s="3"/>
      <c r="F253" s="3"/>
      <c r="G253" s="3"/>
      <c r="H253" s="3"/>
      <c r="I253" s="3"/>
      <c r="J253" s="3"/>
      <c r="K253" s="3"/>
      <c r="L253" s="3"/>
      <c r="M253" s="3"/>
      <c r="N253" s="3"/>
      <c r="O253" s="3"/>
      <c r="P253" s="3"/>
      <c r="Q253" s="3"/>
      <c r="R253" s="3"/>
      <c r="S253" s="3"/>
      <c r="T253" s="3"/>
      <c r="U253" s="3"/>
      <c r="V253" s="3"/>
    </row>
    <row r="254" ht="12.75" customHeight="1" spans="1:22" x14ac:dyDescent="0.25">
      <c r="A254" s="3"/>
      <c r="B254" s="3"/>
      <c r="C254" s="3"/>
      <c r="D254" s="3"/>
      <c r="E254" s="3"/>
      <c r="F254" s="3"/>
      <c r="G254" s="3"/>
      <c r="H254" s="3"/>
      <c r="I254" s="3"/>
      <c r="J254" s="3"/>
      <c r="K254" s="3"/>
      <c r="L254" s="3"/>
      <c r="M254" s="3"/>
      <c r="N254" s="3"/>
      <c r="O254" s="3"/>
      <c r="P254" s="3"/>
      <c r="Q254" s="3"/>
      <c r="R254" s="3"/>
      <c r="S254" s="3"/>
      <c r="T254" s="3"/>
      <c r="U254" s="3"/>
      <c r="V254" s="3"/>
    </row>
    <row r="255" ht="12.75" customHeight="1" spans="1:22" x14ac:dyDescent="0.25">
      <c r="A255" s="3"/>
      <c r="B255" s="3"/>
      <c r="C255" s="3"/>
      <c r="D255" s="3"/>
      <c r="E255" s="3"/>
      <c r="F255" s="3"/>
      <c r="G255" s="3"/>
      <c r="H255" s="3"/>
      <c r="I255" s="3"/>
      <c r="J255" s="3"/>
      <c r="K255" s="3"/>
      <c r="L255" s="3"/>
      <c r="M255" s="3"/>
      <c r="N255" s="3"/>
      <c r="O255" s="3"/>
      <c r="P255" s="3"/>
      <c r="Q255" s="3"/>
      <c r="R255" s="3"/>
      <c r="S255" s="3"/>
      <c r="T255" s="3"/>
      <c r="U255" s="3"/>
      <c r="V255" s="3"/>
    </row>
    <row r="256" ht="12.75" customHeight="1" spans="1:22" x14ac:dyDescent="0.25">
      <c r="A256" s="3"/>
      <c r="B256" s="3"/>
      <c r="C256" s="3"/>
      <c r="D256" s="3"/>
      <c r="E256" s="3"/>
      <c r="F256" s="3"/>
      <c r="G256" s="3"/>
      <c r="H256" s="3"/>
      <c r="I256" s="3"/>
      <c r="J256" s="3"/>
      <c r="K256" s="3"/>
      <c r="L256" s="3"/>
      <c r="M256" s="3"/>
      <c r="N256" s="3"/>
      <c r="O256" s="3"/>
      <c r="P256" s="3"/>
      <c r="Q256" s="3"/>
      <c r="R256" s="3"/>
      <c r="S256" s="3"/>
      <c r="T256" s="3"/>
      <c r="U256" s="3"/>
      <c r="V256" s="3"/>
    </row>
    <row r="257" ht="12.75" customHeight="1" spans="1:22" x14ac:dyDescent="0.25">
      <c r="A257" s="3"/>
      <c r="B257" s="3"/>
      <c r="C257" s="3"/>
      <c r="D257" s="3"/>
      <c r="E257" s="3"/>
      <c r="F257" s="3"/>
      <c r="G257" s="3"/>
      <c r="H257" s="3"/>
      <c r="I257" s="3"/>
      <c r="J257" s="3"/>
      <c r="K257" s="3"/>
      <c r="L257" s="3"/>
      <c r="M257" s="3"/>
      <c r="N257" s="3"/>
      <c r="O257" s="3"/>
      <c r="P257" s="3"/>
      <c r="Q257" s="3"/>
      <c r="R257" s="3"/>
      <c r="S257" s="3"/>
      <c r="T257" s="3"/>
      <c r="U257" s="3"/>
      <c r="V257" s="3"/>
    </row>
    <row r="258" ht="12.75" customHeight="1" spans="1:22" x14ac:dyDescent="0.25">
      <c r="A258" s="3"/>
      <c r="B258" s="3"/>
      <c r="C258" s="3"/>
      <c r="D258" s="3"/>
      <c r="E258" s="3"/>
      <c r="F258" s="3"/>
      <c r="G258" s="3"/>
      <c r="H258" s="3"/>
      <c r="I258" s="3"/>
      <c r="J258" s="3"/>
      <c r="K258" s="3"/>
      <c r="L258" s="3"/>
      <c r="M258" s="3"/>
      <c r="N258" s="3"/>
      <c r="O258" s="3"/>
      <c r="P258" s="3"/>
      <c r="Q258" s="3"/>
      <c r="R258" s="3"/>
      <c r="S258" s="3"/>
      <c r="T258" s="3"/>
      <c r="U258" s="3"/>
      <c r="V258" s="3"/>
    </row>
    <row r="259" ht="12.75" customHeight="1" spans="1:22" x14ac:dyDescent="0.25">
      <c r="A259" s="3"/>
      <c r="B259" s="3"/>
      <c r="C259" s="3"/>
      <c r="D259" s="3"/>
      <c r="E259" s="3"/>
      <c r="F259" s="3"/>
      <c r="G259" s="3"/>
      <c r="H259" s="3"/>
      <c r="I259" s="3"/>
      <c r="J259" s="3"/>
      <c r="K259" s="3"/>
      <c r="L259" s="3"/>
      <c r="M259" s="3"/>
      <c r="N259" s="3"/>
      <c r="O259" s="3"/>
      <c r="P259" s="3"/>
      <c r="Q259" s="3"/>
      <c r="R259" s="3"/>
      <c r="S259" s="3"/>
      <c r="T259" s="3"/>
      <c r="U259" s="3"/>
      <c r="V259" s="3"/>
    </row>
    <row r="260" ht="12.75" customHeight="1" spans="1:22" x14ac:dyDescent="0.25">
      <c r="A260" s="3"/>
      <c r="B260" s="3"/>
      <c r="C260" s="3"/>
      <c r="D260" s="3"/>
      <c r="E260" s="3"/>
      <c r="F260" s="3"/>
      <c r="G260" s="3"/>
      <c r="H260" s="3"/>
      <c r="I260" s="3"/>
      <c r="J260" s="3"/>
      <c r="K260" s="3"/>
      <c r="L260" s="3"/>
      <c r="M260" s="3"/>
      <c r="N260" s="3"/>
      <c r="O260" s="3"/>
      <c r="P260" s="3"/>
      <c r="Q260" s="3"/>
      <c r="R260" s="3"/>
      <c r="S260" s="3"/>
      <c r="T260" s="3"/>
      <c r="U260" s="3"/>
      <c r="V260" s="3"/>
    </row>
    <row r="261" ht="12.75" customHeight="1" spans="1:22" x14ac:dyDescent="0.25">
      <c r="A261" s="3"/>
      <c r="B261" s="3"/>
      <c r="C261" s="3"/>
      <c r="D261" s="3"/>
      <c r="E261" s="3"/>
      <c r="F261" s="3"/>
      <c r="G261" s="3"/>
      <c r="H261" s="3"/>
      <c r="I261" s="3"/>
      <c r="J261" s="3"/>
      <c r="K261" s="3"/>
      <c r="L261" s="3"/>
      <c r="M261" s="3"/>
      <c r="N261" s="3"/>
      <c r="O261" s="3"/>
      <c r="P261" s="3"/>
      <c r="Q261" s="3"/>
      <c r="R261" s="3"/>
      <c r="S261" s="3"/>
      <c r="T261" s="3"/>
      <c r="U261" s="3"/>
      <c r="V261" s="3"/>
    </row>
    <row r="262" ht="12.75" customHeight="1" spans="1:22" x14ac:dyDescent="0.25">
      <c r="A262" s="3"/>
      <c r="B262" s="3"/>
      <c r="C262" s="3"/>
      <c r="D262" s="3"/>
      <c r="E262" s="3"/>
      <c r="F262" s="3"/>
      <c r="G262" s="3"/>
      <c r="H262" s="3"/>
      <c r="I262" s="3"/>
      <c r="J262" s="3"/>
      <c r="K262" s="3"/>
      <c r="L262" s="3"/>
      <c r="M262" s="3"/>
      <c r="N262" s="3"/>
      <c r="O262" s="3"/>
      <c r="P262" s="3"/>
      <c r="Q262" s="3"/>
      <c r="R262" s="3"/>
      <c r="S262" s="3"/>
      <c r="T262" s="3"/>
      <c r="U262" s="3"/>
      <c r="V262" s="3"/>
    </row>
    <row r="263" ht="12.75" customHeight="1" spans="1:22" x14ac:dyDescent="0.25">
      <c r="A263" s="3"/>
      <c r="B263" s="3"/>
      <c r="C263" s="3"/>
      <c r="D263" s="3"/>
      <c r="E263" s="3"/>
      <c r="F263" s="3"/>
      <c r="G263" s="3"/>
      <c r="H263" s="3"/>
      <c r="I263" s="3"/>
      <c r="J263" s="3"/>
      <c r="K263" s="3"/>
      <c r="L263" s="3"/>
      <c r="M263" s="3"/>
      <c r="N263" s="3"/>
      <c r="O263" s="3"/>
      <c r="P263" s="3"/>
      <c r="Q263" s="3"/>
      <c r="R263" s="3"/>
      <c r="S263" s="3"/>
      <c r="T263" s="3"/>
      <c r="U263" s="3"/>
      <c r="V263" s="3"/>
    </row>
    <row r="264" ht="12.75" customHeight="1" spans="1:22" x14ac:dyDescent="0.25">
      <c r="A264" s="3"/>
      <c r="B264" s="3"/>
      <c r="C264" s="3"/>
      <c r="D264" s="3"/>
      <c r="E264" s="3"/>
      <c r="F264" s="3"/>
      <c r="G264" s="3"/>
      <c r="H264" s="3"/>
      <c r="I264" s="3"/>
      <c r="J264" s="3"/>
      <c r="K264" s="3"/>
      <c r="L264" s="3"/>
      <c r="M264" s="3"/>
      <c r="N264" s="3"/>
      <c r="O264" s="3"/>
      <c r="P264" s="3"/>
      <c r="Q264" s="3"/>
      <c r="R264" s="3"/>
      <c r="S264" s="3"/>
      <c r="T264" s="3"/>
      <c r="U264" s="3"/>
      <c r="V264" s="3"/>
    </row>
    <row r="265" ht="12.75" customHeight="1" spans="1:22" x14ac:dyDescent="0.25">
      <c r="A265" s="3"/>
      <c r="B265" s="3"/>
      <c r="C265" s="3"/>
      <c r="D265" s="3"/>
      <c r="E265" s="3"/>
      <c r="F265" s="3"/>
      <c r="G265" s="3"/>
      <c r="H265" s="3"/>
      <c r="I265" s="3"/>
      <c r="J265" s="3"/>
      <c r="K265" s="3"/>
      <c r="L265" s="3"/>
      <c r="M265" s="3"/>
      <c r="N265" s="3"/>
      <c r="O265" s="3"/>
      <c r="P265" s="3"/>
      <c r="Q265" s="3"/>
      <c r="R265" s="3"/>
      <c r="S265" s="3"/>
      <c r="T265" s="3"/>
      <c r="U265" s="3"/>
      <c r="V265" s="3"/>
    </row>
    <row r="266" ht="12.75" customHeight="1" spans="1:22" x14ac:dyDescent="0.25">
      <c r="A266" s="3"/>
      <c r="B266" s="3"/>
      <c r="C266" s="3"/>
      <c r="D266" s="3"/>
      <c r="E266" s="3"/>
      <c r="F266" s="3"/>
      <c r="G266" s="3"/>
      <c r="H266" s="3"/>
      <c r="I266" s="3"/>
      <c r="J266" s="3"/>
      <c r="K266" s="3"/>
      <c r="L266" s="3"/>
      <c r="M266" s="3"/>
      <c r="N266" s="3"/>
      <c r="O266" s="3"/>
      <c r="P266" s="3"/>
      <c r="Q266" s="3"/>
      <c r="R266" s="3"/>
      <c r="S266" s="3"/>
      <c r="T266" s="3"/>
      <c r="U266" s="3"/>
      <c r="V266" s="3"/>
    </row>
    <row r="267" ht="12.75" customHeight="1" spans="1:22" x14ac:dyDescent="0.25">
      <c r="A267" s="3"/>
      <c r="B267" s="3"/>
      <c r="C267" s="3"/>
      <c r="D267" s="3"/>
      <c r="E267" s="3"/>
      <c r="F267" s="3"/>
      <c r="G267" s="3"/>
      <c r="H267" s="3"/>
      <c r="I267" s="3"/>
      <c r="J267" s="3"/>
      <c r="K267" s="3"/>
      <c r="L267" s="3"/>
      <c r="M267" s="3"/>
      <c r="N267" s="3"/>
      <c r="O267" s="3"/>
      <c r="P267" s="3"/>
      <c r="Q267" s="3"/>
      <c r="R267" s="3"/>
      <c r="S267" s="3"/>
      <c r="T267" s="3"/>
      <c r="U267" s="3"/>
      <c r="V267" s="3"/>
    </row>
    <row r="268" ht="12.75" customHeight="1" spans="1:22" x14ac:dyDescent="0.25">
      <c r="A268" s="3"/>
      <c r="B268" s="3"/>
      <c r="C268" s="3"/>
      <c r="D268" s="3"/>
      <c r="E268" s="3"/>
      <c r="F268" s="3"/>
      <c r="G268" s="3"/>
      <c r="H268" s="3"/>
      <c r="I268" s="3"/>
      <c r="J268" s="3"/>
      <c r="K268" s="3"/>
      <c r="L268" s="3"/>
      <c r="M268" s="3"/>
      <c r="N268" s="3"/>
      <c r="O268" s="3"/>
      <c r="P268" s="3"/>
      <c r="Q268" s="3"/>
      <c r="R268" s="3"/>
      <c r="S268" s="3"/>
      <c r="T268" s="3"/>
      <c r="U268" s="3"/>
      <c r="V268" s="3"/>
    </row>
    <row r="269" ht="12.75" customHeight="1" spans="1:22" x14ac:dyDescent="0.25">
      <c r="A269" s="3"/>
      <c r="B269" s="3"/>
      <c r="C269" s="3"/>
      <c r="D269" s="3"/>
      <c r="E269" s="3"/>
      <c r="F269" s="3"/>
      <c r="G269" s="3"/>
      <c r="H269" s="3"/>
      <c r="I269" s="3"/>
      <c r="J269" s="3"/>
      <c r="K269" s="3"/>
      <c r="L269" s="3"/>
      <c r="M269" s="3"/>
      <c r="N269" s="3"/>
      <c r="O269" s="3"/>
      <c r="P269" s="3"/>
      <c r="Q269" s="3"/>
      <c r="R269" s="3"/>
      <c r="S269" s="3"/>
      <c r="T269" s="3"/>
      <c r="U269" s="3"/>
      <c r="V269" s="3"/>
    </row>
    <row r="270" ht="12.75" customHeight="1" spans="1:22" x14ac:dyDescent="0.25">
      <c r="A270" s="3"/>
      <c r="B270" s="3"/>
      <c r="C270" s="3"/>
      <c r="D270" s="3"/>
      <c r="E270" s="3"/>
      <c r="F270" s="3"/>
      <c r="G270" s="3"/>
      <c r="H270" s="3"/>
      <c r="I270" s="3"/>
      <c r="J270" s="3"/>
      <c r="K270" s="3"/>
      <c r="L270" s="3"/>
      <c r="M270" s="3"/>
      <c r="N270" s="3"/>
      <c r="O270" s="3"/>
      <c r="P270" s="3"/>
      <c r="Q270" s="3"/>
      <c r="R270" s="3"/>
      <c r="S270" s="3"/>
      <c r="T270" s="3"/>
      <c r="U270" s="3"/>
      <c r="V270" s="3"/>
    </row>
    <row r="271" ht="12.75" customHeight="1" spans="1:22" x14ac:dyDescent="0.25">
      <c r="A271" s="3"/>
      <c r="B271" s="3"/>
      <c r="C271" s="3"/>
      <c r="D271" s="3"/>
      <c r="E271" s="3"/>
      <c r="F271" s="3"/>
      <c r="G271" s="3"/>
      <c r="H271" s="3"/>
      <c r="I271" s="3"/>
      <c r="J271" s="3"/>
      <c r="K271" s="3"/>
      <c r="L271" s="3"/>
      <c r="M271" s="3"/>
      <c r="N271" s="3"/>
      <c r="O271" s="3"/>
      <c r="P271" s="3"/>
      <c r="Q271" s="3"/>
      <c r="R271" s="3"/>
      <c r="S271" s="3"/>
      <c r="T271" s="3"/>
      <c r="U271" s="3"/>
      <c r="V271" s="3"/>
    </row>
    <row r="272" ht="12.75" customHeight="1" spans="1:22" x14ac:dyDescent="0.25">
      <c r="A272" s="3"/>
      <c r="B272" s="3"/>
      <c r="C272" s="3"/>
      <c r="D272" s="3"/>
      <c r="E272" s="3"/>
      <c r="F272" s="3"/>
      <c r="G272" s="3"/>
      <c r="H272" s="3"/>
      <c r="I272" s="3"/>
      <c r="J272" s="3"/>
      <c r="K272" s="3"/>
      <c r="L272" s="3"/>
      <c r="M272" s="3"/>
      <c r="N272" s="3"/>
      <c r="O272" s="3"/>
      <c r="P272" s="3"/>
      <c r="Q272" s="3"/>
      <c r="R272" s="3"/>
      <c r="S272" s="3"/>
      <c r="T272" s="3"/>
      <c r="U272" s="3"/>
      <c r="V272" s="3"/>
    </row>
    <row r="273" ht="12.75" customHeight="1" spans="1:22" x14ac:dyDescent="0.25">
      <c r="A273" s="3"/>
      <c r="B273" s="3"/>
      <c r="C273" s="3"/>
      <c r="D273" s="3"/>
      <c r="E273" s="3"/>
      <c r="F273" s="3"/>
      <c r="G273" s="3"/>
      <c r="H273" s="3"/>
      <c r="I273" s="3"/>
      <c r="J273" s="3"/>
      <c r="K273" s="3"/>
      <c r="L273" s="3"/>
      <c r="M273" s="3"/>
      <c r="N273" s="3"/>
      <c r="O273" s="3"/>
      <c r="P273" s="3"/>
      <c r="Q273" s="3"/>
      <c r="R273" s="3"/>
      <c r="S273" s="3"/>
      <c r="T273" s="3"/>
      <c r="U273" s="3"/>
      <c r="V273" s="3"/>
    </row>
    <row r="274" ht="12.75" customHeight="1" spans="1:22" x14ac:dyDescent="0.25">
      <c r="A274" s="3"/>
      <c r="B274" s="3"/>
      <c r="C274" s="3"/>
      <c r="D274" s="3"/>
      <c r="E274" s="3"/>
      <c r="F274" s="3"/>
      <c r="G274" s="3"/>
      <c r="H274" s="3"/>
      <c r="I274" s="3"/>
      <c r="J274" s="3"/>
      <c r="K274" s="3"/>
      <c r="L274" s="3"/>
      <c r="M274" s="3"/>
      <c r="N274" s="3"/>
      <c r="O274" s="3"/>
      <c r="P274" s="3"/>
      <c r="Q274" s="3"/>
      <c r="R274" s="3"/>
      <c r="S274" s="3"/>
      <c r="T274" s="3"/>
      <c r="U274" s="3"/>
      <c r="V274" s="3"/>
    </row>
    <row r="275" ht="12.75" customHeight="1" spans="1:22" x14ac:dyDescent="0.25">
      <c r="A275" s="3"/>
      <c r="B275" s="3"/>
      <c r="C275" s="3"/>
      <c r="D275" s="3"/>
      <c r="E275" s="3"/>
      <c r="F275" s="3"/>
      <c r="G275" s="3"/>
      <c r="H275" s="3"/>
      <c r="I275" s="3"/>
      <c r="J275" s="3"/>
      <c r="K275" s="3"/>
      <c r="L275" s="3"/>
      <c r="M275" s="3"/>
      <c r="N275" s="3"/>
      <c r="O275" s="3"/>
      <c r="P275" s="3"/>
      <c r="Q275" s="3"/>
      <c r="R275" s="3"/>
      <c r="S275" s="3"/>
      <c r="T275" s="3"/>
      <c r="U275" s="3"/>
      <c r="V275" s="3"/>
    </row>
    <row r="276" ht="12.75" customHeight="1" spans="1:22" x14ac:dyDescent="0.25">
      <c r="A276" s="3"/>
      <c r="B276" s="3"/>
      <c r="C276" s="3"/>
      <c r="D276" s="3"/>
      <c r="E276" s="3"/>
      <c r="F276" s="3"/>
      <c r="G276" s="3"/>
      <c r="H276" s="3"/>
      <c r="I276" s="3"/>
      <c r="J276" s="3"/>
      <c r="K276" s="3"/>
      <c r="L276" s="3"/>
      <c r="M276" s="3"/>
      <c r="N276" s="3"/>
      <c r="O276" s="3"/>
      <c r="P276" s="3"/>
      <c r="Q276" s="3"/>
      <c r="R276" s="3"/>
      <c r="S276" s="3"/>
      <c r="T276" s="3"/>
      <c r="U276" s="3"/>
      <c r="V276" s="3"/>
    </row>
    <row r="277" ht="12.75" customHeight="1" spans="1:22" x14ac:dyDescent="0.25">
      <c r="A277" s="3"/>
      <c r="B277" s="3"/>
      <c r="C277" s="3"/>
      <c r="D277" s="3"/>
      <c r="E277" s="3"/>
      <c r="F277" s="3"/>
      <c r="G277" s="3"/>
      <c r="H277" s="3"/>
      <c r="I277" s="3"/>
      <c r="J277" s="3"/>
      <c r="K277" s="3"/>
      <c r="L277" s="3"/>
      <c r="M277" s="3"/>
      <c r="N277" s="3"/>
      <c r="O277" s="3"/>
      <c r="P277" s="3"/>
      <c r="Q277" s="3"/>
      <c r="R277" s="3"/>
      <c r="S277" s="3"/>
      <c r="T277" s="3"/>
      <c r="U277" s="3"/>
      <c r="V277" s="3"/>
    </row>
    <row r="278" ht="12.75" customHeight="1" spans="1:22" x14ac:dyDescent="0.25">
      <c r="A278" s="3"/>
      <c r="B278" s="3"/>
      <c r="C278" s="3"/>
      <c r="D278" s="3"/>
      <c r="E278" s="3"/>
      <c r="F278" s="3"/>
      <c r="G278" s="3"/>
      <c r="H278" s="3"/>
      <c r="I278" s="3"/>
      <c r="J278" s="3"/>
      <c r="K278" s="3"/>
      <c r="L278" s="3"/>
      <c r="M278" s="3"/>
      <c r="N278" s="3"/>
      <c r="O278" s="3"/>
      <c r="P278" s="3"/>
      <c r="Q278" s="3"/>
      <c r="R278" s="3"/>
      <c r="S278" s="3"/>
      <c r="T278" s="3"/>
      <c r="U278" s="3"/>
      <c r="V278" s="3"/>
    </row>
    <row r="279" ht="12.75" customHeight="1" spans="1:22" x14ac:dyDescent="0.25">
      <c r="A279" s="3"/>
      <c r="B279" s="3"/>
      <c r="C279" s="3"/>
      <c r="D279" s="3"/>
      <c r="E279" s="3"/>
      <c r="F279" s="3"/>
      <c r="G279" s="3"/>
      <c r="H279" s="3"/>
      <c r="I279" s="3"/>
      <c r="J279" s="3"/>
      <c r="K279" s="3"/>
      <c r="L279" s="3"/>
      <c r="M279" s="3"/>
      <c r="N279" s="3"/>
      <c r="O279" s="3"/>
      <c r="P279" s="3"/>
      <c r="Q279" s="3"/>
      <c r="R279" s="3"/>
      <c r="S279" s="3"/>
      <c r="T279" s="3"/>
      <c r="U279" s="3"/>
      <c r="V279" s="3"/>
    </row>
    <row r="280" ht="12.75" customHeight="1" spans="1:22" x14ac:dyDescent="0.25">
      <c r="A280" s="3"/>
      <c r="B280" s="3"/>
      <c r="C280" s="3"/>
      <c r="D280" s="3"/>
      <c r="E280" s="3"/>
      <c r="F280" s="3"/>
      <c r="G280" s="3"/>
      <c r="H280" s="3"/>
      <c r="I280" s="3"/>
      <c r="J280" s="3"/>
      <c r="K280" s="3"/>
      <c r="L280" s="3"/>
      <c r="M280" s="3"/>
      <c r="N280" s="3"/>
      <c r="O280" s="3"/>
      <c r="P280" s="3"/>
      <c r="Q280" s="3"/>
      <c r="R280" s="3"/>
      <c r="S280" s="3"/>
      <c r="T280" s="3"/>
      <c r="U280" s="3"/>
      <c r="V280" s="3"/>
    </row>
    <row r="281" ht="12.75" customHeight="1" spans="1:22" x14ac:dyDescent="0.25">
      <c r="A281" s="3"/>
      <c r="B281" s="3"/>
      <c r="C281" s="3"/>
      <c r="D281" s="3"/>
      <c r="E281" s="3"/>
      <c r="F281" s="3"/>
      <c r="G281" s="3"/>
      <c r="H281" s="3"/>
      <c r="I281" s="3"/>
      <c r="J281" s="3"/>
      <c r="K281" s="3"/>
      <c r="L281" s="3"/>
      <c r="M281" s="3"/>
      <c r="N281" s="3"/>
      <c r="O281" s="3"/>
      <c r="P281" s="3"/>
      <c r="Q281" s="3"/>
      <c r="R281" s="3"/>
      <c r="S281" s="3"/>
      <c r="T281" s="3"/>
      <c r="U281" s="3"/>
      <c r="V281" s="3"/>
    </row>
    <row r="282" ht="12.75" customHeight="1" spans="1:22" x14ac:dyDescent="0.25">
      <c r="A282" s="3"/>
      <c r="B282" s="3"/>
      <c r="C282" s="3"/>
      <c r="D282" s="3"/>
      <c r="E282" s="3"/>
      <c r="F282" s="3"/>
      <c r="G282" s="3"/>
      <c r="H282" s="3"/>
      <c r="I282" s="3"/>
      <c r="J282" s="3"/>
      <c r="K282" s="3"/>
      <c r="L282" s="3"/>
      <c r="M282" s="3"/>
      <c r="N282" s="3"/>
      <c r="O282" s="3"/>
      <c r="P282" s="3"/>
      <c r="Q282" s="3"/>
      <c r="R282" s="3"/>
      <c r="S282" s="3"/>
      <c r="T282" s="3"/>
      <c r="U282" s="3"/>
      <c r="V282" s="3"/>
    </row>
    <row r="283" ht="12.75" customHeight="1" spans="1:22" x14ac:dyDescent="0.25">
      <c r="A283" s="3"/>
      <c r="B283" s="3"/>
      <c r="C283" s="3"/>
      <c r="D283" s="3"/>
      <c r="E283" s="3"/>
      <c r="F283" s="3"/>
      <c r="G283" s="3"/>
      <c r="H283" s="3"/>
      <c r="I283" s="3"/>
      <c r="J283" s="3"/>
      <c r="K283" s="3"/>
      <c r="L283" s="3"/>
      <c r="M283" s="3"/>
      <c r="N283" s="3"/>
      <c r="O283" s="3"/>
      <c r="P283" s="3"/>
      <c r="Q283" s="3"/>
      <c r="R283" s="3"/>
      <c r="S283" s="3"/>
      <c r="T283" s="3"/>
      <c r="U283" s="3"/>
      <c r="V283" s="3"/>
    </row>
    <row r="284" ht="12.75" customHeight="1" spans="1:22" x14ac:dyDescent="0.25">
      <c r="A284" s="3"/>
      <c r="B284" s="3"/>
      <c r="C284" s="3"/>
      <c r="D284" s="3"/>
      <c r="E284" s="3"/>
      <c r="F284" s="3"/>
      <c r="G284" s="3"/>
      <c r="H284" s="3"/>
      <c r="I284" s="3"/>
      <c r="J284" s="3"/>
      <c r="K284" s="3"/>
      <c r="L284" s="3"/>
      <c r="M284" s="3"/>
      <c r="N284" s="3"/>
      <c r="O284" s="3"/>
      <c r="P284" s="3"/>
      <c r="Q284" s="3"/>
      <c r="R284" s="3"/>
      <c r="S284" s="3"/>
      <c r="T284" s="3"/>
      <c r="U284" s="3"/>
      <c r="V284" s="3"/>
    </row>
    <row r="285" ht="12.75" customHeight="1" spans="1:22" x14ac:dyDescent="0.25">
      <c r="A285" s="3"/>
      <c r="B285" s="3"/>
      <c r="C285" s="3"/>
      <c r="D285" s="3"/>
      <c r="E285" s="3"/>
      <c r="F285" s="3"/>
      <c r="G285" s="3"/>
      <c r="H285" s="3"/>
      <c r="I285" s="3"/>
      <c r="J285" s="3"/>
      <c r="K285" s="3"/>
      <c r="L285" s="3"/>
      <c r="M285" s="3"/>
      <c r="N285" s="3"/>
      <c r="O285" s="3"/>
      <c r="P285" s="3"/>
      <c r="Q285" s="3"/>
      <c r="R285" s="3"/>
      <c r="S285" s="3"/>
      <c r="T285" s="3"/>
      <c r="U285" s="3"/>
      <c r="V285" s="3"/>
    </row>
    <row r="286" ht="12.75" customHeight="1" spans="1:22" x14ac:dyDescent="0.25">
      <c r="A286" s="3"/>
      <c r="B286" s="3"/>
      <c r="C286" s="3"/>
      <c r="D286" s="3"/>
      <c r="E286" s="3"/>
      <c r="F286" s="3"/>
      <c r="G286" s="3"/>
      <c r="H286" s="3"/>
      <c r="I286" s="3"/>
      <c r="J286" s="3"/>
      <c r="K286" s="3"/>
      <c r="L286" s="3"/>
      <c r="M286" s="3"/>
      <c r="N286" s="3"/>
      <c r="O286" s="3"/>
      <c r="P286" s="3"/>
      <c r="Q286" s="3"/>
      <c r="R286" s="3"/>
      <c r="S286" s="3"/>
      <c r="T286" s="3"/>
      <c r="U286" s="3"/>
      <c r="V286" s="3"/>
    </row>
    <row r="287" ht="12.75" customHeight="1" spans="1:22" x14ac:dyDescent="0.25">
      <c r="A287" s="3"/>
      <c r="B287" s="3"/>
      <c r="C287" s="3"/>
      <c r="D287" s="3"/>
      <c r="E287" s="3"/>
      <c r="F287" s="3"/>
      <c r="G287" s="3"/>
      <c r="H287" s="3"/>
      <c r="I287" s="3"/>
      <c r="J287" s="3"/>
      <c r="K287" s="3"/>
      <c r="L287" s="3"/>
      <c r="M287" s="3"/>
      <c r="N287" s="3"/>
      <c r="O287" s="3"/>
      <c r="P287" s="3"/>
      <c r="Q287" s="3"/>
      <c r="R287" s="3"/>
      <c r="S287" s="3"/>
      <c r="T287" s="3"/>
      <c r="U287" s="3"/>
      <c r="V287" s="3"/>
    </row>
    <row r="288" ht="12.75" customHeight="1" spans="1:22" x14ac:dyDescent="0.25">
      <c r="A288" s="3"/>
      <c r="B288" s="3"/>
      <c r="C288" s="3"/>
      <c r="D288" s="3"/>
      <c r="E288" s="3"/>
      <c r="F288" s="3"/>
      <c r="G288" s="3"/>
      <c r="H288" s="3"/>
      <c r="I288" s="3"/>
      <c r="J288" s="3"/>
      <c r="K288" s="3"/>
      <c r="L288" s="3"/>
      <c r="M288" s="3"/>
      <c r="N288" s="3"/>
      <c r="O288" s="3"/>
      <c r="P288" s="3"/>
      <c r="Q288" s="3"/>
      <c r="R288" s="3"/>
      <c r="S288" s="3"/>
      <c r="T288" s="3"/>
      <c r="U288" s="3"/>
      <c r="V288" s="3"/>
    </row>
    <row r="289" ht="12.75" customHeight="1" spans="1:22" x14ac:dyDescent="0.25">
      <c r="A289" s="3"/>
      <c r="B289" s="3"/>
      <c r="C289" s="3"/>
      <c r="D289" s="3"/>
      <c r="E289" s="3"/>
      <c r="F289" s="3"/>
      <c r="G289" s="3"/>
      <c r="H289" s="3"/>
      <c r="I289" s="3"/>
      <c r="J289" s="3"/>
      <c r="K289" s="3"/>
      <c r="L289" s="3"/>
      <c r="M289" s="3"/>
      <c r="N289" s="3"/>
      <c r="O289" s="3"/>
      <c r="P289" s="3"/>
      <c r="Q289" s="3"/>
      <c r="R289" s="3"/>
      <c r="S289" s="3"/>
      <c r="T289" s="3"/>
      <c r="U289" s="3"/>
      <c r="V289" s="3"/>
    </row>
    <row r="290" ht="12.75" customHeight="1" spans="1:22" x14ac:dyDescent="0.25">
      <c r="A290" s="3"/>
      <c r="B290" s="3"/>
      <c r="C290" s="3"/>
      <c r="D290" s="3"/>
      <c r="E290" s="3"/>
      <c r="F290" s="3"/>
      <c r="G290" s="3"/>
      <c r="H290" s="3"/>
      <c r="I290" s="3"/>
      <c r="J290" s="3"/>
      <c r="K290" s="3"/>
      <c r="L290" s="3"/>
      <c r="M290" s="3"/>
      <c r="N290" s="3"/>
      <c r="O290" s="3"/>
      <c r="P290" s="3"/>
      <c r="Q290" s="3"/>
      <c r="R290" s="3"/>
      <c r="S290" s="3"/>
      <c r="T290" s="3"/>
      <c r="U290" s="3"/>
      <c r="V290" s="3"/>
    </row>
    <row r="291" ht="12.75" customHeight="1" spans="1:22" x14ac:dyDescent="0.25">
      <c r="A291" s="3"/>
      <c r="B291" s="3"/>
      <c r="C291" s="3"/>
      <c r="D291" s="3"/>
      <c r="E291" s="3"/>
      <c r="F291" s="3"/>
      <c r="G291" s="3"/>
      <c r="H291" s="3"/>
      <c r="I291" s="3"/>
      <c r="J291" s="3"/>
      <c r="K291" s="3"/>
      <c r="L291" s="3"/>
      <c r="M291" s="3"/>
      <c r="N291" s="3"/>
      <c r="O291" s="3"/>
      <c r="P291" s="3"/>
      <c r="Q291" s="3"/>
      <c r="R291" s="3"/>
      <c r="S291" s="3"/>
      <c r="T291" s="3"/>
      <c r="U291" s="3"/>
      <c r="V291" s="3"/>
    </row>
    <row r="292" ht="12.75" customHeight="1" spans="1:22" x14ac:dyDescent="0.25">
      <c r="A292" s="3"/>
      <c r="B292" s="3"/>
      <c r="C292" s="3"/>
      <c r="D292" s="3"/>
      <c r="E292" s="3"/>
      <c r="F292" s="3"/>
      <c r="G292" s="3"/>
      <c r="H292" s="3"/>
      <c r="I292" s="3"/>
      <c r="J292" s="3"/>
      <c r="K292" s="3"/>
      <c r="L292" s="3"/>
      <c r="M292" s="3"/>
      <c r="N292" s="3"/>
      <c r="O292" s="3"/>
      <c r="P292" s="3"/>
      <c r="Q292" s="3"/>
      <c r="R292" s="3"/>
      <c r="S292" s="3"/>
      <c r="T292" s="3"/>
      <c r="U292" s="3"/>
      <c r="V292" s="3"/>
    </row>
    <row r="293" ht="12.75" customHeight="1" spans="1:22" x14ac:dyDescent="0.25">
      <c r="A293" s="3"/>
      <c r="B293" s="3"/>
      <c r="C293" s="3"/>
      <c r="D293" s="3"/>
      <c r="E293" s="3"/>
      <c r="F293" s="3"/>
      <c r="G293" s="3"/>
      <c r="H293" s="3"/>
      <c r="I293" s="3"/>
      <c r="J293" s="3"/>
      <c r="K293" s="3"/>
      <c r="L293" s="3"/>
      <c r="M293" s="3"/>
      <c r="N293" s="3"/>
      <c r="O293" s="3"/>
      <c r="P293" s="3"/>
      <c r="Q293" s="3"/>
      <c r="R293" s="3"/>
      <c r="S293" s="3"/>
      <c r="T293" s="3"/>
      <c r="U293" s="3"/>
      <c r="V293" s="3"/>
    </row>
    <row r="294" ht="12.75" customHeight="1" spans="1:22" x14ac:dyDescent="0.25">
      <c r="A294" s="3"/>
      <c r="B294" s="3"/>
      <c r="C294" s="3"/>
      <c r="D294" s="3"/>
      <c r="E294" s="3"/>
      <c r="F294" s="3"/>
      <c r="G294" s="3"/>
      <c r="H294" s="3"/>
      <c r="I294" s="3"/>
      <c r="J294" s="3"/>
      <c r="K294" s="3"/>
      <c r="L294" s="3"/>
      <c r="M294" s="3"/>
      <c r="N294" s="3"/>
      <c r="O294" s="3"/>
      <c r="P294" s="3"/>
      <c r="Q294" s="3"/>
      <c r="R294" s="3"/>
      <c r="S294" s="3"/>
      <c r="T294" s="3"/>
      <c r="U294" s="3"/>
      <c r="V294" s="3"/>
    </row>
    <row r="295" ht="12.75" customHeight="1" spans="1:22" x14ac:dyDescent="0.25">
      <c r="A295" s="3"/>
      <c r="B295" s="3"/>
      <c r="C295" s="3"/>
      <c r="D295" s="3"/>
      <c r="E295" s="3"/>
      <c r="F295" s="3"/>
      <c r="G295" s="3"/>
      <c r="H295" s="3"/>
      <c r="I295" s="3"/>
      <c r="J295" s="3"/>
      <c r="K295" s="3"/>
      <c r="L295" s="3"/>
      <c r="M295" s="3"/>
      <c r="N295" s="3"/>
      <c r="O295" s="3"/>
      <c r="P295" s="3"/>
      <c r="Q295" s="3"/>
      <c r="R295" s="3"/>
      <c r="S295" s="3"/>
      <c r="T295" s="3"/>
      <c r="U295" s="3"/>
      <c r="V295" s="3"/>
    </row>
    <row r="296" ht="12.75" customHeight="1" spans="1:22" x14ac:dyDescent="0.25">
      <c r="A296" s="3"/>
      <c r="B296" s="3"/>
      <c r="C296" s="3"/>
      <c r="D296" s="3"/>
      <c r="E296" s="3"/>
      <c r="F296" s="3"/>
      <c r="G296" s="3"/>
      <c r="H296" s="3"/>
      <c r="I296" s="3"/>
      <c r="J296" s="3"/>
      <c r="K296" s="3"/>
      <c r="L296" s="3"/>
      <c r="M296" s="3"/>
      <c r="N296" s="3"/>
      <c r="O296" s="3"/>
      <c r="P296" s="3"/>
      <c r="Q296" s="3"/>
      <c r="R296" s="3"/>
      <c r="S296" s="3"/>
      <c r="T296" s="3"/>
      <c r="U296" s="3"/>
      <c r="V296" s="3"/>
    </row>
    <row r="297" ht="12.75" customHeight="1" spans="1:22" x14ac:dyDescent="0.25">
      <c r="A297" s="3"/>
      <c r="B297" s="3"/>
      <c r="C297" s="3"/>
      <c r="D297" s="3"/>
      <c r="E297" s="3"/>
      <c r="F297" s="3"/>
      <c r="G297" s="3"/>
      <c r="H297" s="3"/>
      <c r="I297" s="3"/>
      <c r="J297" s="3"/>
      <c r="K297" s="3"/>
      <c r="L297" s="3"/>
      <c r="M297" s="3"/>
      <c r="N297" s="3"/>
      <c r="O297" s="3"/>
      <c r="P297" s="3"/>
      <c r="Q297" s="3"/>
      <c r="R297" s="3"/>
      <c r="S297" s="3"/>
      <c r="T297" s="3"/>
      <c r="U297" s="3"/>
      <c r="V297" s="3"/>
    </row>
    <row r="298" ht="12.75" customHeight="1" spans="1:22" x14ac:dyDescent="0.25">
      <c r="A298" s="3"/>
      <c r="B298" s="3"/>
      <c r="C298" s="3"/>
      <c r="D298" s="3"/>
      <c r="E298" s="3"/>
      <c r="F298" s="3"/>
      <c r="G298" s="3"/>
      <c r="H298" s="3"/>
      <c r="I298" s="3"/>
      <c r="J298" s="3"/>
      <c r="K298" s="3"/>
      <c r="L298" s="3"/>
      <c r="M298" s="3"/>
      <c r="N298" s="3"/>
      <c r="O298" s="3"/>
      <c r="P298" s="3"/>
      <c r="Q298" s="3"/>
      <c r="R298" s="3"/>
      <c r="S298" s="3"/>
      <c r="T298" s="3"/>
      <c r="U298" s="3"/>
      <c r="V298" s="3"/>
    </row>
    <row r="299" ht="12.75" customHeight="1" spans="1:22" x14ac:dyDescent="0.25">
      <c r="A299" s="3"/>
      <c r="B299" s="3"/>
      <c r="C299" s="3"/>
      <c r="D299" s="3"/>
      <c r="E299" s="3"/>
      <c r="F299" s="3"/>
      <c r="G299" s="3"/>
      <c r="H299" s="3"/>
      <c r="I299" s="3"/>
      <c r="J299" s="3"/>
      <c r="K299" s="3"/>
      <c r="L299" s="3"/>
      <c r="M299" s="3"/>
      <c r="N299" s="3"/>
      <c r="O299" s="3"/>
      <c r="P299" s="3"/>
      <c r="Q299" s="3"/>
      <c r="R299" s="3"/>
      <c r="S299" s="3"/>
      <c r="T299" s="3"/>
      <c r="U299" s="3"/>
      <c r="V299" s="3"/>
    </row>
    <row r="300" ht="12.75" customHeight="1" spans="1:22" x14ac:dyDescent="0.25">
      <c r="A300" s="3"/>
      <c r="B300" s="3"/>
      <c r="C300" s="3"/>
      <c r="D300" s="3"/>
      <c r="E300" s="3"/>
      <c r="F300" s="3"/>
      <c r="G300" s="3"/>
      <c r="H300" s="3"/>
      <c r="I300" s="3"/>
      <c r="J300" s="3"/>
      <c r="K300" s="3"/>
      <c r="L300" s="3"/>
      <c r="M300" s="3"/>
      <c r="N300" s="3"/>
      <c r="O300" s="3"/>
      <c r="P300" s="3"/>
      <c r="Q300" s="3"/>
      <c r="R300" s="3"/>
      <c r="S300" s="3"/>
      <c r="T300" s="3"/>
      <c r="U300" s="3"/>
      <c r="V300" s="3"/>
    </row>
    <row r="301" ht="12.75" customHeight="1" spans="1:22" x14ac:dyDescent="0.25">
      <c r="A301" s="3"/>
      <c r="B301" s="3"/>
      <c r="C301" s="3"/>
      <c r="D301" s="3"/>
      <c r="E301" s="3"/>
      <c r="F301" s="3"/>
      <c r="G301" s="3"/>
      <c r="H301" s="3"/>
      <c r="I301" s="3"/>
      <c r="J301" s="3"/>
      <c r="K301" s="3"/>
      <c r="L301" s="3"/>
      <c r="M301" s="3"/>
      <c r="N301" s="3"/>
      <c r="O301" s="3"/>
      <c r="P301" s="3"/>
      <c r="Q301" s="3"/>
      <c r="R301" s="3"/>
      <c r="S301" s="3"/>
      <c r="T301" s="3"/>
      <c r="U301" s="3"/>
      <c r="V301" s="3"/>
    </row>
    <row r="302" ht="12.75" customHeight="1" spans="1:22" x14ac:dyDescent="0.25">
      <c r="A302" s="3"/>
      <c r="B302" s="3"/>
      <c r="C302" s="3"/>
      <c r="D302" s="3"/>
      <c r="E302" s="3"/>
      <c r="F302" s="3"/>
      <c r="G302" s="3"/>
      <c r="H302" s="3"/>
      <c r="I302" s="3"/>
      <c r="J302" s="3"/>
      <c r="K302" s="3"/>
      <c r="L302" s="3"/>
      <c r="M302" s="3"/>
      <c r="N302" s="3"/>
      <c r="O302" s="3"/>
      <c r="P302" s="3"/>
      <c r="Q302" s="3"/>
      <c r="R302" s="3"/>
      <c r="S302" s="3"/>
      <c r="T302" s="3"/>
      <c r="U302" s="3"/>
      <c r="V302" s="3"/>
    </row>
    <row r="303" ht="12.75" customHeight="1" spans="1:22" x14ac:dyDescent="0.25">
      <c r="A303" s="3"/>
      <c r="B303" s="3"/>
      <c r="C303" s="3"/>
      <c r="D303" s="3"/>
      <c r="E303" s="3"/>
      <c r="F303" s="3"/>
      <c r="G303" s="3"/>
      <c r="H303" s="3"/>
      <c r="I303" s="3"/>
      <c r="J303" s="3"/>
      <c r="K303" s="3"/>
      <c r="L303" s="3"/>
      <c r="M303" s="3"/>
      <c r="N303" s="3"/>
      <c r="O303" s="3"/>
      <c r="P303" s="3"/>
      <c r="Q303" s="3"/>
      <c r="R303" s="3"/>
      <c r="S303" s="3"/>
      <c r="T303" s="3"/>
      <c r="U303" s="3"/>
      <c r="V303" s="3"/>
    </row>
    <row r="304" ht="12.75" customHeight="1" spans="1:22" x14ac:dyDescent="0.25">
      <c r="A304" s="3"/>
      <c r="B304" s="3"/>
      <c r="C304" s="3"/>
      <c r="D304" s="3"/>
      <c r="E304" s="3"/>
      <c r="F304" s="3"/>
      <c r="G304" s="3"/>
      <c r="H304" s="3"/>
      <c r="I304" s="3"/>
      <c r="J304" s="3"/>
      <c r="K304" s="3"/>
      <c r="L304" s="3"/>
      <c r="M304" s="3"/>
      <c r="N304" s="3"/>
      <c r="O304" s="3"/>
      <c r="P304" s="3"/>
      <c r="Q304" s="3"/>
      <c r="R304" s="3"/>
      <c r="S304" s="3"/>
      <c r="T304" s="3"/>
      <c r="U304" s="3"/>
      <c r="V304" s="3"/>
    </row>
    <row r="305" ht="12.75" customHeight="1" spans="1:22" x14ac:dyDescent="0.25">
      <c r="A305" s="3"/>
      <c r="B305" s="3"/>
      <c r="C305" s="3"/>
      <c r="D305" s="3"/>
      <c r="E305" s="3"/>
      <c r="F305" s="3"/>
      <c r="G305" s="3"/>
      <c r="H305" s="3"/>
      <c r="I305" s="3"/>
      <c r="J305" s="3"/>
      <c r="K305" s="3"/>
      <c r="L305" s="3"/>
      <c r="M305" s="3"/>
      <c r="N305" s="3"/>
      <c r="O305" s="3"/>
      <c r="P305" s="3"/>
      <c r="Q305" s="3"/>
      <c r="R305" s="3"/>
      <c r="S305" s="3"/>
      <c r="T305" s="3"/>
      <c r="U305" s="3"/>
      <c r="V305" s="3"/>
    </row>
    <row r="306" ht="12.75" customHeight="1" spans="1:22" x14ac:dyDescent="0.25">
      <c r="A306" s="3"/>
      <c r="B306" s="3"/>
      <c r="C306" s="3"/>
      <c r="D306" s="3"/>
      <c r="E306" s="3"/>
      <c r="F306" s="3"/>
      <c r="G306" s="3"/>
      <c r="H306" s="3"/>
      <c r="I306" s="3"/>
      <c r="J306" s="3"/>
      <c r="K306" s="3"/>
      <c r="L306" s="3"/>
      <c r="M306" s="3"/>
      <c r="N306" s="3"/>
      <c r="O306" s="3"/>
      <c r="P306" s="3"/>
      <c r="Q306" s="3"/>
      <c r="R306" s="3"/>
      <c r="S306" s="3"/>
      <c r="T306" s="3"/>
      <c r="U306" s="3"/>
      <c r="V306" s="3"/>
    </row>
    <row r="307" ht="12.75" customHeight="1" spans="1:22" x14ac:dyDescent="0.25">
      <c r="A307" s="3"/>
      <c r="B307" s="3"/>
      <c r="C307" s="3"/>
      <c r="D307" s="3"/>
      <c r="E307" s="3"/>
      <c r="F307" s="3"/>
      <c r="G307" s="3"/>
      <c r="H307" s="3"/>
      <c r="I307" s="3"/>
      <c r="J307" s="3"/>
      <c r="K307" s="3"/>
      <c r="L307" s="3"/>
      <c r="M307" s="3"/>
      <c r="N307" s="3"/>
      <c r="O307" s="3"/>
      <c r="P307" s="3"/>
      <c r="Q307" s="3"/>
      <c r="R307" s="3"/>
      <c r="S307" s="3"/>
      <c r="T307" s="3"/>
      <c r="U307" s="3"/>
      <c r="V307" s="3"/>
    </row>
    <row r="308" ht="12.75" customHeight="1" spans="1:22" x14ac:dyDescent="0.25">
      <c r="A308" s="3"/>
      <c r="B308" s="3"/>
      <c r="C308" s="3"/>
      <c r="D308" s="3"/>
      <c r="E308" s="3"/>
      <c r="F308" s="3"/>
      <c r="G308" s="3"/>
      <c r="H308" s="3"/>
      <c r="I308" s="3"/>
      <c r="J308" s="3"/>
      <c r="K308" s="3"/>
      <c r="L308" s="3"/>
      <c r="M308" s="3"/>
      <c r="N308" s="3"/>
      <c r="O308" s="3"/>
      <c r="P308" s="3"/>
      <c r="Q308" s="3"/>
      <c r="R308" s="3"/>
      <c r="S308" s="3"/>
      <c r="T308" s="3"/>
      <c r="U308" s="3"/>
      <c r="V308" s="3"/>
    </row>
    <row r="309" ht="12.75" customHeight="1" spans="1:22" x14ac:dyDescent="0.25">
      <c r="A309" s="3"/>
      <c r="B309" s="3"/>
      <c r="C309" s="3"/>
      <c r="D309" s="3"/>
      <c r="E309" s="3"/>
      <c r="F309" s="3"/>
      <c r="G309" s="3"/>
      <c r="H309" s="3"/>
      <c r="I309" s="3"/>
      <c r="J309" s="3"/>
      <c r="K309" s="3"/>
      <c r="L309" s="3"/>
      <c r="M309" s="3"/>
      <c r="N309" s="3"/>
      <c r="O309" s="3"/>
      <c r="P309" s="3"/>
      <c r="Q309" s="3"/>
      <c r="R309" s="3"/>
      <c r="S309" s="3"/>
      <c r="T309" s="3"/>
      <c r="U309" s="3"/>
      <c r="V309" s="3"/>
    </row>
    <row r="310" ht="12.75" customHeight="1" spans="1:22" x14ac:dyDescent="0.25">
      <c r="A310" s="3"/>
      <c r="B310" s="3"/>
      <c r="C310" s="3"/>
      <c r="D310" s="3"/>
      <c r="E310" s="3"/>
      <c r="F310" s="3"/>
      <c r="G310" s="3"/>
      <c r="H310" s="3"/>
      <c r="I310" s="3"/>
      <c r="J310" s="3"/>
      <c r="K310" s="3"/>
      <c r="L310" s="3"/>
      <c r="M310" s="3"/>
      <c r="N310" s="3"/>
      <c r="O310" s="3"/>
      <c r="P310" s="3"/>
      <c r="Q310" s="3"/>
      <c r="R310" s="3"/>
      <c r="S310" s="3"/>
      <c r="T310" s="3"/>
      <c r="U310" s="3"/>
      <c r="V310" s="3"/>
    </row>
    <row r="311" ht="12.75" customHeight="1" spans="1:22" x14ac:dyDescent="0.25">
      <c r="A311" s="3"/>
      <c r="B311" s="3"/>
      <c r="C311" s="3"/>
      <c r="D311" s="3"/>
      <c r="E311" s="3"/>
      <c r="F311" s="3"/>
      <c r="G311" s="3"/>
      <c r="H311" s="3"/>
      <c r="I311" s="3"/>
      <c r="J311" s="3"/>
      <c r="K311" s="3"/>
      <c r="L311" s="3"/>
      <c r="M311" s="3"/>
      <c r="N311" s="3"/>
      <c r="O311" s="3"/>
      <c r="P311" s="3"/>
      <c r="Q311" s="3"/>
      <c r="R311" s="3"/>
      <c r="S311" s="3"/>
      <c r="T311" s="3"/>
      <c r="U311" s="3"/>
      <c r="V311" s="3"/>
    </row>
    <row r="312" ht="12.75" customHeight="1" spans="1:22" x14ac:dyDescent="0.25">
      <c r="A312" s="3"/>
      <c r="B312" s="3"/>
      <c r="C312" s="3"/>
      <c r="D312" s="3"/>
      <c r="E312" s="3"/>
      <c r="F312" s="3"/>
      <c r="G312" s="3"/>
      <c r="H312" s="3"/>
      <c r="I312" s="3"/>
      <c r="J312" s="3"/>
      <c r="K312" s="3"/>
      <c r="L312" s="3"/>
      <c r="M312" s="3"/>
      <c r="N312" s="3"/>
      <c r="O312" s="3"/>
      <c r="P312" s="3"/>
      <c r="Q312" s="3"/>
      <c r="R312" s="3"/>
      <c r="S312" s="3"/>
      <c r="T312" s="3"/>
      <c r="U312" s="3"/>
      <c r="V312" s="3"/>
    </row>
    <row r="313" ht="12.75" customHeight="1" spans="1:22" x14ac:dyDescent="0.25">
      <c r="A313" s="3"/>
      <c r="B313" s="3"/>
      <c r="C313" s="3"/>
      <c r="D313" s="3"/>
      <c r="E313" s="3"/>
      <c r="F313" s="3"/>
      <c r="G313" s="3"/>
      <c r="H313" s="3"/>
      <c r="I313" s="3"/>
      <c r="J313" s="3"/>
      <c r="K313" s="3"/>
      <c r="L313" s="3"/>
      <c r="M313" s="3"/>
      <c r="N313" s="3"/>
      <c r="O313" s="3"/>
      <c r="P313" s="3"/>
      <c r="Q313" s="3"/>
      <c r="R313" s="3"/>
      <c r="S313" s="3"/>
      <c r="T313" s="3"/>
      <c r="U313" s="3"/>
      <c r="V313" s="3"/>
    </row>
    <row r="314" ht="12.75" customHeight="1" spans="1:22" x14ac:dyDescent="0.25">
      <c r="A314" s="3"/>
      <c r="B314" s="3"/>
      <c r="C314" s="3"/>
      <c r="D314" s="3"/>
      <c r="E314" s="3"/>
      <c r="F314" s="3"/>
      <c r="G314" s="3"/>
      <c r="H314" s="3"/>
      <c r="I314" s="3"/>
      <c r="J314" s="3"/>
      <c r="K314" s="3"/>
      <c r="L314" s="3"/>
      <c r="M314" s="3"/>
      <c r="N314" s="3"/>
      <c r="O314" s="3"/>
      <c r="P314" s="3"/>
      <c r="Q314" s="3"/>
      <c r="R314" s="3"/>
      <c r="S314" s="3"/>
      <c r="T314" s="3"/>
      <c r="U314" s="3"/>
      <c r="V314" s="3"/>
    </row>
    <row r="315" ht="12.75" customHeight="1" spans="1:22" x14ac:dyDescent="0.25">
      <c r="A315" s="3"/>
      <c r="B315" s="3"/>
      <c r="C315" s="3"/>
      <c r="D315" s="3"/>
      <c r="E315" s="3"/>
      <c r="F315" s="3"/>
      <c r="G315" s="3"/>
      <c r="H315" s="3"/>
      <c r="I315" s="3"/>
      <c r="J315" s="3"/>
      <c r="K315" s="3"/>
      <c r="L315" s="3"/>
      <c r="M315" s="3"/>
      <c r="N315" s="3"/>
      <c r="O315" s="3"/>
      <c r="P315" s="3"/>
      <c r="Q315" s="3"/>
      <c r="R315" s="3"/>
      <c r="S315" s="3"/>
      <c r="T315" s="3"/>
      <c r="U315" s="3"/>
      <c r="V315" s="3"/>
    </row>
    <row r="316" ht="12.75" customHeight="1" spans="1:22" x14ac:dyDescent="0.25">
      <c r="A316" s="3"/>
      <c r="B316" s="3"/>
      <c r="C316" s="3"/>
      <c r="D316" s="3"/>
      <c r="E316" s="3"/>
      <c r="F316" s="3"/>
      <c r="G316" s="3"/>
      <c r="H316" s="3"/>
      <c r="I316" s="3"/>
      <c r="J316" s="3"/>
      <c r="K316" s="3"/>
      <c r="L316" s="3"/>
      <c r="M316" s="3"/>
      <c r="N316" s="3"/>
      <c r="O316" s="3"/>
      <c r="P316" s="3"/>
      <c r="Q316" s="3"/>
      <c r="R316" s="3"/>
      <c r="S316" s="3"/>
      <c r="T316" s="3"/>
      <c r="U316" s="3"/>
      <c r="V316" s="3"/>
    </row>
    <row r="317" ht="12.75" customHeight="1" spans="1:22" x14ac:dyDescent="0.25">
      <c r="A317" s="3"/>
      <c r="B317" s="3"/>
      <c r="C317" s="3"/>
      <c r="D317" s="3"/>
      <c r="E317" s="3"/>
      <c r="F317" s="3"/>
      <c r="G317" s="3"/>
      <c r="H317" s="3"/>
      <c r="I317" s="3"/>
      <c r="J317" s="3"/>
      <c r="K317" s="3"/>
      <c r="L317" s="3"/>
      <c r="M317" s="3"/>
      <c r="N317" s="3"/>
      <c r="O317" s="3"/>
      <c r="P317" s="3"/>
      <c r="Q317" s="3"/>
      <c r="R317" s="3"/>
      <c r="S317" s="3"/>
      <c r="T317" s="3"/>
      <c r="U317" s="3"/>
      <c r="V317" s="3"/>
    </row>
    <row r="318" ht="12.75" customHeight="1" spans="1:22" x14ac:dyDescent="0.25">
      <c r="A318" s="3"/>
      <c r="B318" s="3"/>
      <c r="C318" s="3"/>
      <c r="D318" s="3"/>
      <c r="E318" s="3"/>
      <c r="F318" s="3"/>
      <c r="G318" s="3"/>
      <c r="H318" s="3"/>
      <c r="I318" s="3"/>
      <c r="J318" s="3"/>
      <c r="K318" s="3"/>
      <c r="L318" s="3"/>
      <c r="M318" s="3"/>
      <c r="N318" s="3"/>
      <c r="O318" s="3"/>
      <c r="P318" s="3"/>
      <c r="Q318" s="3"/>
      <c r="R318" s="3"/>
      <c r="S318" s="3"/>
      <c r="T318" s="3"/>
      <c r="U318" s="3"/>
      <c r="V318" s="3"/>
    </row>
    <row r="319" ht="12.75" customHeight="1" spans="1:22" x14ac:dyDescent="0.25">
      <c r="A319" s="3"/>
      <c r="B319" s="3"/>
      <c r="C319" s="3"/>
      <c r="D319" s="3"/>
      <c r="E319" s="3"/>
      <c r="F319" s="3"/>
      <c r="G319" s="3"/>
      <c r="H319" s="3"/>
      <c r="I319" s="3"/>
      <c r="J319" s="3"/>
      <c r="K319" s="3"/>
      <c r="L319" s="3"/>
      <c r="M319" s="3"/>
      <c r="N319" s="3"/>
      <c r="O319" s="3"/>
      <c r="P319" s="3"/>
      <c r="Q319" s="3"/>
      <c r="R319" s="3"/>
      <c r="S319" s="3"/>
      <c r="T319" s="3"/>
      <c r="U319" s="3"/>
      <c r="V319" s="3"/>
    </row>
    <row r="320" ht="12.75" customHeight="1" spans="1:22" x14ac:dyDescent="0.25">
      <c r="A320" s="3"/>
      <c r="B320" s="3"/>
      <c r="C320" s="3"/>
      <c r="D320" s="3"/>
      <c r="E320" s="3"/>
      <c r="F320" s="3"/>
      <c r="G320" s="3"/>
      <c r="H320" s="3"/>
      <c r="I320" s="3"/>
      <c r="J320" s="3"/>
      <c r="K320" s="3"/>
      <c r="L320" s="3"/>
      <c r="M320" s="3"/>
      <c r="N320" s="3"/>
      <c r="O320" s="3"/>
      <c r="P320" s="3"/>
      <c r="Q320" s="3"/>
      <c r="R320" s="3"/>
      <c r="S320" s="3"/>
      <c r="T320" s="3"/>
      <c r="U320" s="3"/>
      <c r="V320" s="3"/>
    </row>
    <row r="321" ht="12.75" customHeight="1" spans="1:22" x14ac:dyDescent="0.25">
      <c r="A321" s="3"/>
      <c r="B321" s="3"/>
      <c r="C321" s="3"/>
      <c r="D321" s="3"/>
      <c r="E321" s="3"/>
      <c r="F321" s="3"/>
      <c r="G321" s="3"/>
      <c r="H321" s="3"/>
      <c r="I321" s="3"/>
      <c r="J321" s="3"/>
      <c r="K321" s="3"/>
      <c r="L321" s="3"/>
      <c r="M321" s="3"/>
      <c r="N321" s="3"/>
      <c r="O321" s="3"/>
      <c r="P321" s="3"/>
      <c r="Q321" s="3"/>
      <c r="R321" s="3"/>
      <c r="S321" s="3"/>
      <c r="T321" s="3"/>
      <c r="U321" s="3"/>
      <c r="V321" s="3"/>
    </row>
    <row r="322" ht="12.75" customHeight="1" spans="1:22" x14ac:dyDescent="0.25">
      <c r="A322" s="3"/>
      <c r="B322" s="3"/>
      <c r="C322" s="3"/>
      <c r="D322" s="3"/>
      <c r="E322" s="3"/>
      <c r="F322" s="3"/>
      <c r="G322" s="3"/>
      <c r="H322" s="3"/>
      <c r="I322" s="3"/>
      <c r="J322" s="3"/>
      <c r="K322" s="3"/>
      <c r="L322" s="3"/>
      <c r="M322" s="3"/>
      <c r="N322" s="3"/>
      <c r="O322" s="3"/>
      <c r="P322" s="3"/>
      <c r="Q322" s="3"/>
      <c r="R322" s="3"/>
      <c r="S322" s="3"/>
      <c r="T322" s="3"/>
      <c r="U322" s="3"/>
      <c r="V322" s="3"/>
    </row>
    <row r="323" ht="12.75" customHeight="1" spans="1:22" x14ac:dyDescent="0.25">
      <c r="A323" s="3"/>
      <c r="B323" s="3"/>
      <c r="C323" s="3"/>
      <c r="D323" s="3"/>
      <c r="E323" s="3"/>
      <c r="F323" s="3"/>
      <c r="G323" s="3"/>
      <c r="H323" s="3"/>
      <c r="I323" s="3"/>
      <c r="J323" s="3"/>
      <c r="K323" s="3"/>
      <c r="L323" s="3"/>
      <c r="M323" s="3"/>
      <c r="N323" s="3"/>
      <c r="O323" s="3"/>
      <c r="P323" s="3"/>
      <c r="Q323" s="3"/>
      <c r="R323" s="3"/>
      <c r="S323" s="3"/>
      <c r="T323" s="3"/>
      <c r="U323" s="3"/>
      <c r="V323" s="3"/>
    </row>
    <row r="324" ht="12.75" customHeight="1" spans="1:22" x14ac:dyDescent="0.25">
      <c r="A324" s="3"/>
      <c r="B324" s="3"/>
      <c r="C324" s="3"/>
      <c r="D324" s="3"/>
      <c r="E324" s="3"/>
      <c r="F324" s="3"/>
      <c r="G324" s="3"/>
      <c r="H324" s="3"/>
      <c r="I324" s="3"/>
      <c r="J324" s="3"/>
      <c r="K324" s="3"/>
      <c r="L324" s="3"/>
      <c r="M324" s="3"/>
      <c r="N324" s="3"/>
      <c r="O324" s="3"/>
      <c r="P324" s="3"/>
      <c r="Q324" s="3"/>
      <c r="R324" s="3"/>
      <c r="S324" s="3"/>
      <c r="T324" s="3"/>
      <c r="U324" s="3"/>
      <c r="V324" s="3"/>
    </row>
    <row r="325" ht="12.75" customHeight="1" spans="1:22" x14ac:dyDescent="0.25">
      <c r="A325" s="3"/>
      <c r="B325" s="3"/>
      <c r="C325" s="3"/>
      <c r="D325" s="3"/>
      <c r="E325" s="3"/>
      <c r="F325" s="3"/>
      <c r="G325" s="3"/>
      <c r="H325" s="3"/>
      <c r="I325" s="3"/>
      <c r="J325" s="3"/>
      <c r="K325" s="3"/>
      <c r="L325" s="3"/>
      <c r="M325" s="3"/>
      <c r="N325" s="3"/>
      <c r="O325" s="3"/>
      <c r="P325" s="3"/>
      <c r="Q325" s="3"/>
      <c r="R325" s="3"/>
      <c r="S325" s="3"/>
      <c r="T325" s="3"/>
      <c r="U325" s="3"/>
      <c r="V325" s="3"/>
    </row>
    <row r="326" ht="12.75" customHeight="1" spans="1:22" x14ac:dyDescent="0.25">
      <c r="A326" s="3"/>
      <c r="B326" s="3"/>
      <c r="C326" s="3"/>
      <c r="D326" s="3"/>
      <c r="E326" s="3"/>
      <c r="F326" s="3"/>
      <c r="G326" s="3"/>
      <c r="H326" s="3"/>
      <c r="I326" s="3"/>
      <c r="J326" s="3"/>
      <c r="K326" s="3"/>
      <c r="L326" s="3"/>
      <c r="M326" s="3"/>
      <c r="N326" s="3"/>
      <c r="O326" s="3"/>
      <c r="P326" s="3"/>
      <c r="Q326" s="3"/>
      <c r="R326" s="3"/>
      <c r="S326" s="3"/>
      <c r="T326" s="3"/>
      <c r="U326" s="3"/>
      <c r="V326" s="3"/>
    </row>
    <row r="327" ht="12.75" customHeight="1" spans="1:22" x14ac:dyDescent="0.25">
      <c r="A327" s="3"/>
      <c r="B327" s="3"/>
      <c r="C327" s="3"/>
      <c r="D327" s="3"/>
      <c r="E327" s="3"/>
      <c r="F327" s="3"/>
      <c r="G327" s="3"/>
      <c r="H327" s="3"/>
      <c r="I327" s="3"/>
      <c r="J327" s="3"/>
      <c r="K327" s="3"/>
      <c r="L327" s="3"/>
      <c r="M327" s="3"/>
      <c r="N327" s="3"/>
      <c r="O327" s="3"/>
      <c r="P327" s="3"/>
      <c r="Q327" s="3"/>
      <c r="R327" s="3"/>
      <c r="S327" s="3"/>
      <c r="T327" s="3"/>
      <c r="U327" s="3"/>
      <c r="V327" s="3"/>
    </row>
    <row r="328" ht="12.75" customHeight="1" spans="1:22" x14ac:dyDescent="0.25">
      <c r="A328" s="3"/>
      <c r="B328" s="3"/>
      <c r="C328" s="3"/>
      <c r="D328" s="3"/>
      <c r="E328" s="3"/>
      <c r="F328" s="3"/>
      <c r="G328" s="3"/>
      <c r="H328" s="3"/>
      <c r="I328" s="3"/>
      <c r="J328" s="3"/>
      <c r="K328" s="3"/>
      <c r="L328" s="3"/>
      <c r="M328" s="3"/>
      <c r="N328" s="3"/>
      <c r="O328" s="3"/>
      <c r="P328" s="3"/>
      <c r="Q328" s="3"/>
      <c r="R328" s="3"/>
      <c r="S328" s="3"/>
      <c r="T328" s="3"/>
      <c r="U328" s="3"/>
      <c r="V328" s="3"/>
    </row>
    <row r="329" ht="12.75" customHeight="1" spans="1:22" x14ac:dyDescent="0.25">
      <c r="A329" s="3"/>
      <c r="B329" s="3"/>
      <c r="C329" s="3"/>
      <c r="D329" s="3"/>
      <c r="E329" s="3"/>
      <c r="F329" s="3"/>
      <c r="G329" s="3"/>
      <c r="H329" s="3"/>
      <c r="I329" s="3"/>
      <c r="J329" s="3"/>
      <c r="K329" s="3"/>
      <c r="L329" s="3"/>
      <c r="M329" s="3"/>
      <c r="N329" s="3"/>
      <c r="O329" s="3"/>
      <c r="P329" s="3"/>
      <c r="Q329" s="3"/>
      <c r="R329" s="3"/>
      <c r="S329" s="3"/>
      <c r="T329" s="3"/>
      <c r="U329" s="3"/>
      <c r="V329" s="3"/>
    </row>
    <row r="330" ht="12.75" customHeight="1" spans="1:22" x14ac:dyDescent="0.25">
      <c r="A330" s="3"/>
      <c r="B330" s="3"/>
      <c r="C330" s="3"/>
      <c r="D330" s="3"/>
      <c r="E330" s="3"/>
      <c r="F330" s="3"/>
      <c r="G330" s="3"/>
      <c r="H330" s="3"/>
      <c r="I330" s="3"/>
      <c r="J330" s="3"/>
      <c r="K330" s="3"/>
      <c r="L330" s="3"/>
      <c r="M330" s="3"/>
      <c r="N330" s="3"/>
      <c r="O330" s="3"/>
      <c r="P330" s="3"/>
      <c r="Q330" s="3"/>
      <c r="R330" s="3"/>
      <c r="S330" s="3"/>
      <c r="T330" s="3"/>
      <c r="U330" s="3"/>
      <c r="V330" s="3"/>
    </row>
    <row r="331" ht="12.75" customHeight="1" spans="1:22" x14ac:dyDescent="0.25">
      <c r="A331" s="3"/>
      <c r="B331" s="3"/>
      <c r="C331" s="3"/>
      <c r="D331" s="3"/>
      <c r="E331" s="3"/>
      <c r="F331" s="3"/>
      <c r="G331" s="3"/>
      <c r="H331" s="3"/>
      <c r="I331" s="3"/>
      <c r="J331" s="3"/>
      <c r="K331" s="3"/>
      <c r="L331" s="3"/>
      <c r="M331" s="3"/>
      <c r="N331" s="3"/>
      <c r="O331" s="3"/>
      <c r="P331" s="3"/>
      <c r="Q331" s="3"/>
      <c r="R331" s="3"/>
      <c r="S331" s="3"/>
      <c r="T331" s="3"/>
      <c r="U331" s="3"/>
      <c r="V331" s="3"/>
    </row>
    <row r="332" ht="12.75" customHeight="1" spans="1:22" x14ac:dyDescent="0.25">
      <c r="A332" s="3"/>
      <c r="B332" s="3"/>
      <c r="C332" s="3"/>
      <c r="D332" s="3"/>
      <c r="E332" s="3"/>
      <c r="F332" s="3"/>
      <c r="G332" s="3"/>
      <c r="H332" s="3"/>
      <c r="I332" s="3"/>
      <c r="J332" s="3"/>
      <c r="K332" s="3"/>
      <c r="L332" s="3"/>
      <c r="M332" s="3"/>
      <c r="N332" s="3"/>
      <c r="O332" s="3"/>
      <c r="P332" s="3"/>
      <c r="Q332" s="3"/>
      <c r="R332" s="3"/>
      <c r="S332" s="3"/>
      <c r="T332" s="3"/>
      <c r="U332" s="3"/>
      <c r="V332" s="3"/>
    </row>
    <row r="333" ht="12.75" customHeight="1" spans="1:22" x14ac:dyDescent="0.25">
      <c r="A333" s="3"/>
      <c r="B333" s="3"/>
      <c r="C333" s="3"/>
      <c r="D333" s="3"/>
      <c r="E333" s="3"/>
      <c r="F333" s="3"/>
      <c r="G333" s="3"/>
      <c r="H333" s="3"/>
      <c r="I333" s="3"/>
      <c r="J333" s="3"/>
      <c r="K333" s="3"/>
      <c r="L333" s="3"/>
      <c r="M333" s="3"/>
      <c r="N333" s="3"/>
      <c r="O333" s="3"/>
      <c r="P333" s="3"/>
      <c r="Q333" s="3"/>
      <c r="R333" s="3"/>
      <c r="S333" s="3"/>
      <c r="T333" s="3"/>
      <c r="U333" s="3"/>
      <c r="V333" s="3"/>
    </row>
    <row r="334" ht="12.75" customHeight="1" spans="1:22" x14ac:dyDescent="0.25">
      <c r="A334" s="3"/>
      <c r="B334" s="3"/>
      <c r="C334" s="3"/>
      <c r="D334" s="3"/>
      <c r="E334" s="3"/>
      <c r="F334" s="3"/>
      <c r="G334" s="3"/>
      <c r="H334" s="3"/>
      <c r="I334" s="3"/>
      <c r="J334" s="3"/>
      <c r="K334" s="3"/>
      <c r="L334" s="3"/>
      <c r="M334" s="3"/>
      <c r="N334" s="3"/>
      <c r="O334" s="3"/>
      <c r="P334" s="3"/>
      <c r="Q334" s="3"/>
      <c r="R334" s="3"/>
      <c r="S334" s="3"/>
      <c r="T334" s="3"/>
      <c r="U334" s="3"/>
      <c r="V334" s="3"/>
    </row>
    <row r="335" ht="12.75" customHeight="1" spans="1:22" x14ac:dyDescent="0.25">
      <c r="A335" s="3"/>
      <c r="B335" s="3"/>
      <c r="C335" s="3"/>
      <c r="D335" s="3"/>
      <c r="E335" s="3"/>
      <c r="F335" s="3"/>
      <c r="G335" s="3"/>
      <c r="H335" s="3"/>
      <c r="I335" s="3"/>
      <c r="J335" s="3"/>
      <c r="K335" s="3"/>
      <c r="L335" s="3"/>
      <c r="M335" s="3"/>
      <c r="N335" s="3"/>
      <c r="O335" s="3"/>
      <c r="P335" s="3"/>
      <c r="Q335" s="3"/>
      <c r="R335" s="3"/>
      <c r="S335" s="3"/>
      <c r="T335" s="3"/>
      <c r="U335" s="3"/>
      <c r="V335" s="3"/>
    </row>
    <row r="336" ht="12.75" customHeight="1" spans="1:22" x14ac:dyDescent="0.25">
      <c r="A336" s="3"/>
      <c r="B336" s="3"/>
      <c r="C336" s="3"/>
      <c r="D336" s="3"/>
      <c r="E336" s="3"/>
      <c r="F336" s="3"/>
      <c r="G336" s="3"/>
      <c r="H336" s="3"/>
      <c r="I336" s="3"/>
      <c r="J336" s="3"/>
      <c r="K336" s="3"/>
      <c r="L336" s="3"/>
      <c r="M336" s="3"/>
      <c r="N336" s="3"/>
      <c r="O336" s="3"/>
      <c r="P336" s="3"/>
      <c r="Q336" s="3"/>
      <c r="R336" s="3"/>
      <c r="S336" s="3"/>
      <c r="T336" s="3"/>
      <c r="U336" s="3"/>
      <c r="V336" s="3"/>
    </row>
    <row r="337" ht="12.75" customHeight="1" spans="1:22" x14ac:dyDescent="0.25">
      <c r="A337" s="3"/>
      <c r="B337" s="3"/>
      <c r="C337" s="3"/>
      <c r="D337" s="3"/>
      <c r="E337" s="3"/>
      <c r="F337" s="3"/>
      <c r="G337" s="3"/>
      <c r="H337" s="3"/>
      <c r="I337" s="3"/>
      <c r="J337" s="3"/>
      <c r="K337" s="3"/>
      <c r="L337" s="3"/>
      <c r="M337" s="3"/>
      <c r="N337" s="3"/>
      <c r="O337" s="3"/>
      <c r="P337" s="3"/>
      <c r="Q337" s="3"/>
      <c r="R337" s="3"/>
      <c r="S337" s="3"/>
      <c r="T337" s="3"/>
      <c r="U337" s="3"/>
      <c r="V337" s="3"/>
    </row>
    <row r="338" ht="12.75" customHeight="1" spans="1:22" x14ac:dyDescent="0.25">
      <c r="A338" s="3"/>
      <c r="B338" s="3"/>
      <c r="C338" s="3"/>
      <c r="D338" s="3"/>
      <c r="E338" s="3"/>
      <c r="F338" s="3"/>
      <c r="G338" s="3"/>
      <c r="H338" s="3"/>
      <c r="I338" s="3"/>
      <c r="J338" s="3"/>
      <c r="K338" s="3"/>
      <c r="L338" s="3"/>
      <c r="M338" s="3"/>
      <c r="N338" s="3"/>
      <c r="O338" s="3"/>
      <c r="P338" s="3"/>
      <c r="Q338" s="3"/>
      <c r="R338" s="3"/>
      <c r="S338" s="3"/>
      <c r="T338" s="3"/>
      <c r="U338" s="3"/>
      <c r="V338" s="3"/>
    </row>
    <row r="339" ht="12.75" customHeight="1" spans="1:22" x14ac:dyDescent="0.25">
      <c r="A339" s="3"/>
      <c r="B339" s="3"/>
      <c r="C339" s="3"/>
      <c r="D339" s="3"/>
      <c r="E339" s="3"/>
      <c r="F339" s="3"/>
      <c r="G339" s="3"/>
      <c r="H339" s="3"/>
      <c r="I339" s="3"/>
      <c r="J339" s="3"/>
      <c r="K339" s="3"/>
      <c r="L339" s="3"/>
      <c r="M339" s="3"/>
      <c r="N339" s="3"/>
      <c r="O339" s="3"/>
      <c r="P339" s="3"/>
      <c r="Q339" s="3"/>
      <c r="R339" s="3"/>
      <c r="S339" s="3"/>
      <c r="T339" s="3"/>
      <c r="U339" s="3"/>
      <c r="V339" s="3"/>
    </row>
    <row r="340" ht="12.75" customHeight="1" spans="1:22" x14ac:dyDescent="0.25">
      <c r="A340" s="3"/>
      <c r="B340" s="3"/>
      <c r="C340" s="3"/>
      <c r="D340" s="3"/>
      <c r="E340" s="3"/>
      <c r="F340" s="3"/>
      <c r="G340" s="3"/>
      <c r="H340" s="3"/>
      <c r="I340" s="3"/>
      <c r="J340" s="3"/>
      <c r="K340" s="3"/>
      <c r="L340" s="3"/>
      <c r="M340" s="3"/>
      <c r="N340" s="3"/>
      <c r="O340" s="3"/>
      <c r="P340" s="3"/>
      <c r="Q340" s="3"/>
      <c r="R340" s="3"/>
      <c r="S340" s="3"/>
      <c r="T340" s="3"/>
      <c r="U340" s="3"/>
      <c r="V340" s="3"/>
    </row>
    <row r="341" ht="12.75" customHeight="1" spans="1:22" x14ac:dyDescent="0.25">
      <c r="A341" s="3"/>
      <c r="B341" s="3"/>
      <c r="C341" s="3"/>
      <c r="D341" s="3"/>
      <c r="E341" s="3"/>
      <c r="F341" s="3"/>
      <c r="G341" s="3"/>
      <c r="H341" s="3"/>
      <c r="I341" s="3"/>
      <c r="J341" s="3"/>
      <c r="K341" s="3"/>
      <c r="L341" s="3"/>
      <c r="M341" s="3"/>
      <c r="N341" s="3"/>
      <c r="O341" s="3"/>
      <c r="P341" s="3"/>
      <c r="Q341" s="3"/>
      <c r="R341" s="3"/>
      <c r="S341" s="3"/>
      <c r="T341" s="3"/>
      <c r="U341" s="3"/>
      <c r="V341" s="3"/>
    </row>
    <row r="342" ht="12.75" customHeight="1" spans="1:22" x14ac:dyDescent="0.25">
      <c r="A342" s="3"/>
      <c r="B342" s="3"/>
      <c r="C342" s="3"/>
      <c r="D342" s="3"/>
      <c r="E342" s="3"/>
      <c r="F342" s="3"/>
      <c r="G342" s="3"/>
      <c r="H342" s="3"/>
      <c r="I342" s="3"/>
      <c r="J342" s="3"/>
      <c r="K342" s="3"/>
      <c r="L342" s="3"/>
      <c r="M342" s="3"/>
      <c r="N342" s="3"/>
      <c r="O342" s="3"/>
      <c r="P342" s="3"/>
      <c r="Q342" s="3"/>
      <c r="R342" s="3"/>
      <c r="S342" s="3"/>
      <c r="T342" s="3"/>
      <c r="U342" s="3"/>
      <c r="V342" s="3"/>
    </row>
    <row r="343" ht="12.75" customHeight="1" spans="1:22" x14ac:dyDescent="0.25">
      <c r="A343" s="3"/>
      <c r="B343" s="3"/>
      <c r="C343" s="3"/>
      <c r="D343" s="3"/>
      <c r="E343" s="3"/>
      <c r="F343" s="3"/>
      <c r="G343" s="3"/>
      <c r="H343" s="3"/>
      <c r="I343" s="3"/>
      <c r="J343" s="3"/>
      <c r="K343" s="3"/>
      <c r="L343" s="3"/>
      <c r="M343" s="3"/>
      <c r="N343" s="3"/>
      <c r="O343" s="3"/>
      <c r="P343" s="3"/>
      <c r="Q343" s="3"/>
      <c r="R343" s="3"/>
      <c r="S343" s="3"/>
      <c r="T343" s="3"/>
      <c r="U343" s="3"/>
      <c r="V343" s="3"/>
    </row>
    <row r="344" ht="12.75" customHeight="1" spans="1:22" x14ac:dyDescent="0.25">
      <c r="A344" s="3"/>
      <c r="B344" s="3"/>
      <c r="C344" s="3"/>
      <c r="D344" s="3"/>
      <c r="E344" s="3"/>
      <c r="F344" s="3"/>
      <c r="G344" s="3"/>
      <c r="H344" s="3"/>
      <c r="I344" s="3"/>
      <c r="J344" s="3"/>
      <c r="K344" s="3"/>
      <c r="L344" s="3"/>
      <c r="M344" s="3"/>
      <c r="N344" s="3"/>
      <c r="O344" s="3"/>
      <c r="P344" s="3"/>
      <c r="Q344" s="3"/>
      <c r="R344" s="3"/>
      <c r="S344" s="3"/>
      <c r="T344" s="3"/>
      <c r="U344" s="3"/>
      <c r="V344" s="3"/>
    </row>
    <row r="345" ht="12.75" customHeight="1" spans="1:22" x14ac:dyDescent="0.25">
      <c r="A345" s="3"/>
      <c r="B345" s="3"/>
      <c r="C345" s="3"/>
      <c r="D345" s="3"/>
      <c r="E345" s="3"/>
      <c r="F345" s="3"/>
      <c r="G345" s="3"/>
      <c r="H345" s="3"/>
      <c r="I345" s="3"/>
      <c r="J345" s="3"/>
      <c r="K345" s="3"/>
      <c r="L345" s="3"/>
      <c r="M345" s="3"/>
      <c r="N345" s="3"/>
      <c r="O345" s="3"/>
      <c r="P345" s="3"/>
      <c r="Q345" s="3"/>
      <c r="R345" s="3"/>
      <c r="S345" s="3"/>
      <c r="T345" s="3"/>
      <c r="U345" s="3"/>
      <c r="V345" s="3"/>
    </row>
    <row r="346" ht="12.75" customHeight="1" spans="1:22" x14ac:dyDescent="0.25">
      <c r="A346" s="3"/>
      <c r="B346" s="3"/>
      <c r="C346" s="3"/>
      <c r="D346" s="3"/>
      <c r="E346" s="3"/>
      <c r="F346" s="3"/>
      <c r="G346" s="3"/>
      <c r="H346" s="3"/>
      <c r="I346" s="3"/>
      <c r="J346" s="3"/>
      <c r="K346" s="3"/>
      <c r="L346" s="3"/>
      <c r="M346" s="3"/>
      <c r="N346" s="3"/>
      <c r="O346" s="3"/>
      <c r="P346" s="3"/>
      <c r="Q346" s="3"/>
      <c r="R346" s="3"/>
      <c r="S346" s="3"/>
      <c r="T346" s="3"/>
      <c r="U346" s="3"/>
      <c r="V346" s="3"/>
    </row>
    <row r="347" ht="12.75" customHeight="1" spans="1:22" x14ac:dyDescent="0.25">
      <c r="A347" s="3"/>
      <c r="B347" s="3"/>
      <c r="C347" s="3"/>
      <c r="D347" s="3"/>
      <c r="E347" s="3"/>
      <c r="F347" s="3"/>
      <c r="G347" s="3"/>
      <c r="H347" s="3"/>
      <c r="I347" s="3"/>
      <c r="J347" s="3"/>
      <c r="K347" s="3"/>
      <c r="L347" s="3"/>
      <c r="M347" s="3"/>
      <c r="N347" s="3"/>
      <c r="O347" s="3"/>
      <c r="P347" s="3"/>
      <c r="Q347" s="3"/>
      <c r="R347" s="3"/>
      <c r="S347" s="3"/>
      <c r="T347" s="3"/>
      <c r="U347" s="3"/>
      <c r="V347" s="3"/>
    </row>
    <row r="348" ht="12.75" customHeight="1" spans="1:22" x14ac:dyDescent="0.25">
      <c r="A348" s="3"/>
      <c r="B348" s="3"/>
      <c r="C348" s="3"/>
      <c r="D348" s="3"/>
      <c r="E348" s="3"/>
      <c r="F348" s="3"/>
      <c r="G348" s="3"/>
      <c r="H348" s="3"/>
      <c r="I348" s="3"/>
      <c r="J348" s="3"/>
      <c r="K348" s="3"/>
      <c r="L348" s="3"/>
      <c r="M348" s="3"/>
      <c r="N348" s="3"/>
      <c r="O348" s="3"/>
      <c r="P348" s="3"/>
      <c r="Q348" s="3"/>
      <c r="R348" s="3"/>
      <c r="S348" s="3"/>
      <c r="T348" s="3"/>
      <c r="U348" s="3"/>
      <c r="V348" s="3"/>
    </row>
    <row r="349" ht="12.75" customHeight="1" spans="1:22" x14ac:dyDescent="0.25">
      <c r="A349" s="3"/>
      <c r="B349" s="3"/>
      <c r="C349" s="3"/>
      <c r="D349" s="3"/>
      <c r="E349" s="3"/>
      <c r="F349" s="3"/>
      <c r="G349" s="3"/>
      <c r="H349" s="3"/>
      <c r="I349" s="3"/>
      <c r="J349" s="3"/>
      <c r="K349" s="3"/>
      <c r="L349" s="3"/>
      <c r="M349" s="3"/>
      <c r="N349" s="3"/>
      <c r="O349" s="3"/>
      <c r="P349" s="3"/>
      <c r="Q349" s="3"/>
      <c r="R349" s="3"/>
      <c r="S349" s="3"/>
      <c r="T349" s="3"/>
      <c r="U349" s="3"/>
      <c r="V349" s="3"/>
    </row>
    <row r="350" ht="12.75" customHeight="1" spans="1:22" x14ac:dyDescent="0.25">
      <c r="A350" s="3"/>
      <c r="B350" s="3"/>
      <c r="C350" s="3"/>
      <c r="D350" s="3"/>
      <c r="E350" s="3"/>
      <c r="F350" s="3"/>
      <c r="G350" s="3"/>
      <c r="H350" s="3"/>
      <c r="I350" s="3"/>
      <c r="J350" s="3"/>
      <c r="K350" s="3"/>
      <c r="L350" s="3"/>
      <c r="M350" s="3"/>
      <c r="N350" s="3"/>
      <c r="O350" s="3"/>
      <c r="P350" s="3"/>
      <c r="Q350" s="3"/>
      <c r="R350" s="3"/>
      <c r="S350" s="3"/>
      <c r="T350" s="3"/>
      <c r="U350" s="3"/>
      <c r="V350" s="3"/>
    </row>
    <row r="351" ht="12.75" customHeight="1" spans="1:22" x14ac:dyDescent="0.25">
      <c r="A351" s="3"/>
      <c r="B351" s="3"/>
      <c r="C351" s="3"/>
      <c r="D351" s="3"/>
      <c r="E351" s="3"/>
      <c r="F351" s="3"/>
      <c r="G351" s="3"/>
      <c r="H351" s="3"/>
      <c r="I351" s="3"/>
      <c r="J351" s="3"/>
      <c r="K351" s="3"/>
      <c r="L351" s="3"/>
      <c r="M351" s="3"/>
      <c r="N351" s="3"/>
      <c r="O351" s="3"/>
      <c r="P351" s="3"/>
      <c r="Q351" s="3"/>
      <c r="R351" s="3"/>
      <c r="S351" s="3"/>
      <c r="T351" s="3"/>
      <c r="U351" s="3"/>
      <c r="V351" s="3"/>
    </row>
    <row r="352" ht="12.75" customHeight="1" spans="1:22" x14ac:dyDescent="0.25">
      <c r="A352" s="3"/>
      <c r="B352" s="3"/>
      <c r="C352" s="3"/>
      <c r="D352" s="3"/>
      <c r="E352" s="3"/>
      <c r="F352" s="3"/>
      <c r="G352" s="3"/>
      <c r="H352" s="3"/>
      <c r="I352" s="3"/>
      <c r="J352" s="3"/>
      <c r="K352" s="3"/>
      <c r="L352" s="3"/>
      <c r="M352" s="3"/>
      <c r="N352" s="3"/>
      <c r="O352" s="3"/>
      <c r="P352" s="3"/>
      <c r="Q352" s="3"/>
      <c r="R352" s="3"/>
      <c r="S352" s="3"/>
      <c r="T352" s="3"/>
      <c r="U352" s="3"/>
      <c r="V352" s="3"/>
    </row>
    <row r="353" ht="12.75" customHeight="1" spans="1:22" x14ac:dyDescent="0.25">
      <c r="A353" s="3"/>
      <c r="B353" s="3"/>
      <c r="C353" s="3"/>
      <c r="D353" s="3"/>
      <c r="E353" s="3"/>
      <c r="F353" s="3"/>
      <c r="G353" s="3"/>
      <c r="H353" s="3"/>
      <c r="I353" s="3"/>
      <c r="J353" s="3"/>
      <c r="K353" s="3"/>
      <c r="L353" s="3"/>
      <c r="M353" s="3"/>
      <c r="N353" s="3"/>
      <c r="O353" s="3"/>
      <c r="P353" s="3"/>
      <c r="Q353" s="3"/>
      <c r="R353" s="3"/>
      <c r="S353" s="3"/>
      <c r="T353" s="3"/>
      <c r="U353" s="3"/>
      <c r="V353" s="3"/>
    </row>
    <row r="354" ht="12.75" customHeight="1" spans="1:22" x14ac:dyDescent="0.25">
      <c r="A354" s="3"/>
      <c r="B354" s="3"/>
      <c r="C354" s="3"/>
      <c r="D354" s="3"/>
      <c r="E354" s="3"/>
      <c r="F354" s="3"/>
      <c r="G354" s="3"/>
      <c r="H354" s="3"/>
      <c r="I354" s="3"/>
      <c r="J354" s="3"/>
      <c r="K354" s="3"/>
      <c r="L354" s="3"/>
      <c r="M354" s="3"/>
      <c r="N354" s="3"/>
      <c r="O354" s="3"/>
      <c r="P354" s="3"/>
      <c r="Q354" s="3"/>
      <c r="R354" s="3"/>
      <c r="S354" s="3"/>
      <c r="T354" s="3"/>
      <c r="U354" s="3"/>
      <c r="V354" s="3"/>
    </row>
    <row r="355" ht="12.75" customHeight="1" spans="1:22" x14ac:dyDescent="0.25">
      <c r="A355" s="3"/>
      <c r="B355" s="3"/>
      <c r="C355" s="3"/>
      <c r="D355" s="3"/>
      <c r="E355" s="3"/>
      <c r="F355" s="3"/>
      <c r="G355" s="3"/>
      <c r="H355" s="3"/>
      <c r="I355" s="3"/>
      <c r="J355" s="3"/>
      <c r="K355" s="3"/>
      <c r="L355" s="3"/>
      <c r="M355" s="3"/>
      <c r="N355" s="3"/>
      <c r="O355" s="3"/>
      <c r="P355" s="3"/>
      <c r="Q355" s="3"/>
      <c r="R355" s="3"/>
      <c r="S355" s="3"/>
      <c r="T355" s="3"/>
      <c r="U355" s="3"/>
      <c r="V355" s="3"/>
    </row>
    <row r="356" ht="12.75" customHeight="1" spans="1:22" x14ac:dyDescent="0.25">
      <c r="A356" s="3"/>
      <c r="B356" s="3"/>
      <c r="C356" s="3"/>
      <c r="D356" s="3"/>
      <c r="E356" s="3"/>
      <c r="F356" s="3"/>
      <c r="G356" s="3"/>
      <c r="H356" s="3"/>
      <c r="I356" s="3"/>
      <c r="J356" s="3"/>
      <c r="K356" s="3"/>
      <c r="L356" s="3"/>
      <c r="M356" s="3"/>
      <c r="N356" s="3"/>
      <c r="O356" s="3"/>
      <c r="P356" s="3"/>
      <c r="Q356" s="3"/>
      <c r="R356" s="3"/>
      <c r="S356" s="3"/>
      <c r="T356" s="3"/>
      <c r="U356" s="3"/>
      <c r="V356" s="3"/>
    </row>
    <row r="357" ht="12.75" customHeight="1" spans="1:22" x14ac:dyDescent="0.25">
      <c r="A357" s="3"/>
      <c r="B357" s="3"/>
      <c r="C357" s="3"/>
      <c r="D357" s="3"/>
      <c r="E357" s="3"/>
      <c r="F357" s="3"/>
      <c r="G357" s="3"/>
      <c r="H357" s="3"/>
      <c r="I357" s="3"/>
      <c r="J357" s="3"/>
      <c r="K357" s="3"/>
      <c r="L357" s="3"/>
      <c r="M357" s="3"/>
      <c r="N357" s="3"/>
      <c r="O357" s="3"/>
      <c r="P357" s="3"/>
      <c r="Q357" s="3"/>
      <c r="R357" s="3"/>
      <c r="S357" s="3"/>
      <c r="T357" s="3"/>
      <c r="U357" s="3"/>
      <c r="V357" s="3"/>
    </row>
    <row r="358" ht="12.75" customHeight="1" spans="1:22" x14ac:dyDescent="0.25">
      <c r="A358" s="3"/>
      <c r="B358" s="3"/>
      <c r="C358" s="3"/>
      <c r="D358" s="3"/>
      <c r="E358" s="3"/>
      <c r="F358" s="3"/>
      <c r="G358" s="3"/>
      <c r="H358" s="3"/>
      <c r="I358" s="3"/>
      <c r="J358" s="3"/>
      <c r="K358" s="3"/>
      <c r="L358" s="3"/>
      <c r="M358" s="3"/>
      <c r="N358" s="3"/>
      <c r="O358" s="3"/>
      <c r="P358" s="3"/>
      <c r="Q358" s="3"/>
      <c r="R358" s="3"/>
      <c r="S358" s="3"/>
      <c r="T358" s="3"/>
      <c r="U358" s="3"/>
      <c r="V358" s="3"/>
    </row>
    <row r="359" ht="12.75" customHeight="1" spans="1:22" x14ac:dyDescent="0.25">
      <c r="A359" s="3"/>
      <c r="B359" s="3"/>
      <c r="C359" s="3"/>
      <c r="D359" s="3"/>
      <c r="E359" s="3"/>
      <c r="F359" s="3"/>
      <c r="G359" s="3"/>
      <c r="H359" s="3"/>
      <c r="I359" s="3"/>
      <c r="J359" s="3"/>
      <c r="K359" s="3"/>
      <c r="L359" s="3"/>
      <c r="M359" s="3"/>
      <c r="N359" s="3"/>
      <c r="O359" s="3"/>
      <c r="P359" s="3"/>
      <c r="Q359" s="3"/>
      <c r="R359" s="3"/>
      <c r="S359" s="3"/>
      <c r="T359" s="3"/>
      <c r="U359" s="3"/>
      <c r="V359" s="3"/>
    </row>
    <row r="360" ht="12.75" customHeight="1" spans="1:22" x14ac:dyDescent="0.25">
      <c r="A360" s="3"/>
      <c r="B360" s="3"/>
      <c r="C360" s="3"/>
      <c r="D360" s="3"/>
      <c r="E360" s="3"/>
      <c r="F360" s="3"/>
      <c r="G360" s="3"/>
      <c r="H360" s="3"/>
      <c r="I360" s="3"/>
      <c r="J360" s="3"/>
      <c r="K360" s="3"/>
      <c r="L360" s="3"/>
      <c r="M360" s="3"/>
      <c r="N360" s="3"/>
      <c r="O360" s="3"/>
      <c r="P360" s="3"/>
      <c r="Q360" s="3"/>
      <c r="R360" s="3"/>
      <c r="S360" s="3"/>
      <c r="T360" s="3"/>
      <c r="U360" s="3"/>
      <c r="V360" s="3"/>
    </row>
    <row r="361" ht="12.75" customHeight="1" spans="1:22" x14ac:dyDescent="0.25">
      <c r="A361" s="3"/>
      <c r="B361" s="3"/>
      <c r="C361" s="3"/>
      <c r="D361" s="3"/>
      <c r="E361" s="3"/>
      <c r="F361" s="3"/>
      <c r="G361" s="3"/>
      <c r="H361" s="3"/>
      <c r="I361" s="3"/>
      <c r="J361" s="3"/>
      <c r="K361" s="3"/>
      <c r="L361" s="3"/>
      <c r="M361" s="3"/>
      <c r="N361" s="3"/>
      <c r="O361" s="3"/>
      <c r="P361" s="3"/>
      <c r="Q361" s="3"/>
      <c r="R361" s="3"/>
      <c r="S361" s="3"/>
      <c r="T361" s="3"/>
      <c r="U361" s="3"/>
      <c r="V361" s="3"/>
    </row>
    <row r="362" ht="12.75" customHeight="1" spans="1:22" x14ac:dyDescent="0.25">
      <c r="A362" s="3"/>
      <c r="B362" s="3"/>
      <c r="C362" s="3"/>
      <c r="D362" s="3"/>
      <c r="E362" s="3"/>
      <c r="F362" s="3"/>
      <c r="G362" s="3"/>
      <c r="H362" s="3"/>
      <c r="I362" s="3"/>
      <c r="J362" s="3"/>
      <c r="K362" s="3"/>
      <c r="L362" s="3"/>
      <c r="M362" s="3"/>
      <c r="N362" s="3"/>
      <c r="O362" s="3"/>
      <c r="P362" s="3"/>
      <c r="Q362" s="3"/>
      <c r="R362" s="3"/>
      <c r="S362" s="3"/>
      <c r="T362" s="3"/>
      <c r="U362" s="3"/>
      <c r="V362" s="3"/>
    </row>
    <row r="363" ht="12.75" customHeight="1" spans="1:22" x14ac:dyDescent="0.25">
      <c r="A363" s="3"/>
      <c r="B363" s="3"/>
      <c r="C363" s="3"/>
      <c r="D363" s="3"/>
      <c r="E363" s="3"/>
      <c r="F363" s="3"/>
      <c r="G363" s="3"/>
      <c r="H363" s="3"/>
      <c r="I363" s="3"/>
      <c r="J363" s="3"/>
      <c r="K363" s="3"/>
      <c r="L363" s="3"/>
      <c r="M363" s="3"/>
      <c r="N363" s="3"/>
      <c r="O363" s="3"/>
      <c r="P363" s="3"/>
      <c r="Q363" s="3"/>
      <c r="R363" s="3"/>
      <c r="S363" s="3"/>
      <c r="T363" s="3"/>
      <c r="U363" s="3"/>
      <c r="V363" s="3"/>
    </row>
    <row r="364" ht="12.75" customHeight="1" spans="1:22" x14ac:dyDescent="0.25">
      <c r="A364" s="3"/>
      <c r="B364" s="3"/>
      <c r="C364" s="3"/>
      <c r="D364" s="3"/>
      <c r="E364" s="3"/>
      <c r="F364" s="3"/>
      <c r="G364" s="3"/>
      <c r="H364" s="3"/>
      <c r="I364" s="3"/>
      <c r="J364" s="3"/>
      <c r="K364" s="3"/>
      <c r="L364" s="3"/>
      <c r="M364" s="3"/>
      <c r="N364" s="3"/>
      <c r="O364" s="3"/>
      <c r="P364" s="3"/>
      <c r="Q364" s="3"/>
      <c r="R364" s="3"/>
      <c r="S364" s="3"/>
      <c r="T364" s="3"/>
      <c r="U364" s="3"/>
      <c r="V364" s="3"/>
    </row>
    <row r="365" ht="12.75" customHeight="1" spans="1:22" x14ac:dyDescent="0.25">
      <c r="A365" s="3"/>
      <c r="B365" s="3"/>
      <c r="C365" s="3"/>
      <c r="D365" s="3"/>
      <c r="E365" s="3"/>
      <c r="F365" s="3"/>
      <c r="G365" s="3"/>
      <c r="H365" s="3"/>
      <c r="I365" s="3"/>
      <c r="J365" s="3"/>
      <c r="K365" s="3"/>
      <c r="L365" s="3"/>
      <c r="M365" s="3"/>
      <c r="N365" s="3"/>
      <c r="O365" s="3"/>
      <c r="P365" s="3"/>
      <c r="Q365" s="3"/>
      <c r="R365" s="3"/>
      <c r="S365" s="3"/>
      <c r="T365" s="3"/>
      <c r="U365" s="3"/>
      <c r="V365" s="3"/>
    </row>
    <row r="366" ht="12.75" customHeight="1" spans="1:22" x14ac:dyDescent="0.25">
      <c r="A366" s="3"/>
      <c r="B366" s="3"/>
      <c r="C366" s="3"/>
      <c r="D366" s="3"/>
      <c r="E366" s="3"/>
      <c r="F366" s="3"/>
      <c r="G366" s="3"/>
      <c r="H366" s="3"/>
      <c r="I366" s="3"/>
      <c r="J366" s="3"/>
      <c r="K366" s="3"/>
      <c r="L366" s="3"/>
      <c r="M366" s="3"/>
      <c r="N366" s="3"/>
      <c r="O366" s="3"/>
      <c r="P366" s="3"/>
      <c r="Q366" s="3"/>
      <c r="R366" s="3"/>
      <c r="S366" s="3"/>
      <c r="T366" s="3"/>
      <c r="U366" s="3"/>
      <c r="V366" s="3"/>
    </row>
    <row r="367" ht="12.75" customHeight="1" spans="1:22" x14ac:dyDescent="0.25">
      <c r="A367" s="3"/>
      <c r="B367" s="3"/>
      <c r="C367" s="3"/>
      <c r="D367" s="3"/>
      <c r="E367" s="3"/>
      <c r="F367" s="3"/>
      <c r="G367" s="3"/>
      <c r="H367" s="3"/>
      <c r="I367" s="3"/>
      <c r="J367" s="3"/>
      <c r="K367" s="3"/>
      <c r="L367" s="3"/>
      <c r="M367" s="3"/>
      <c r="N367" s="3"/>
      <c r="O367" s="3"/>
      <c r="P367" s="3"/>
      <c r="Q367" s="3"/>
      <c r="R367" s="3"/>
      <c r="S367" s="3"/>
      <c r="T367" s="3"/>
      <c r="U367" s="3"/>
      <c r="V367" s="3"/>
    </row>
    <row r="368" ht="12.75" customHeight="1" spans="1:22" x14ac:dyDescent="0.25">
      <c r="A368" s="3"/>
      <c r="B368" s="3"/>
      <c r="C368" s="3"/>
      <c r="D368" s="3"/>
      <c r="E368" s="3"/>
      <c r="F368" s="3"/>
      <c r="G368" s="3"/>
      <c r="H368" s="3"/>
      <c r="I368" s="3"/>
      <c r="J368" s="3"/>
      <c r="K368" s="3"/>
      <c r="L368" s="3"/>
      <c r="M368" s="3"/>
      <c r="N368" s="3"/>
      <c r="O368" s="3"/>
      <c r="P368" s="3"/>
      <c r="Q368" s="3"/>
      <c r="R368" s="3"/>
      <c r="S368" s="3"/>
      <c r="T368" s="3"/>
      <c r="U368" s="3"/>
      <c r="V368" s="3"/>
    </row>
    <row r="369" ht="12.75" customHeight="1" spans="1:22" x14ac:dyDescent="0.25">
      <c r="A369" s="3"/>
      <c r="B369" s="3"/>
      <c r="C369" s="3"/>
      <c r="D369" s="3"/>
      <c r="E369" s="3"/>
      <c r="F369" s="3"/>
      <c r="G369" s="3"/>
      <c r="H369" s="3"/>
      <c r="I369" s="3"/>
      <c r="J369" s="3"/>
      <c r="K369" s="3"/>
      <c r="L369" s="3"/>
      <c r="M369" s="3"/>
      <c r="N369" s="3"/>
      <c r="O369" s="3"/>
      <c r="P369" s="3"/>
      <c r="Q369" s="3"/>
      <c r="R369" s="3"/>
      <c r="S369" s="3"/>
      <c r="T369" s="3"/>
      <c r="U369" s="3"/>
      <c r="V369" s="3"/>
    </row>
    <row r="370" ht="12.75" customHeight="1" spans="1:22" x14ac:dyDescent="0.25">
      <c r="A370" s="3"/>
      <c r="B370" s="3"/>
      <c r="C370" s="3"/>
      <c r="D370" s="3"/>
      <c r="E370" s="3"/>
      <c r="F370" s="3"/>
      <c r="G370" s="3"/>
      <c r="H370" s="3"/>
      <c r="I370" s="3"/>
      <c r="J370" s="3"/>
      <c r="K370" s="3"/>
      <c r="L370" s="3"/>
      <c r="M370" s="3"/>
      <c r="N370" s="3"/>
      <c r="O370" s="3"/>
      <c r="P370" s="3"/>
      <c r="Q370" s="3"/>
      <c r="R370" s="3"/>
      <c r="S370" s="3"/>
      <c r="T370" s="3"/>
      <c r="U370" s="3"/>
      <c r="V370" s="3"/>
    </row>
    <row r="371" ht="12.75" customHeight="1" spans="1:22" x14ac:dyDescent="0.25">
      <c r="A371" s="3"/>
      <c r="B371" s="3"/>
      <c r="C371" s="3"/>
      <c r="D371" s="3"/>
      <c r="E371" s="3"/>
      <c r="F371" s="3"/>
      <c r="G371" s="3"/>
      <c r="H371" s="3"/>
      <c r="I371" s="3"/>
      <c r="J371" s="3"/>
      <c r="K371" s="3"/>
      <c r="L371" s="3"/>
      <c r="M371" s="3"/>
      <c r="N371" s="3"/>
      <c r="O371" s="3"/>
      <c r="P371" s="3"/>
      <c r="Q371" s="3"/>
      <c r="R371" s="3"/>
      <c r="S371" s="3"/>
      <c r="T371" s="3"/>
      <c r="U371" s="3"/>
      <c r="V371" s="3"/>
    </row>
    <row r="372" ht="12.75" customHeight="1" spans="1:22" x14ac:dyDescent="0.25">
      <c r="A372" s="3"/>
      <c r="B372" s="3"/>
      <c r="C372" s="3"/>
      <c r="D372" s="3"/>
      <c r="E372" s="3"/>
      <c r="F372" s="3"/>
      <c r="G372" s="3"/>
      <c r="H372" s="3"/>
      <c r="I372" s="3"/>
      <c r="J372" s="3"/>
      <c r="K372" s="3"/>
      <c r="L372" s="3"/>
      <c r="M372" s="3"/>
      <c r="N372" s="3"/>
      <c r="O372" s="3"/>
      <c r="P372" s="3"/>
      <c r="Q372" s="3"/>
      <c r="R372" s="3"/>
      <c r="S372" s="3"/>
      <c r="T372" s="3"/>
      <c r="U372" s="3"/>
      <c r="V372" s="3"/>
    </row>
    <row r="373" ht="12.75" customHeight="1" spans="1:22" x14ac:dyDescent="0.25">
      <c r="A373" s="3"/>
      <c r="B373" s="3"/>
      <c r="C373" s="3"/>
      <c r="D373" s="3"/>
      <c r="E373" s="3"/>
      <c r="F373" s="3"/>
      <c r="G373" s="3"/>
      <c r="H373" s="3"/>
      <c r="I373" s="3"/>
      <c r="J373" s="3"/>
      <c r="K373" s="3"/>
      <c r="L373" s="3"/>
      <c r="M373" s="3"/>
      <c r="N373" s="3"/>
      <c r="O373" s="3"/>
      <c r="P373" s="3"/>
      <c r="Q373" s="3"/>
      <c r="R373" s="3"/>
      <c r="S373" s="3"/>
      <c r="T373" s="3"/>
      <c r="U373" s="3"/>
      <c r="V373" s="3"/>
    </row>
    <row r="374" ht="12.75" customHeight="1" spans="1:22" x14ac:dyDescent="0.25">
      <c r="A374" s="3"/>
      <c r="B374" s="3"/>
      <c r="C374" s="3"/>
      <c r="D374" s="3"/>
      <c r="E374" s="3"/>
      <c r="F374" s="3"/>
      <c r="G374" s="3"/>
      <c r="H374" s="3"/>
      <c r="I374" s="3"/>
      <c r="J374" s="3"/>
      <c r="K374" s="3"/>
      <c r="L374" s="3"/>
      <c r="M374" s="3"/>
      <c r="N374" s="3"/>
      <c r="O374" s="3"/>
      <c r="P374" s="3"/>
      <c r="Q374" s="3"/>
      <c r="R374" s="3"/>
      <c r="S374" s="3"/>
      <c r="T374" s="3"/>
      <c r="U374" s="3"/>
      <c r="V374" s="3"/>
    </row>
    <row r="375" ht="12.75" customHeight="1" spans="1:22" x14ac:dyDescent="0.25">
      <c r="A375" s="3"/>
      <c r="B375" s="3"/>
      <c r="C375" s="3"/>
      <c r="D375" s="3"/>
      <c r="E375" s="3"/>
      <c r="F375" s="3"/>
      <c r="G375" s="3"/>
      <c r="H375" s="3"/>
      <c r="I375" s="3"/>
      <c r="J375" s="3"/>
      <c r="K375" s="3"/>
      <c r="L375" s="3"/>
      <c r="M375" s="3"/>
      <c r="N375" s="3"/>
      <c r="O375" s="3"/>
      <c r="P375" s="3"/>
      <c r="Q375" s="3"/>
      <c r="R375" s="3"/>
      <c r="S375" s="3"/>
      <c r="T375" s="3"/>
      <c r="U375" s="3"/>
      <c r="V375" s="3"/>
    </row>
    <row r="376" ht="12.75" customHeight="1" spans="1:22" x14ac:dyDescent="0.25">
      <c r="A376" s="3"/>
      <c r="B376" s="3"/>
      <c r="C376" s="3"/>
      <c r="D376" s="3"/>
      <c r="E376" s="3"/>
      <c r="F376" s="3"/>
      <c r="G376" s="3"/>
      <c r="H376" s="3"/>
      <c r="I376" s="3"/>
      <c r="J376" s="3"/>
      <c r="K376" s="3"/>
      <c r="L376" s="3"/>
      <c r="M376" s="3"/>
      <c r="N376" s="3"/>
      <c r="O376" s="3"/>
      <c r="P376" s="3"/>
      <c r="Q376" s="3"/>
      <c r="R376" s="3"/>
      <c r="S376" s="3"/>
      <c r="T376" s="3"/>
      <c r="U376" s="3"/>
      <c r="V376" s="3"/>
    </row>
    <row r="377" ht="12.75" customHeight="1" spans="1:22" x14ac:dyDescent="0.25">
      <c r="A377" s="3"/>
      <c r="B377" s="3"/>
      <c r="C377" s="3"/>
      <c r="D377" s="3"/>
      <c r="E377" s="3"/>
      <c r="F377" s="3"/>
      <c r="G377" s="3"/>
      <c r="H377" s="3"/>
      <c r="I377" s="3"/>
      <c r="J377" s="3"/>
      <c r="K377" s="3"/>
      <c r="L377" s="3"/>
      <c r="M377" s="3"/>
      <c r="N377" s="3"/>
      <c r="O377" s="3"/>
      <c r="P377" s="3"/>
      <c r="Q377" s="3"/>
      <c r="R377" s="3"/>
      <c r="S377" s="3"/>
      <c r="T377" s="3"/>
      <c r="U377" s="3"/>
      <c r="V377" s="3"/>
    </row>
    <row r="378" ht="12.75" customHeight="1" spans="1:22" x14ac:dyDescent="0.25">
      <c r="A378" s="3"/>
      <c r="B378" s="3"/>
      <c r="C378" s="3"/>
      <c r="D378" s="3"/>
      <c r="E378" s="3"/>
      <c r="F378" s="3"/>
      <c r="G378" s="3"/>
      <c r="H378" s="3"/>
      <c r="I378" s="3"/>
      <c r="J378" s="3"/>
      <c r="K378" s="3"/>
      <c r="L378" s="3"/>
      <c r="M378" s="3"/>
      <c r="N378" s="3"/>
      <c r="O378" s="3"/>
      <c r="P378" s="3"/>
      <c r="Q378" s="3"/>
      <c r="R378" s="3"/>
      <c r="S378" s="3"/>
      <c r="T378" s="3"/>
      <c r="U378" s="3"/>
      <c r="V378" s="3"/>
    </row>
    <row r="379" ht="12.75" customHeight="1" spans="1:22" x14ac:dyDescent="0.25">
      <c r="A379" s="3"/>
      <c r="B379" s="3"/>
      <c r="C379" s="3"/>
      <c r="D379" s="3"/>
      <c r="E379" s="3"/>
      <c r="F379" s="3"/>
      <c r="G379" s="3"/>
      <c r="H379" s="3"/>
      <c r="I379" s="3"/>
      <c r="J379" s="3"/>
      <c r="K379" s="3"/>
      <c r="L379" s="3"/>
      <c r="M379" s="3"/>
      <c r="N379" s="3"/>
      <c r="O379" s="3"/>
      <c r="P379" s="3"/>
      <c r="Q379" s="3"/>
      <c r="R379" s="3"/>
      <c r="S379" s="3"/>
      <c r="T379" s="3"/>
      <c r="U379" s="3"/>
      <c r="V379" s="3"/>
    </row>
    <row r="380" ht="12.75" customHeight="1" spans="1:22" x14ac:dyDescent="0.25">
      <c r="A380" s="3"/>
      <c r="B380" s="3"/>
      <c r="C380" s="3"/>
      <c r="D380" s="3"/>
      <c r="E380" s="3"/>
      <c r="F380" s="3"/>
      <c r="G380" s="3"/>
      <c r="H380" s="3"/>
      <c r="I380" s="3"/>
      <c r="J380" s="3"/>
      <c r="K380" s="3"/>
      <c r="L380" s="3"/>
      <c r="M380" s="3"/>
      <c r="N380" s="3"/>
      <c r="O380" s="3"/>
      <c r="P380" s="3"/>
      <c r="Q380" s="3"/>
      <c r="R380" s="3"/>
      <c r="S380" s="3"/>
      <c r="T380" s="3"/>
      <c r="U380" s="3"/>
      <c r="V380" s="3"/>
    </row>
    <row r="381" ht="12.75" customHeight="1" spans="1:22" x14ac:dyDescent="0.25">
      <c r="A381" s="3"/>
      <c r="B381" s="3"/>
      <c r="C381" s="3"/>
      <c r="D381" s="3"/>
      <c r="E381" s="3"/>
      <c r="F381" s="3"/>
      <c r="G381" s="3"/>
      <c r="H381" s="3"/>
      <c r="I381" s="3"/>
      <c r="J381" s="3"/>
      <c r="K381" s="3"/>
      <c r="L381" s="3"/>
      <c r="M381" s="3"/>
      <c r="N381" s="3"/>
      <c r="O381" s="3"/>
      <c r="P381" s="3"/>
      <c r="Q381" s="3"/>
      <c r="R381" s="3"/>
      <c r="S381" s="3"/>
      <c r="T381" s="3"/>
      <c r="U381" s="3"/>
      <c r="V381" s="3"/>
    </row>
    <row r="382" ht="12.75" customHeight="1" spans="1:22" x14ac:dyDescent="0.25">
      <c r="A382" s="3"/>
      <c r="B382" s="3"/>
      <c r="C382" s="3"/>
      <c r="D382" s="3"/>
      <c r="E382" s="3"/>
      <c r="F382" s="3"/>
      <c r="G382" s="3"/>
      <c r="H382" s="3"/>
      <c r="I382" s="3"/>
      <c r="J382" s="3"/>
      <c r="K382" s="3"/>
      <c r="L382" s="3"/>
      <c r="M382" s="3"/>
      <c r="N382" s="3"/>
      <c r="O382" s="3"/>
      <c r="P382" s="3"/>
      <c r="Q382" s="3"/>
      <c r="R382" s="3"/>
      <c r="S382" s="3"/>
      <c r="T382" s="3"/>
      <c r="U382" s="3"/>
      <c r="V382" s="3"/>
    </row>
    <row r="383" ht="12.75" customHeight="1" spans="1:22" x14ac:dyDescent="0.25">
      <c r="A383" s="3"/>
      <c r="B383" s="3"/>
      <c r="C383" s="3"/>
      <c r="D383" s="3"/>
      <c r="E383" s="3"/>
      <c r="F383" s="3"/>
      <c r="G383" s="3"/>
      <c r="H383" s="3"/>
      <c r="I383" s="3"/>
      <c r="J383" s="3"/>
      <c r="K383" s="3"/>
      <c r="L383" s="3"/>
      <c r="M383" s="3"/>
      <c r="N383" s="3"/>
      <c r="O383" s="3"/>
      <c r="P383" s="3"/>
      <c r="Q383" s="3"/>
      <c r="R383" s="3"/>
      <c r="S383" s="3"/>
      <c r="T383" s="3"/>
      <c r="U383" s="3"/>
      <c r="V383" s="3"/>
    </row>
    <row r="384" ht="12.75" customHeight="1" spans="1:22" x14ac:dyDescent="0.25">
      <c r="A384" s="3"/>
      <c r="B384" s="3"/>
      <c r="C384" s="3"/>
      <c r="D384" s="3"/>
      <c r="E384" s="3"/>
      <c r="F384" s="3"/>
      <c r="G384" s="3"/>
      <c r="H384" s="3"/>
      <c r="I384" s="3"/>
      <c r="J384" s="3"/>
      <c r="K384" s="3"/>
      <c r="L384" s="3"/>
      <c r="M384" s="3"/>
      <c r="N384" s="3"/>
      <c r="O384" s="3"/>
      <c r="P384" s="3"/>
      <c r="Q384" s="3"/>
      <c r="R384" s="3"/>
      <c r="S384" s="3"/>
      <c r="T384" s="3"/>
      <c r="U384" s="3"/>
      <c r="V384" s="3"/>
    </row>
    <row r="385" ht="12.75" customHeight="1" spans="1:22" x14ac:dyDescent="0.25">
      <c r="A385" s="3"/>
      <c r="B385" s="3"/>
      <c r="C385" s="3"/>
      <c r="D385" s="3"/>
      <c r="E385" s="3"/>
      <c r="F385" s="3"/>
      <c r="G385" s="3"/>
      <c r="H385" s="3"/>
      <c r="I385" s="3"/>
      <c r="J385" s="3"/>
      <c r="K385" s="3"/>
      <c r="L385" s="3"/>
      <c r="M385" s="3"/>
      <c r="N385" s="3"/>
      <c r="O385" s="3"/>
      <c r="P385" s="3"/>
      <c r="Q385" s="3"/>
      <c r="R385" s="3"/>
      <c r="S385" s="3"/>
      <c r="T385" s="3"/>
      <c r="U385" s="3"/>
      <c r="V385" s="3"/>
    </row>
    <row r="386" ht="12.75" customHeight="1" spans="1:22" x14ac:dyDescent="0.25">
      <c r="A386" s="3"/>
      <c r="B386" s="3"/>
      <c r="C386" s="3"/>
      <c r="D386" s="3"/>
      <c r="E386" s="3"/>
      <c r="F386" s="3"/>
      <c r="G386" s="3"/>
      <c r="H386" s="3"/>
      <c r="I386" s="3"/>
      <c r="J386" s="3"/>
      <c r="K386" s="3"/>
      <c r="L386" s="3"/>
      <c r="M386" s="3"/>
      <c r="N386" s="3"/>
      <c r="O386" s="3"/>
      <c r="P386" s="3"/>
      <c r="Q386" s="3"/>
      <c r="R386" s="3"/>
      <c r="S386" s="3"/>
      <c r="T386" s="3"/>
      <c r="U386" s="3"/>
      <c r="V386" s="3"/>
    </row>
    <row r="387" ht="12.75" customHeight="1" spans="1:22" x14ac:dyDescent="0.25">
      <c r="A387" s="3"/>
      <c r="B387" s="3"/>
      <c r="C387" s="3"/>
      <c r="D387" s="3"/>
      <c r="E387" s="3"/>
      <c r="F387" s="3"/>
      <c r="G387" s="3"/>
      <c r="H387" s="3"/>
      <c r="I387" s="3"/>
      <c r="J387" s="3"/>
      <c r="K387" s="3"/>
      <c r="L387" s="3"/>
      <c r="M387" s="3"/>
      <c r="N387" s="3"/>
      <c r="O387" s="3"/>
      <c r="P387" s="3"/>
      <c r="Q387" s="3"/>
      <c r="R387" s="3"/>
      <c r="S387" s="3"/>
      <c r="T387" s="3"/>
      <c r="U387" s="3"/>
      <c r="V387" s="3"/>
    </row>
    <row r="388" ht="12.75" customHeight="1" spans="1:22" x14ac:dyDescent="0.25">
      <c r="A388" s="3"/>
      <c r="B388" s="3"/>
      <c r="C388" s="3"/>
      <c r="D388" s="3"/>
      <c r="E388" s="3"/>
      <c r="F388" s="3"/>
      <c r="G388" s="3"/>
      <c r="H388" s="3"/>
      <c r="I388" s="3"/>
      <c r="J388" s="3"/>
      <c r="K388" s="3"/>
      <c r="L388" s="3"/>
      <c r="M388" s="3"/>
      <c r="N388" s="3"/>
      <c r="O388" s="3"/>
      <c r="P388" s="3"/>
      <c r="Q388" s="3"/>
      <c r="R388" s="3"/>
      <c r="S388" s="3"/>
      <c r="T388" s="3"/>
      <c r="U388" s="3"/>
      <c r="V388" s="3"/>
    </row>
    <row r="389" ht="12.75" customHeight="1" spans="1:22" x14ac:dyDescent="0.25">
      <c r="A389" s="3"/>
      <c r="B389" s="3"/>
      <c r="C389" s="3"/>
      <c r="D389" s="3"/>
      <c r="E389" s="3"/>
      <c r="F389" s="3"/>
      <c r="G389" s="3"/>
      <c r="H389" s="3"/>
      <c r="I389" s="3"/>
      <c r="J389" s="3"/>
      <c r="K389" s="3"/>
      <c r="L389" s="3"/>
      <c r="M389" s="3"/>
      <c r="N389" s="3"/>
      <c r="O389" s="3"/>
      <c r="P389" s="3"/>
      <c r="Q389" s="3"/>
      <c r="R389" s="3"/>
      <c r="S389" s="3"/>
      <c r="T389" s="3"/>
      <c r="U389" s="3"/>
      <c r="V389" s="3"/>
    </row>
    <row r="390" ht="12.75" customHeight="1" spans="1:22" x14ac:dyDescent="0.25">
      <c r="A390" s="3"/>
      <c r="B390" s="3"/>
      <c r="C390" s="3"/>
      <c r="D390" s="3"/>
      <c r="E390" s="3"/>
      <c r="F390" s="3"/>
      <c r="G390" s="3"/>
      <c r="H390" s="3"/>
      <c r="I390" s="3"/>
      <c r="J390" s="3"/>
      <c r="K390" s="3"/>
      <c r="L390" s="3"/>
      <c r="M390" s="3"/>
      <c r="N390" s="3"/>
      <c r="O390" s="3"/>
      <c r="P390" s="3"/>
      <c r="Q390" s="3"/>
      <c r="R390" s="3"/>
      <c r="S390" s="3"/>
      <c r="T390" s="3"/>
      <c r="U390" s="3"/>
      <c r="V390" s="3"/>
    </row>
    <row r="391" ht="12.75" customHeight="1" spans="1:22" x14ac:dyDescent="0.25">
      <c r="A391" s="3"/>
      <c r="B391" s="3"/>
      <c r="C391" s="3"/>
      <c r="D391" s="3"/>
      <c r="E391" s="3"/>
      <c r="F391" s="3"/>
      <c r="G391" s="3"/>
      <c r="H391" s="3"/>
      <c r="I391" s="3"/>
      <c r="J391" s="3"/>
      <c r="K391" s="3"/>
      <c r="L391" s="3"/>
      <c r="M391" s="3"/>
      <c r="N391" s="3"/>
      <c r="O391" s="3"/>
      <c r="P391" s="3"/>
      <c r="Q391" s="3"/>
      <c r="R391" s="3"/>
      <c r="S391" s="3"/>
      <c r="T391" s="3"/>
      <c r="U391" s="3"/>
      <c r="V391" s="3"/>
    </row>
    <row r="392" ht="12.75" customHeight="1" spans="1:22" x14ac:dyDescent="0.25">
      <c r="A392" s="3"/>
      <c r="B392" s="3"/>
      <c r="C392" s="3"/>
      <c r="D392" s="3"/>
      <c r="E392" s="3"/>
      <c r="F392" s="3"/>
      <c r="G392" s="3"/>
      <c r="H392" s="3"/>
      <c r="I392" s="3"/>
      <c r="J392" s="3"/>
      <c r="K392" s="3"/>
      <c r="L392" s="3"/>
      <c r="M392" s="3"/>
      <c r="N392" s="3"/>
      <c r="O392" s="3"/>
      <c r="P392" s="3"/>
      <c r="Q392" s="3"/>
      <c r="R392" s="3"/>
      <c r="S392" s="3"/>
      <c r="T392" s="3"/>
      <c r="U392" s="3"/>
      <c r="V392" s="3"/>
    </row>
    <row r="393" ht="12.75" customHeight="1" spans="1:22" x14ac:dyDescent="0.25">
      <c r="A393" s="3"/>
      <c r="B393" s="3"/>
      <c r="C393" s="3"/>
      <c r="D393" s="3"/>
      <c r="E393" s="3"/>
      <c r="F393" s="3"/>
      <c r="G393" s="3"/>
      <c r="H393" s="3"/>
      <c r="I393" s="3"/>
      <c r="J393" s="3"/>
      <c r="K393" s="3"/>
      <c r="L393" s="3"/>
      <c r="M393" s="3"/>
      <c r="N393" s="3"/>
      <c r="O393" s="3"/>
      <c r="P393" s="3"/>
      <c r="Q393" s="3"/>
      <c r="R393" s="3"/>
      <c r="S393" s="3"/>
      <c r="T393" s="3"/>
      <c r="U393" s="3"/>
      <c r="V393" s="3"/>
    </row>
    <row r="394" ht="12.75" customHeight="1" spans="1:22" x14ac:dyDescent="0.25">
      <c r="A394" s="3"/>
      <c r="B394" s="3"/>
      <c r="C394" s="3"/>
      <c r="D394" s="3"/>
      <c r="E394" s="3"/>
      <c r="F394" s="3"/>
      <c r="G394" s="3"/>
      <c r="H394" s="3"/>
      <c r="I394" s="3"/>
      <c r="J394" s="3"/>
      <c r="K394" s="3"/>
      <c r="L394" s="3"/>
      <c r="M394" s="3"/>
      <c r="N394" s="3"/>
      <c r="O394" s="3"/>
      <c r="P394" s="3"/>
      <c r="Q394" s="3"/>
      <c r="R394" s="3"/>
      <c r="S394" s="3"/>
      <c r="T394" s="3"/>
      <c r="U394" s="3"/>
      <c r="V394" s="3"/>
    </row>
    <row r="395" ht="12.75" customHeight="1" spans="1:22" x14ac:dyDescent="0.25">
      <c r="A395" s="3"/>
      <c r="B395" s="3"/>
      <c r="C395" s="3"/>
      <c r="D395" s="3"/>
      <c r="E395" s="3"/>
      <c r="F395" s="3"/>
      <c r="G395" s="3"/>
      <c r="H395" s="3"/>
      <c r="I395" s="3"/>
      <c r="J395" s="3"/>
      <c r="K395" s="3"/>
      <c r="L395" s="3"/>
      <c r="M395" s="3"/>
      <c r="N395" s="3"/>
      <c r="O395" s="3"/>
      <c r="P395" s="3"/>
      <c r="Q395" s="3"/>
      <c r="R395" s="3"/>
      <c r="S395" s="3"/>
      <c r="T395" s="3"/>
      <c r="U395" s="3"/>
      <c r="V395" s="3"/>
    </row>
    <row r="396" ht="12.75" customHeight="1" spans="1:22" x14ac:dyDescent="0.25">
      <c r="A396" s="3"/>
      <c r="B396" s="3"/>
      <c r="C396" s="3"/>
      <c r="D396" s="3"/>
      <c r="E396" s="3"/>
      <c r="F396" s="3"/>
      <c r="G396" s="3"/>
      <c r="H396" s="3"/>
      <c r="I396" s="3"/>
      <c r="J396" s="3"/>
      <c r="K396" s="3"/>
      <c r="L396" s="3"/>
      <c r="M396" s="3"/>
      <c r="N396" s="3"/>
      <c r="O396" s="3"/>
      <c r="P396" s="3"/>
      <c r="Q396" s="3"/>
      <c r="R396" s="3"/>
      <c r="S396" s="3"/>
      <c r="T396" s="3"/>
      <c r="U396" s="3"/>
      <c r="V396" s="3"/>
    </row>
    <row r="397" ht="12.75" customHeight="1" spans="1:22" x14ac:dyDescent="0.25">
      <c r="A397" s="3"/>
      <c r="B397" s="3"/>
      <c r="C397" s="3"/>
      <c r="D397" s="3"/>
      <c r="E397" s="3"/>
      <c r="F397" s="3"/>
      <c r="G397" s="3"/>
      <c r="H397" s="3"/>
      <c r="I397" s="3"/>
      <c r="J397" s="3"/>
      <c r="K397" s="3"/>
      <c r="L397" s="3"/>
      <c r="M397" s="3"/>
      <c r="N397" s="3"/>
      <c r="O397" s="3"/>
      <c r="P397" s="3"/>
      <c r="Q397" s="3"/>
      <c r="R397" s="3"/>
      <c r="S397" s="3"/>
      <c r="T397" s="3"/>
      <c r="U397" s="3"/>
      <c r="V397" s="3"/>
    </row>
    <row r="398" ht="12.75" customHeight="1" spans="1:22" x14ac:dyDescent="0.25">
      <c r="A398" s="3"/>
      <c r="B398" s="3"/>
      <c r="C398" s="3"/>
      <c r="D398" s="3"/>
      <c r="E398" s="3"/>
      <c r="F398" s="3"/>
      <c r="G398" s="3"/>
      <c r="H398" s="3"/>
      <c r="I398" s="3"/>
      <c r="J398" s="3"/>
      <c r="K398" s="3"/>
      <c r="L398" s="3"/>
      <c r="M398" s="3"/>
      <c r="N398" s="3"/>
      <c r="O398" s="3"/>
      <c r="P398" s="3"/>
      <c r="Q398" s="3"/>
      <c r="R398" s="3"/>
      <c r="S398" s="3"/>
      <c r="T398" s="3"/>
      <c r="U398" s="3"/>
      <c r="V398" s="3"/>
    </row>
    <row r="399" ht="12.75" customHeight="1" spans="1:22" x14ac:dyDescent="0.25">
      <c r="A399" s="3"/>
      <c r="B399" s="3"/>
      <c r="C399" s="3"/>
      <c r="D399" s="3"/>
      <c r="E399" s="3"/>
      <c r="F399" s="3"/>
      <c r="G399" s="3"/>
      <c r="H399" s="3"/>
      <c r="I399" s="3"/>
      <c r="J399" s="3"/>
      <c r="K399" s="3"/>
      <c r="L399" s="3"/>
      <c r="M399" s="3"/>
      <c r="N399" s="3"/>
      <c r="O399" s="3"/>
      <c r="P399" s="3"/>
      <c r="Q399" s="3"/>
      <c r="R399" s="3"/>
      <c r="S399" s="3"/>
      <c r="T399" s="3"/>
      <c r="U399" s="3"/>
      <c r="V399" s="3"/>
    </row>
    <row r="400" ht="12.75" customHeight="1" spans="1:22" x14ac:dyDescent="0.25">
      <c r="A400" s="3"/>
      <c r="B400" s="3"/>
      <c r="C400" s="3"/>
      <c r="D400" s="3"/>
      <c r="E400" s="3"/>
      <c r="F400" s="3"/>
      <c r="G400" s="3"/>
      <c r="H400" s="3"/>
      <c r="I400" s="3"/>
      <c r="J400" s="3"/>
      <c r="K400" s="3"/>
      <c r="L400" s="3"/>
      <c r="M400" s="3"/>
      <c r="N400" s="3"/>
      <c r="O400" s="3"/>
      <c r="P400" s="3"/>
      <c r="Q400" s="3"/>
      <c r="R400" s="3"/>
      <c r="S400" s="3"/>
      <c r="T400" s="3"/>
      <c r="U400" s="3"/>
      <c r="V400" s="3"/>
    </row>
    <row r="401" ht="12.75" customHeight="1" spans="1:22" x14ac:dyDescent="0.25">
      <c r="A401" s="3"/>
      <c r="B401" s="3"/>
      <c r="C401" s="3"/>
      <c r="D401" s="3"/>
      <c r="E401" s="3"/>
      <c r="F401" s="3"/>
      <c r="G401" s="3"/>
      <c r="H401" s="3"/>
      <c r="I401" s="3"/>
      <c r="J401" s="3"/>
      <c r="K401" s="3"/>
      <c r="L401" s="3"/>
      <c r="M401" s="3"/>
      <c r="N401" s="3"/>
      <c r="O401" s="3"/>
      <c r="P401" s="3"/>
      <c r="Q401" s="3"/>
      <c r="R401" s="3"/>
      <c r="S401" s="3"/>
      <c r="T401" s="3"/>
      <c r="U401" s="3"/>
      <c r="V401" s="3"/>
    </row>
    <row r="402" ht="12.75" customHeight="1" spans="1:22" x14ac:dyDescent="0.25">
      <c r="A402" s="3"/>
      <c r="B402" s="3"/>
      <c r="C402" s="3"/>
      <c r="D402" s="3"/>
      <c r="E402" s="3"/>
      <c r="F402" s="3"/>
      <c r="G402" s="3"/>
      <c r="H402" s="3"/>
      <c r="I402" s="3"/>
      <c r="J402" s="3"/>
      <c r="K402" s="3"/>
      <c r="L402" s="3"/>
      <c r="M402" s="3"/>
      <c r="N402" s="3"/>
      <c r="O402" s="3"/>
      <c r="P402" s="3"/>
      <c r="Q402" s="3"/>
      <c r="R402" s="3"/>
      <c r="S402" s="3"/>
      <c r="T402" s="3"/>
      <c r="U402" s="3"/>
      <c r="V402" s="3"/>
    </row>
    <row r="403" ht="12.75" customHeight="1" spans="1:22" x14ac:dyDescent="0.25">
      <c r="A403" s="3"/>
      <c r="B403" s="3"/>
      <c r="C403" s="3"/>
      <c r="D403" s="3"/>
      <c r="E403" s="3"/>
      <c r="F403" s="3"/>
      <c r="G403" s="3"/>
      <c r="H403" s="3"/>
      <c r="I403" s="3"/>
      <c r="J403" s="3"/>
      <c r="K403" s="3"/>
      <c r="L403" s="3"/>
      <c r="M403" s="3"/>
      <c r="N403" s="3"/>
      <c r="O403" s="3"/>
      <c r="P403" s="3"/>
      <c r="Q403" s="3"/>
      <c r="R403" s="3"/>
      <c r="S403" s="3"/>
      <c r="T403" s="3"/>
      <c r="U403" s="3"/>
      <c r="V403" s="3"/>
    </row>
    <row r="404" ht="12.75" customHeight="1" spans="1:22" x14ac:dyDescent="0.25">
      <c r="A404" s="3"/>
      <c r="B404" s="3"/>
      <c r="C404" s="3"/>
      <c r="D404" s="3"/>
      <c r="E404" s="3"/>
      <c r="F404" s="3"/>
      <c r="G404" s="3"/>
      <c r="H404" s="3"/>
      <c r="I404" s="3"/>
      <c r="J404" s="3"/>
      <c r="K404" s="3"/>
      <c r="L404" s="3"/>
      <c r="M404" s="3"/>
      <c r="N404" s="3"/>
      <c r="O404" s="3"/>
      <c r="P404" s="3"/>
      <c r="Q404" s="3"/>
      <c r="R404" s="3"/>
      <c r="S404" s="3"/>
      <c r="T404" s="3"/>
      <c r="U404" s="3"/>
      <c r="V404" s="3"/>
    </row>
    <row r="405" ht="12.75" customHeight="1" spans="1:22" x14ac:dyDescent="0.25">
      <c r="A405" s="3"/>
      <c r="B405" s="3"/>
      <c r="C405" s="3"/>
      <c r="D405" s="3"/>
      <c r="E405" s="3"/>
      <c r="F405" s="3"/>
      <c r="G405" s="3"/>
      <c r="H405" s="3"/>
      <c r="I405" s="3"/>
      <c r="J405" s="3"/>
      <c r="K405" s="3"/>
      <c r="L405" s="3"/>
      <c r="M405" s="3"/>
      <c r="N405" s="3"/>
      <c r="O405" s="3"/>
      <c r="P405" s="3"/>
      <c r="Q405" s="3"/>
      <c r="R405" s="3"/>
      <c r="S405" s="3"/>
      <c r="T405" s="3"/>
      <c r="U405" s="3"/>
      <c r="V405" s="3"/>
    </row>
    <row r="406" ht="12.75" customHeight="1" spans="1:22" x14ac:dyDescent="0.25">
      <c r="A406" s="3"/>
      <c r="B406" s="3"/>
      <c r="C406" s="3"/>
      <c r="D406" s="3"/>
      <c r="E406" s="3"/>
      <c r="F406" s="3"/>
      <c r="G406" s="3"/>
      <c r="H406" s="3"/>
      <c r="I406" s="3"/>
      <c r="J406" s="3"/>
      <c r="K406" s="3"/>
      <c r="L406" s="3"/>
      <c r="M406" s="3"/>
      <c r="N406" s="3"/>
      <c r="O406" s="3"/>
      <c r="P406" s="3"/>
      <c r="Q406" s="3"/>
      <c r="R406" s="3"/>
      <c r="S406" s="3"/>
      <c r="T406" s="3"/>
      <c r="U406" s="3"/>
      <c r="V406" s="3"/>
    </row>
    <row r="407" ht="12.75" customHeight="1" spans="1:22" x14ac:dyDescent="0.25">
      <c r="A407" s="3"/>
      <c r="B407" s="3"/>
      <c r="C407" s="3"/>
      <c r="D407" s="3"/>
      <c r="E407" s="3"/>
      <c r="F407" s="3"/>
      <c r="G407" s="3"/>
      <c r="H407" s="3"/>
      <c r="I407" s="3"/>
      <c r="J407" s="3"/>
      <c r="K407" s="3"/>
      <c r="L407" s="3"/>
      <c r="M407" s="3"/>
      <c r="N407" s="3"/>
      <c r="O407" s="3"/>
      <c r="P407" s="3"/>
      <c r="Q407" s="3"/>
      <c r="R407" s="3"/>
      <c r="S407" s="3"/>
      <c r="T407" s="3"/>
      <c r="U407" s="3"/>
      <c r="V407" s="3"/>
    </row>
    <row r="408" ht="12.75" customHeight="1" spans="1:22" x14ac:dyDescent="0.25">
      <c r="A408" s="3"/>
      <c r="B408" s="3"/>
      <c r="C408" s="3"/>
      <c r="D408" s="3"/>
      <c r="E408" s="3"/>
      <c r="F408" s="3"/>
      <c r="G408" s="3"/>
      <c r="H408" s="3"/>
      <c r="I408" s="3"/>
      <c r="J408" s="3"/>
      <c r="K408" s="3"/>
      <c r="L408" s="3"/>
      <c r="M408" s="3"/>
      <c r="N408" s="3"/>
      <c r="O408" s="3"/>
      <c r="P408" s="3"/>
      <c r="Q408" s="3"/>
      <c r="R408" s="3"/>
      <c r="S408" s="3"/>
      <c r="T408" s="3"/>
      <c r="U408" s="3"/>
      <c r="V408" s="3"/>
    </row>
    <row r="409" ht="12.75" customHeight="1" spans="1:22" x14ac:dyDescent="0.25">
      <c r="A409" s="3"/>
      <c r="B409" s="3"/>
      <c r="C409" s="3"/>
      <c r="D409" s="3"/>
      <c r="E409" s="3"/>
      <c r="F409" s="3"/>
      <c r="G409" s="3"/>
      <c r="H409" s="3"/>
      <c r="I409" s="3"/>
      <c r="J409" s="3"/>
      <c r="K409" s="3"/>
      <c r="L409" s="3"/>
      <c r="M409" s="3"/>
      <c r="N409" s="3"/>
      <c r="O409" s="3"/>
      <c r="P409" s="3"/>
      <c r="Q409" s="3"/>
      <c r="R409" s="3"/>
      <c r="S409" s="3"/>
      <c r="T409" s="3"/>
      <c r="U409" s="3"/>
      <c r="V409" s="3"/>
    </row>
    <row r="410" ht="12.75" customHeight="1" spans="1:22" x14ac:dyDescent="0.25">
      <c r="A410" s="3"/>
      <c r="B410" s="3"/>
      <c r="C410" s="3"/>
      <c r="D410" s="3"/>
      <c r="E410" s="3"/>
      <c r="F410" s="3"/>
      <c r="G410" s="3"/>
      <c r="H410" s="3"/>
      <c r="I410" s="3"/>
      <c r="J410" s="3"/>
      <c r="K410" s="3"/>
      <c r="L410" s="3"/>
      <c r="M410" s="3"/>
      <c r="N410" s="3"/>
      <c r="O410" s="3"/>
      <c r="P410" s="3"/>
      <c r="Q410" s="3"/>
      <c r="R410" s="3"/>
      <c r="S410" s="3"/>
      <c r="T410" s="3"/>
      <c r="U410" s="3"/>
      <c r="V410" s="3"/>
    </row>
    <row r="411" ht="12.75" customHeight="1" spans="1:22" x14ac:dyDescent="0.25">
      <c r="A411" s="3"/>
      <c r="B411" s="3"/>
      <c r="C411" s="3"/>
      <c r="D411" s="3"/>
      <c r="E411" s="3"/>
      <c r="F411" s="3"/>
      <c r="G411" s="3"/>
      <c r="H411" s="3"/>
      <c r="I411" s="3"/>
      <c r="J411" s="3"/>
      <c r="K411" s="3"/>
      <c r="L411" s="3"/>
      <c r="M411" s="3"/>
      <c r="N411" s="3"/>
      <c r="O411" s="3"/>
      <c r="P411" s="3"/>
      <c r="Q411" s="3"/>
      <c r="R411" s="3"/>
      <c r="S411" s="3"/>
      <c r="T411" s="3"/>
      <c r="U411" s="3"/>
      <c r="V411" s="3"/>
    </row>
    <row r="412" ht="12.75" customHeight="1" spans="1:22" x14ac:dyDescent="0.25">
      <c r="A412" s="3"/>
      <c r="B412" s="3"/>
      <c r="C412" s="3"/>
      <c r="D412" s="3"/>
      <c r="E412" s="3"/>
      <c r="F412" s="3"/>
      <c r="G412" s="3"/>
      <c r="H412" s="3"/>
      <c r="I412" s="3"/>
      <c r="J412" s="3"/>
      <c r="K412" s="3"/>
      <c r="L412" s="3"/>
      <c r="M412" s="3"/>
      <c r="N412" s="3"/>
      <c r="O412" s="3"/>
      <c r="P412" s="3"/>
      <c r="Q412" s="3"/>
      <c r="R412" s="3"/>
      <c r="S412" s="3"/>
      <c r="T412" s="3"/>
      <c r="U412" s="3"/>
      <c r="V412" s="3"/>
    </row>
    <row r="413" ht="12.75" customHeight="1" spans="1:22" x14ac:dyDescent="0.25">
      <c r="A413" s="3"/>
      <c r="B413" s="3"/>
      <c r="C413" s="3"/>
      <c r="D413" s="3"/>
      <c r="E413" s="3"/>
      <c r="F413" s="3"/>
      <c r="G413" s="3"/>
      <c r="H413" s="3"/>
      <c r="I413" s="3"/>
      <c r="J413" s="3"/>
      <c r="K413" s="3"/>
      <c r="L413" s="3"/>
      <c r="M413" s="3"/>
      <c r="N413" s="3"/>
      <c r="O413" s="3"/>
      <c r="P413" s="3"/>
      <c r="Q413" s="3"/>
      <c r="R413" s="3"/>
      <c r="S413" s="3"/>
      <c r="T413" s="3"/>
      <c r="U413" s="3"/>
      <c r="V413" s="3"/>
    </row>
    <row r="414" ht="12.75" customHeight="1" spans="1:22" x14ac:dyDescent="0.25">
      <c r="A414" s="3"/>
      <c r="B414" s="3"/>
      <c r="C414" s="3"/>
      <c r="D414" s="3"/>
      <c r="E414" s="3"/>
      <c r="F414" s="3"/>
      <c r="G414" s="3"/>
      <c r="H414" s="3"/>
      <c r="I414" s="3"/>
      <c r="J414" s="3"/>
      <c r="K414" s="3"/>
      <c r="L414" s="3"/>
      <c r="M414" s="3"/>
      <c r="N414" s="3"/>
      <c r="O414" s="3"/>
      <c r="P414" s="3"/>
      <c r="Q414" s="3"/>
      <c r="R414" s="3"/>
      <c r="S414" s="3"/>
      <c r="T414" s="3"/>
      <c r="U414" s="3"/>
      <c r="V414" s="3"/>
    </row>
    <row r="415" ht="12.75" customHeight="1" spans="1:22" x14ac:dyDescent="0.25">
      <c r="A415" s="3"/>
      <c r="B415" s="3"/>
      <c r="C415" s="3"/>
      <c r="D415" s="3"/>
      <c r="E415" s="3"/>
      <c r="F415" s="3"/>
      <c r="G415" s="3"/>
      <c r="H415" s="3"/>
      <c r="I415" s="3"/>
      <c r="J415" s="3"/>
      <c r="K415" s="3"/>
      <c r="L415" s="3"/>
      <c r="M415" s="3"/>
      <c r="N415" s="3"/>
      <c r="O415" s="3"/>
      <c r="P415" s="3"/>
      <c r="Q415" s="3"/>
      <c r="R415" s="3"/>
      <c r="S415" s="3"/>
      <c r="T415" s="3"/>
      <c r="U415" s="3"/>
      <c r="V415" s="3"/>
    </row>
    <row r="416" ht="12.75" customHeight="1" spans="1:22" x14ac:dyDescent="0.25">
      <c r="A416" s="3"/>
      <c r="B416" s="3"/>
      <c r="C416" s="3"/>
      <c r="D416" s="3"/>
      <c r="E416" s="3"/>
      <c r="F416" s="3"/>
      <c r="G416" s="3"/>
      <c r="H416" s="3"/>
      <c r="I416" s="3"/>
      <c r="J416" s="3"/>
      <c r="K416" s="3"/>
      <c r="L416" s="3"/>
      <c r="M416" s="3"/>
      <c r="N416" s="3"/>
      <c r="O416" s="3"/>
      <c r="P416" s="3"/>
      <c r="Q416" s="3"/>
      <c r="R416" s="3"/>
      <c r="S416" s="3"/>
      <c r="T416" s="3"/>
      <c r="U416" s="3"/>
      <c r="V416" s="3"/>
    </row>
    <row r="417" ht="12.75" customHeight="1" spans="1:22" x14ac:dyDescent="0.25">
      <c r="A417" s="3"/>
      <c r="B417" s="3"/>
      <c r="C417" s="3"/>
      <c r="D417" s="3"/>
      <c r="E417" s="3"/>
      <c r="F417" s="3"/>
      <c r="G417" s="3"/>
      <c r="H417" s="3"/>
      <c r="I417" s="3"/>
      <c r="J417" s="3"/>
      <c r="K417" s="3"/>
      <c r="L417" s="3"/>
      <c r="M417" s="3"/>
      <c r="N417" s="3"/>
      <c r="O417" s="3"/>
      <c r="P417" s="3"/>
      <c r="Q417" s="3"/>
      <c r="R417" s="3"/>
      <c r="S417" s="3"/>
      <c r="T417" s="3"/>
      <c r="U417" s="3"/>
      <c r="V417" s="3"/>
    </row>
    <row r="418" ht="12.75" customHeight="1" spans="1:22" x14ac:dyDescent="0.25">
      <c r="A418" s="3"/>
      <c r="B418" s="3"/>
      <c r="C418" s="3"/>
      <c r="D418" s="3"/>
      <c r="E418" s="3"/>
      <c r="F418" s="3"/>
      <c r="G418" s="3"/>
      <c r="H418" s="3"/>
      <c r="I418" s="3"/>
      <c r="J418" s="3"/>
      <c r="K418" s="3"/>
      <c r="L418" s="3"/>
      <c r="M418" s="3"/>
      <c r="N418" s="3"/>
      <c r="O418" s="3"/>
      <c r="P418" s="3"/>
      <c r="Q418" s="3"/>
      <c r="R418" s="3"/>
      <c r="S418" s="3"/>
      <c r="T418" s="3"/>
      <c r="U418" s="3"/>
      <c r="V418" s="3"/>
    </row>
    <row r="419" ht="12.75" customHeight="1" spans="1:22" x14ac:dyDescent="0.25">
      <c r="A419" s="3"/>
      <c r="B419" s="3"/>
      <c r="C419" s="3"/>
      <c r="D419" s="3"/>
      <c r="E419" s="3"/>
      <c r="F419" s="3"/>
      <c r="G419" s="3"/>
      <c r="H419" s="3"/>
      <c r="I419" s="3"/>
      <c r="J419" s="3"/>
      <c r="K419" s="3"/>
      <c r="L419" s="3"/>
      <c r="M419" s="3"/>
      <c r="N419" s="3"/>
      <c r="O419" s="3"/>
      <c r="P419" s="3"/>
      <c r="Q419" s="3"/>
      <c r="R419" s="3"/>
      <c r="S419" s="3"/>
      <c r="T419" s="3"/>
      <c r="U419" s="3"/>
      <c r="V419" s="3"/>
    </row>
    <row r="420" ht="12.75" customHeight="1" spans="1:22" x14ac:dyDescent="0.25">
      <c r="A420" s="3"/>
      <c r="B420" s="3"/>
      <c r="C420" s="3"/>
      <c r="D420" s="3"/>
      <c r="E420" s="3"/>
      <c r="F420" s="3"/>
      <c r="G420" s="3"/>
      <c r="H420" s="3"/>
      <c r="I420" s="3"/>
      <c r="J420" s="3"/>
      <c r="K420" s="3"/>
      <c r="L420" s="3"/>
      <c r="M420" s="3"/>
      <c r="N420" s="3"/>
      <c r="O420" s="3"/>
      <c r="P420" s="3"/>
      <c r="Q420" s="3"/>
      <c r="R420" s="3"/>
      <c r="S420" s="3"/>
      <c r="T420" s="3"/>
      <c r="U420" s="3"/>
      <c r="V420" s="3"/>
    </row>
    <row r="421" ht="12.75" customHeight="1" spans="1:22" x14ac:dyDescent="0.25">
      <c r="A421" s="3"/>
      <c r="B421" s="3"/>
      <c r="C421" s="3"/>
      <c r="D421" s="3"/>
      <c r="E421" s="3"/>
      <c r="F421" s="3"/>
      <c r="G421" s="3"/>
      <c r="H421" s="3"/>
      <c r="I421" s="3"/>
      <c r="J421" s="3"/>
      <c r="K421" s="3"/>
      <c r="L421" s="3"/>
      <c r="M421" s="3"/>
      <c r="N421" s="3"/>
      <c r="O421" s="3"/>
      <c r="P421" s="3"/>
      <c r="Q421" s="3"/>
      <c r="R421" s="3"/>
      <c r="S421" s="3"/>
      <c r="T421" s="3"/>
      <c r="U421" s="3"/>
      <c r="V421" s="3"/>
    </row>
    <row r="422" ht="12.75" customHeight="1" spans="1:22" x14ac:dyDescent="0.25">
      <c r="A422" s="3"/>
      <c r="B422" s="3"/>
      <c r="C422" s="3"/>
      <c r="D422" s="3"/>
      <c r="E422" s="3"/>
      <c r="F422" s="3"/>
      <c r="G422" s="3"/>
      <c r="H422" s="3"/>
      <c r="I422" s="3"/>
      <c r="J422" s="3"/>
      <c r="K422" s="3"/>
      <c r="L422" s="3"/>
      <c r="M422" s="3"/>
      <c r="N422" s="3"/>
      <c r="O422" s="3"/>
      <c r="P422" s="3"/>
      <c r="Q422" s="3"/>
      <c r="R422" s="3"/>
      <c r="S422" s="3"/>
      <c r="T422" s="3"/>
      <c r="U422" s="3"/>
      <c r="V422" s="3"/>
    </row>
    <row r="423" ht="12.75" customHeight="1" spans="1:22" x14ac:dyDescent="0.25">
      <c r="A423" s="3"/>
      <c r="B423" s="3"/>
      <c r="C423" s="3"/>
      <c r="D423" s="3"/>
      <c r="E423" s="3"/>
      <c r="F423" s="3"/>
      <c r="G423" s="3"/>
      <c r="H423" s="3"/>
      <c r="I423" s="3"/>
      <c r="J423" s="3"/>
      <c r="K423" s="3"/>
      <c r="L423" s="3"/>
      <c r="M423" s="3"/>
      <c r="N423" s="3"/>
      <c r="O423" s="3"/>
      <c r="P423" s="3"/>
      <c r="Q423" s="3"/>
      <c r="R423" s="3"/>
      <c r="S423" s="3"/>
      <c r="T423" s="3"/>
      <c r="U423" s="3"/>
      <c r="V423" s="3"/>
    </row>
    <row r="424" ht="12.75" customHeight="1" spans="1:22" x14ac:dyDescent="0.25">
      <c r="A424" s="3"/>
      <c r="B424" s="3"/>
      <c r="C424" s="3"/>
      <c r="D424" s="3"/>
      <c r="E424" s="3"/>
      <c r="F424" s="3"/>
      <c r="G424" s="3"/>
      <c r="H424" s="3"/>
      <c r="I424" s="3"/>
      <c r="J424" s="3"/>
      <c r="K424" s="3"/>
      <c r="L424" s="3"/>
      <c r="M424" s="3"/>
      <c r="N424" s="3"/>
      <c r="O424" s="3"/>
      <c r="P424" s="3"/>
      <c r="Q424" s="3"/>
      <c r="R424" s="3"/>
      <c r="S424" s="3"/>
      <c r="T424" s="3"/>
      <c r="U424" s="3"/>
      <c r="V424" s="3"/>
    </row>
    <row r="425" ht="12.75" customHeight="1" spans="1:22" x14ac:dyDescent="0.25">
      <c r="A425" s="3"/>
      <c r="B425" s="3"/>
      <c r="C425" s="3"/>
      <c r="D425" s="3"/>
      <c r="E425" s="3"/>
      <c r="F425" s="3"/>
      <c r="G425" s="3"/>
      <c r="H425" s="3"/>
      <c r="I425" s="3"/>
      <c r="J425" s="3"/>
      <c r="K425" s="3"/>
      <c r="L425" s="3"/>
      <c r="M425" s="3"/>
      <c r="N425" s="3"/>
      <c r="O425" s="3"/>
      <c r="P425" s="3"/>
      <c r="Q425" s="3"/>
      <c r="R425" s="3"/>
      <c r="S425" s="3"/>
      <c r="T425" s="3"/>
      <c r="U425" s="3"/>
      <c r="V425" s="3"/>
    </row>
    <row r="426" ht="12.75" customHeight="1" spans="1:22" x14ac:dyDescent="0.25">
      <c r="A426" s="3"/>
      <c r="B426" s="3"/>
      <c r="C426" s="3"/>
      <c r="D426" s="3"/>
      <c r="E426" s="3"/>
      <c r="F426" s="3"/>
      <c r="G426" s="3"/>
      <c r="H426" s="3"/>
      <c r="I426" s="3"/>
      <c r="J426" s="3"/>
      <c r="K426" s="3"/>
      <c r="L426" s="3"/>
      <c r="M426" s="3"/>
      <c r="N426" s="3"/>
      <c r="O426" s="3"/>
      <c r="P426" s="3"/>
      <c r="Q426" s="3"/>
      <c r="R426" s="3"/>
      <c r="S426" s="3"/>
      <c r="T426" s="3"/>
      <c r="U426" s="3"/>
      <c r="V426" s="3"/>
    </row>
    <row r="427" ht="12.75" customHeight="1" spans="1:22" x14ac:dyDescent="0.25">
      <c r="A427" s="3"/>
      <c r="B427" s="3"/>
      <c r="C427" s="3"/>
      <c r="D427" s="3"/>
      <c r="E427" s="3"/>
      <c r="F427" s="3"/>
      <c r="G427" s="3"/>
      <c r="H427" s="3"/>
      <c r="I427" s="3"/>
      <c r="J427" s="3"/>
      <c r="K427" s="3"/>
      <c r="L427" s="3"/>
      <c r="M427" s="3"/>
      <c r="N427" s="3"/>
      <c r="O427" s="3"/>
      <c r="P427" s="3"/>
      <c r="Q427" s="3"/>
      <c r="R427" s="3"/>
      <c r="S427" s="3"/>
      <c r="T427" s="3"/>
      <c r="U427" s="3"/>
      <c r="V427" s="3"/>
    </row>
    <row r="428" ht="12.75" customHeight="1" spans="1:22" x14ac:dyDescent="0.25">
      <c r="A428" s="3"/>
      <c r="B428" s="3"/>
      <c r="C428" s="3"/>
      <c r="D428" s="3"/>
      <c r="E428" s="3"/>
      <c r="F428" s="3"/>
      <c r="G428" s="3"/>
      <c r="H428" s="3"/>
      <c r="I428" s="3"/>
      <c r="J428" s="3"/>
      <c r="K428" s="3"/>
      <c r="L428" s="3"/>
      <c r="M428" s="3"/>
      <c r="N428" s="3"/>
      <c r="O428" s="3"/>
      <c r="P428" s="3"/>
      <c r="Q428" s="3"/>
      <c r="R428" s="3"/>
      <c r="S428" s="3"/>
      <c r="T428" s="3"/>
      <c r="U428" s="3"/>
      <c r="V428" s="3"/>
    </row>
    <row r="429" ht="12.75" customHeight="1" spans="1:22" x14ac:dyDescent="0.25">
      <c r="A429" s="3"/>
      <c r="B429" s="3"/>
      <c r="C429" s="3"/>
      <c r="D429" s="3"/>
      <c r="E429" s="3"/>
      <c r="F429" s="3"/>
      <c r="G429" s="3"/>
      <c r="H429" s="3"/>
      <c r="I429" s="3"/>
      <c r="J429" s="3"/>
      <c r="K429" s="3"/>
      <c r="L429" s="3"/>
      <c r="M429" s="3"/>
      <c r="N429" s="3"/>
      <c r="O429" s="3"/>
      <c r="P429" s="3"/>
      <c r="Q429" s="3"/>
      <c r="R429" s="3"/>
      <c r="S429" s="3"/>
      <c r="T429" s="3"/>
      <c r="U429" s="3"/>
      <c r="V429" s="3"/>
    </row>
    <row r="430" ht="12.75" customHeight="1" spans="1:22" x14ac:dyDescent="0.25">
      <c r="A430" s="3"/>
      <c r="B430" s="3"/>
      <c r="C430" s="3"/>
      <c r="D430" s="3"/>
      <c r="E430" s="3"/>
      <c r="F430" s="3"/>
      <c r="G430" s="3"/>
      <c r="H430" s="3"/>
      <c r="I430" s="3"/>
      <c r="J430" s="3"/>
      <c r="K430" s="3"/>
      <c r="L430" s="3"/>
      <c r="M430" s="3"/>
      <c r="N430" s="3"/>
      <c r="O430" s="3"/>
      <c r="P430" s="3"/>
      <c r="Q430" s="3"/>
      <c r="R430" s="3"/>
      <c r="S430" s="3"/>
      <c r="T430" s="3"/>
      <c r="U430" s="3"/>
      <c r="V430" s="3"/>
    </row>
    <row r="431" ht="12.75" customHeight="1" spans="1:22" x14ac:dyDescent="0.25">
      <c r="A431" s="3"/>
      <c r="B431" s="3"/>
      <c r="C431" s="3"/>
      <c r="D431" s="3"/>
      <c r="E431" s="3"/>
      <c r="F431" s="3"/>
      <c r="G431" s="3"/>
      <c r="H431" s="3"/>
      <c r="I431" s="3"/>
      <c r="J431" s="3"/>
      <c r="K431" s="3"/>
      <c r="L431" s="3"/>
      <c r="M431" s="3"/>
      <c r="N431" s="3"/>
      <c r="O431" s="3"/>
      <c r="P431" s="3"/>
      <c r="Q431" s="3"/>
      <c r="R431" s="3"/>
      <c r="S431" s="3"/>
      <c r="T431" s="3"/>
      <c r="U431" s="3"/>
      <c r="V431" s="3"/>
    </row>
    <row r="432" ht="12.75" customHeight="1" spans="1:22" x14ac:dyDescent="0.25">
      <c r="A432" s="3"/>
      <c r="B432" s="3"/>
      <c r="C432" s="3"/>
      <c r="D432" s="3"/>
      <c r="E432" s="3"/>
      <c r="F432" s="3"/>
      <c r="G432" s="3"/>
      <c r="H432" s="3"/>
      <c r="I432" s="3"/>
      <c r="J432" s="3"/>
      <c r="K432" s="3"/>
      <c r="L432" s="3"/>
      <c r="M432" s="3"/>
      <c r="N432" s="3"/>
      <c r="O432" s="3"/>
      <c r="P432" s="3"/>
      <c r="Q432" s="3"/>
      <c r="R432" s="3"/>
      <c r="S432" s="3"/>
      <c r="T432" s="3"/>
      <c r="U432" s="3"/>
      <c r="V432" s="3"/>
    </row>
    <row r="433" ht="12.75" customHeight="1" spans="1:22" x14ac:dyDescent="0.25">
      <c r="A433" s="3"/>
      <c r="B433" s="3"/>
      <c r="C433" s="3"/>
      <c r="D433" s="3"/>
      <c r="E433" s="3"/>
      <c r="F433" s="3"/>
      <c r="G433" s="3"/>
      <c r="H433" s="3"/>
      <c r="I433" s="3"/>
      <c r="J433" s="3"/>
      <c r="K433" s="3"/>
      <c r="L433" s="3"/>
      <c r="M433" s="3"/>
      <c r="N433" s="3"/>
      <c r="O433" s="3"/>
      <c r="P433" s="3"/>
      <c r="Q433" s="3"/>
      <c r="R433" s="3"/>
      <c r="S433" s="3"/>
      <c r="T433" s="3"/>
      <c r="U433" s="3"/>
      <c r="V433" s="3"/>
    </row>
    <row r="434" ht="12.75" customHeight="1" spans="1:22" x14ac:dyDescent="0.25">
      <c r="A434" s="3"/>
      <c r="B434" s="3"/>
      <c r="C434" s="3"/>
      <c r="D434" s="3"/>
      <c r="E434" s="3"/>
      <c r="F434" s="3"/>
      <c r="G434" s="3"/>
      <c r="H434" s="3"/>
      <c r="I434" s="3"/>
      <c r="J434" s="3"/>
      <c r="K434" s="3"/>
      <c r="L434" s="3"/>
      <c r="M434" s="3"/>
      <c r="N434" s="3"/>
      <c r="O434" s="3"/>
      <c r="P434" s="3"/>
      <c r="Q434" s="3"/>
      <c r="R434" s="3"/>
      <c r="S434" s="3"/>
      <c r="T434" s="3"/>
      <c r="U434" s="3"/>
      <c r="V434" s="3"/>
    </row>
    <row r="435" ht="12.75" customHeight="1" spans="1:22" x14ac:dyDescent="0.25">
      <c r="A435" s="3"/>
      <c r="B435" s="3"/>
      <c r="C435" s="3"/>
      <c r="D435" s="3"/>
      <c r="E435" s="3"/>
      <c r="F435" s="3"/>
      <c r="G435" s="3"/>
      <c r="H435" s="3"/>
      <c r="I435" s="3"/>
      <c r="J435" s="3"/>
      <c r="K435" s="3"/>
      <c r="L435" s="3"/>
      <c r="M435" s="3"/>
      <c r="N435" s="3"/>
      <c r="O435" s="3"/>
      <c r="P435" s="3"/>
      <c r="Q435" s="3"/>
      <c r="R435" s="3"/>
      <c r="S435" s="3"/>
      <c r="T435" s="3"/>
      <c r="U435" s="3"/>
      <c r="V435" s="3"/>
    </row>
    <row r="436" ht="12.75" customHeight="1" spans="1:22" x14ac:dyDescent="0.25">
      <c r="A436" s="3"/>
      <c r="B436" s="3"/>
      <c r="C436" s="3"/>
      <c r="D436" s="3"/>
      <c r="E436" s="3"/>
      <c r="F436" s="3"/>
      <c r="G436" s="3"/>
      <c r="H436" s="3"/>
      <c r="I436" s="3"/>
      <c r="J436" s="3"/>
      <c r="K436" s="3"/>
      <c r="L436" s="3"/>
      <c r="M436" s="3"/>
      <c r="N436" s="3"/>
      <c r="O436" s="3"/>
      <c r="P436" s="3"/>
      <c r="Q436" s="3"/>
      <c r="R436" s="3"/>
      <c r="S436" s="3"/>
      <c r="T436" s="3"/>
      <c r="U436" s="3"/>
      <c r="V436" s="3"/>
    </row>
    <row r="437" ht="12.75" customHeight="1" spans="1:22" x14ac:dyDescent="0.25">
      <c r="A437" s="3"/>
      <c r="B437" s="3"/>
      <c r="C437" s="3"/>
      <c r="D437" s="3"/>
      <c r="E437" s="3"/>
      <c r="F437" s="3"/>
      <c r="G437" s="3"/>
      <c r="H437" s="3"/>
      <c r="I437" s="3"/>
      <c r="J437" s="3"/>
      <c r="K437" s="3"/>
      <c r="L437" s="3"/>
      <c r="M437" s="3"/>
      <c r="N437" s="3"/>
      <c r="O437" s="3"/>
      <c r="P437" s="3"/>
      <c r="Q437" s="3"/>
      <c r="R437" s="3"/>
      <c r="S437" s="3"/>
      <c r="T437" s="3"/>
      <c r="U437" s="3"/>
      <c r="V437" s="3"/>
    </row>
    <row r="438" ht="12.75" customHeight="1" spans="1:22" x14ac:dyDescent="0.25">
      <c r="A438" s="3"/>
      <c r="B438" s="3"/>
      <c r="C438" s="3"/>
      <c r="D438" s="3"/>
      <c r="E438" s="3"/>
      <c r="F438" s="3"/>
      <c r="G438" s="3"/>
      <c r="H438" s="3"/>
      <c r="I438" s="3"/>
      <c r="J438" s="3"/>
      <c r="K438" s="3"/>
      <c r="L438" s="3"/>
      <c r="M438" s="3"/>
      <c r="N438" s="3"/>
      <c r="O438" s="3"/>
      <c r="P438" s="3"/>
      <c r="Q438" s="3"/>
      <c r="R438" s="3"/>
      <c r="S438" s="3"/>
      <c r="T438" s="3"/>
      <c r="U438" s="3"/>
      <c r="V438" s="3"/>
    </row>
    <row r="439" ht="12.75" customHeight="1" spans="1:22" x14ac:dyDescent="0.25">
      <c r="A439" s="3"/>
      <c r="B439" s="3"/>
      <c r="C439" s="3"/>
      <c r="D439" s="3"/>
      <c r="E439" s="3"/>
      <c r="F439" s="3"/>
      <c r="G439" s="3"/>
      <c r="H439" s="3"/>
      <c r="I439" s="3"/>
      <c r="J439" s="3"/>
      <c r="K439" s="3"/>
      <c r="L439" s="3"/>
      <c r="M439" s="3"/>
      <c r="N439" s="3"/>
      <c r="O439" s="3"/>
      <c r="P439" s="3"/>
      <c r="Q439" s="3"/>
      <c r="R439" s="3"/>
      <c r="S439" s="3"/>
      <c r="T439" s="3"/>
      <c r="U439" s="3"/>
      <c r="V439" s="3"/>
    </row>
    <row r="440" ht="12.75" customHeight="1" spans="1:22" x14ac:dyDescent="0.25">
      <c r="A440" s="3"/>
      <c r="B440" s="3"/>
      <c r="C440" s="3"/>
      <c r="D440" s="3"/>
      <c r="E440" s="3"/>
      <c r="F440" s="3"/>
      <c r="G440" s="3"/>
      <c r="H440" s="3"/>
      <c r="I440" s="3"/>
      <c r="J440" s="3"/>
      <c r="K440" s="3"/>
      <c r="L440" s="3"/>
      <c r="M440" s="3"/>
      <c r="N440" s="3"/>
      <c r="O440" s="3"/>
      <c r="P440" s="3"/>
      <c r="Q440" s="3"/>
      <c r="R440" s="3"/>
      <c r="S440" s="3"/>
      <c r="T440" s="3"/>
      <c r="U440" s="3"/>
      <c r="V440" s="3"/>
    </row>
    <row r="441" ht="12.75" customHeight="1" spans="1:22" x14ac:dyDescent="0.25">
      <c r="A441" s="3"/>
      <c r="B441" s="3"/>
      <c r="C441" s="3"/>
      <c r="D441" s="3"/>
      <c r="E441" s="3"/>
      <c r="F441" s="3"/>
      <c r="G441" s="3"/>
      <c r="H441" s="3"/>
      <c r="I441" s="3"/>
      <c r="J441" s="3"/>
      <c r="K441" s="3"/>
      <c r="L441" s="3"/>
      <c r="M441" s="3"/>
      <c r="N441" s="3"/>
      <c r="O441" s="3"/>
      <c r="P441" s="3"/>
      <c r="Q441" s="3"/>
      <c r="R441" s="3"/>
      <c r="S441" s="3"/>
      <c r="T441" s="3"/>
      <c r="U441" s="3"/>
      <c r="V441" s="3"/>
    </row>
    <row r="442" ht="12.75" customHeight="1" spans="1:22" x14ac:dyDescent="0.25">
      <c r="A442" s="3"/>
      <c r="B442" s="3"/>
      <c r="C442" s="3"/>
      <c r="D442" s="3"/>
      <c r="E442" s="3"/>
      <c r="F442" s="3"/>
      <c r="G442" s="3"/>
      <c r="H442" s="3"/>
      <c r="I442" s="3"/>
      <c r="J442" s="3"/>
      <c r="K442" s="3"/>
      <c r="L442" s="3"/>
      <c r="M442" s="3"/>
      <c r="N442" s="3"/>
      <c r="O442" s="3"/>
      <c r="P442" s="3"/>
      <c r="Q442" s="3"/>
      <c r="R442" s="3"/>
      <c r="S442" s="3"/>
      <c r="T442" s="3"/>
      <c r="U442" s="3"/>
      <c r="V442" s="3"/>
    </row>
    <row r="443" ht="12.75" customHeight="1" spans="1:22" x14ac:dyDescent="0.25">
      <c r="A443" s="3"/>
      <c r="B443" s="3"/>
      <c r="C443" s="3"/>
      <c r="D443" s="3"/>
      <c r="E443" s="3"/>
      <c r="F443" s="3"/>
      <c r="G443" s="3"/>
      <c r="H443" s="3"/>
      <c r="I443" s="3"/>
      <c r="J443" s="3"/>
      <c r="K443" s="3"/>
      <c r="L443" s="3"/>
      <c r="M443" s="3"/>
      <c r="N443" s="3"/>
      <c r="O443" s="3"/>
      <c r="P443" s="3"/>
      <c r="Q443" s="3"/>
      <c r="R443" s="3"/>
      <c r="S443" s="3"/>
      <c r="T443" s="3"/>
      <c r="U443" s="3"/>
      <c r="V443" s="3"/>
    </row>
    <row r="444" ht="12.75" customHeight="1" spans="1:22" x14ac:dyDescent="0.25">
      <c r="A444" s="3"/>
      <c r="B444" s="3"/>
      <c r="C444" s="3"/>
      <c r="D444" s="3"/>
      <c r="E444" s="3"/>
      <c r="F444" s="3"/>
      <c r="G444" s="3"/>
      <c r="H444" s="3"/>
      <c r="I444" s="3"/>
      <c r="J444" s="3"/>
      <c r="K444" s="3"/>
      <c r="L444" s="3"/>
      <c r="M444" s="3"/>
      <c r="N444" s="3"/>
      <c r="O444" s="3"/>
      <c r="P444" s="3"/>
      <c r="Q444" s="3"/>
      <c r="R444" s="3"/>
      <c r="S444" s="3"/>
      <c r="T444" s="3"/>
      <c r="U444" s="3"/>
      <c r="V444" s="3"/>
    </row>
    <row r="445" ht="12.75" customHeight="1" spans="1:22" x14ac:dyDescent="0.25">
      <c r="A445" s="3"/>
      <c r="B445" s="3"/>
      <c r="C445" s="3"/>
      <c r="D445" s="3"/>
      <c r="E445" s="3"/>
      <c r="F445" s="3"/>
      <c r="G445" s="3"/>
      <c r="H445" s="3"/>
      <c r="I445" s="3"/>
      <c r="J445" s="3"/>
      <c r="K445" s="3"/>
      <c r="L445" s="3"/>
      <c r="M445" s="3"/>
      <c r="N445" s="3"/>
      <c r="O445" s="3"/>
      <c r="P445" s="3"/>
      <c r="Q445" s="3"/>
      <c r="R445" s="3"/>
      <c r="S445" s="3"/>
      <c r="T445" s="3"/>
      <c r="U445" s="3"/>
      <c r="V445" s="3"/>
    </row>
    <row r="446" ht="12.75" customHeight="1" spans="1:22" x14ac:dyDescent="0.25">
      <c r="A446" s="3"/>
      <c r="B446" s="3"/>
      <c r="C446" s="3"/>
      <c r="D446" s="3"/>
      <c r="E446" s="3"/>
      <c r="F446" s="3"/>
      <c r="G446" s="3"/>
      <c r="H446" s="3"/>
      <c r="I446" s="3"/>
      <c r="J446" s="3"/>
      <c r="K446" s="3"/>
      <c r="L446" s="3"/>
      <c r="M446" s="3"/>
      <c r="N446" s="3"/>
      <c r="O446" s="3"/>
      <c r="P446" s="3"/>
      <c r="Q446" s="3"/>
      <c r="R446" s="3"/>
      <c r="S446" s="3"/>
      <c r="T446" s="3"/>
      <c r="U446" s="3"/>
      <c r="V446" s="3"/>
    </row>
    <row r="447" ht="12.75" customHeight="1" spans="1:22" x14ac:dyDescent="0.25">
      <c r="A447" s="3"/>
      <c r="B447" s="3"/>
      <c r="C447" s="3"/>
      <c r="D447" s="3"/>
      <c r="E447" s="3"/>
      <c r="F447" s="3"/>
      <c r="G447" s="3"/>
      <c r="H447" s="3"/>
      <c r="I447" s="3"/>
      <c r="J447" s="3"/>
      <c r="K447" s="3"/>
      <c r="L447" s="3"/>
      <c r="M447" s="3"/>
      <c r="N447" s="3"/>
      <c r="O447" s="3"/>
      <c r="P447" s="3"/>
      <c r="Q447" s="3"/>
      <c r="R447" s="3"/>
      <c r="S447" s="3"/>
      <c r="T447" s="3"/>
      <c r="U447" s="3"/>
      <c r="V447" s="3"/>
    </row>
    <row r="448" ht="12.75" customHeight="1" spans="1:22" x14ac:dyDescent="0.25">
      <c r="A448" s="3"/>
      <c r="B448" s="3"/>
      <c r="C448" s="3"/>
      <c r="D448" s="3"/>
      <c r="E448" s="3"/>
      <c r="F448" s="3"/>
      <c r="G448" s="3"/>
      <c r="H448" s="3"/>
      <c r="I448" s="3"/>
      <c r="J448" s="3"/>
      <c r="K448" s="3"/>
      <c r="L448" s="3"/>
      <c r="M448" s="3"/>
      <c r="N448" s="3"/>
      <c r="O448" s="3"/>
      <c r="P448" s="3"/>
      <c r="Q448" s="3"/>
      <c r="R448" s="3"/>
      <c r="S448" s="3"/>
      <c r="T448" s="3"/>
      <c r="U448" s="3"/>
      <c r="V448" s="3"/>
    </row>
    <row r="449" ht="12.75" customHeight="1" spans="1:22" x14ac:dyDescent="0.25">
      <c r="A449" s="3"/>
      <c r="B449" s="3"/>
      <c r="C449" s="3"/>
      <c r="D449" s="3"/>
      <c r="E449" s="3"/>
      <c r="F449" s="3"/>
      <c r="G449" s="3"/>
      <c r="H449" s="3"/>
      <c r="I449" s="3"/>
      <c r="J449" s="3"/>
      <c r="K449" s="3"/>
      <c r="L449" s="3"/>
      <c r="M449" s="3"/>
      <c r="N449" s="3"/>
      <c r="O449" s="3"/>
      <c r="P449" s="3"/>
      <c r="Q449" s="3"/>
      <c r="R449" s="3"/>
      <c r="S449" s="3"/>
      <c r="T449" s="3"/>
      <c r="U449" s="3"/>
      <c r="V449" s="3"/>
    </row>
    <row r="450" ht="12.75" customHeight="1" spans="1:22" x14ac:dyDescent="0.25">
      <c r="A450" s="3"/>
      <c r="B450" s="3"/>
      <c r="C450" s="3"/>
      <c r="D450" s="3"/>
      <c r="E450" s="3"/>
      <c r="F450" s="3"/>
      <c r="G450" s="3"/>
      <c r="H450" s="3"/>
      <c r="I450" s="3"/>
      <c r="J450" s="3"/>
      <c r="K450" s="3"/>
      <c r="L450" s="3"/>
      <c r="M450" s="3"/>
      <c r="N450" s="3"/>
      <c r="O450" s="3"/>
      <c r="P450" s="3"/>
      <c r="Q450" s="3"/>
      <c r="R450" s="3"/>
      <c r="S450" s="3"/>
      <c r="T450" s="3"/>
      <c r="U450" s="3"/>
      <c r="V450" s="3"/>
    </row>
    <row r="451" ht="12.75" customHeight="1" spans="1:22" x14ac:dyDescent="0.25">
      <c r="A451" s="3"/>
      <c r="B451" s="3"/>
      <c r="C451" s="3"/>
      <c r="D451" s="3"/>
      <c r="E451" s="3"/>
      <c r="F451" s="3"/>
      <c r="G451" s="3"/>
      <c r="H451" s="3"/>
      <c r="I451" s="3"/>
      <c r="J451" s="3"/>
      <c r="K451" s="3"/>
      <c r="L451" s="3"/>
      <c r="M451" s="3"/>
      <c r="N451" s="3"/>
      <c r="O451" s="3"/>
      <c r="P451" s="3"/>
      <c r="Q451" s="3"/>
      <c r="R451" s="3"/>
      <c r="S451" s="3"/>
      <c r="T451" s="3"/>
      <c r="U451" s="3"/>
      <c r="V451" s="3"/>
    </row>
    <row r="452" ht="12.75" customHeight="1" spans="1:22" x14ac:dyDescent="0.25">
      <c r="A452" s="3"/>
      <c r="B452" s="3"/>
      <c r="C452" s="3"/>
      <c r="D452" s="3"/>
      <c r="E452" s="3"/>
      <c r="F452" s="3"/>
      <c r="G452" s="3"/>
      <c r="H452" s="3"/>
      <c r="I452" s="3"/>
      <c r="J452" s="3"/>
      <c r="K452" s="3"/>
      <c r="L452" s="3"/>
      <c r="M452" s="3"/>
      <c r="N452" s="3"/>
      <c r="O452" s="3"/>
      <c r="P452" s="3"/>
      <c r="Q452" s="3"/>
      <c r="R452" s="3"/>
      <c r="S452" s="3"/>
      <c r="T452" s="3"/>
      <c r="U452" s="3"/>
      <c r="V452" s="3"/>
    </row>
    <row r="453" ht="12.75" customHeight="1" spans="1:22" x14ac:dyDescent="0.25">
      <c r="A453" s="3"/>
      <c r="B453" s="3"/>
      <c r="C453" s="3"/>
      <c r="D453" s="3"/>
      <c r="E453" s="3"/>
      <c r="F453" s="3"/>
      <c r="G453" s="3"/>
      <c r="H453" s="3"/>
      <c r="I453" s="3"/>
      <c r="J453" s="3"/>
      <c r="K453" s="3"/>
      <c r="L453" s="3"/>
      <c r="M453" s="3"/>
      <c r="N453" s="3"/>
      <c r="O453" s="3"/>
      <c r="P453" s="3"/>
      <c r="Q453" s="3"/>
      <c r="R453" s="3"/>
      <c r="S453" s="3"/>
      <c r="T453" s="3"/>
      <c r="U453" s="3"/>
      <c r="V453" s="3"/>
    </row>
    <row r="454" ht="12.75" customHeight="1" spans="1:22" x14ac:dyDescent="0.25">
      <c r="A454" s="3"/>
      <c r="B454" s="3"/>
      <c r="C454" s="3"/>
      <c r="D454" s="3"/>
      <c r="E454" s="3"/>
      <c r="F454" s="3"/>
      <c r="G454" s="3"/>
      <c r="H454" s="3"/>
      <c r="I454" s="3"/>
      <c r="J454" s="3"/>
      <c r="K454" s="3"/>
      <c r="L454" s="3"/>
      <c r="M454" s="3"/>
      <c r="N454" s="3"/>
      <c r="O454" s="3"/>
      <c r="P454" s="3"/>
      <c r="Q454" s="3"/>
      <c r="R454" s="3"/>
      <c r="S454" s="3"/>
      <c r="T454" s="3"/>
      <c r="U454" s="3"/>
      <c r="V454" s="3"/>
    </row>
    <row r="455" ht="12.75" customHeight="1" spans="1:22" x14ac:dyDescent="0.25">
      <c r="A455" s="3"/>
      <c r="B455" s="3"/>
      <c r="C455" s="3"/>
      <c r="D455" s="3"/>
      <c r="E455" s="3"/>
      <c r="F455" s="3"/>
      <c r="G455" s="3"/>
      <c r="H455" s="3"/>
      <c r="I455" s="3"/>
      <c r="J455" s="3"/>
      <c r="K455" s="3"/>
      <c r="L455" s="3"/>
      <c r="M455" s="3"/>
      <c r="N455" s="3"/>
      <c r="O455" s="3"/>
      <c r="P455" s="3"/>
      <c r="Q455" s="3"/>
      <c r="R455" s="3"/>
      <c r="S455" s="3"/>
      <c r="T455" s="3"/>
      <c r="U455" s="3"/>
      <c r="V455" s="3"/>
    </row>
    <row r="456" ht="12.75" customHeight="1" spans="1:22" x14ac:dyDescent="0.25">
      <c r="A456" s="3"/>
      <c r="B456" s="3"/>
      <c r="C456" s="3"/>
      <c r="D456" s="3"/>
      <c r="E456" s="3"/>
      <c r="F456" s="3"/>
      <c r="G456" s="3"/>
      <c r="H456" s="3"/>
      <c r="I456" s="3"/>
      <c r="J456" s="3"/>
      <c r="K456" s="3"/>
      <c r="L456" s="3"/>
      <c r="M456" s="3"/>
      <c r="N456" s="3"/>
      <c r="O456" s="3"/>
      <c r="P456" s="3"/>
      <c r="Q456" s="3"/>
      <c r="R456" s="3"/>
      <c r="S456" s="3"/>
      <c r="T456" s="3"/>
      <c r="U456" s="3"/>
      <c r="V456" s="3"/>
    </row>
    <row r="457" ht="12.75" customHeight="1" spans="1:22" x14ac:dyDescent="0.25">
      <c r="A457" s="3"/>
      <c r="B457" s="3"/>
      <c r="C457" s="3"/>
      <c r="D457" s="3"/>
      <c r="E457" s="3"/>
      <c r="F457" s="3"/>
      <c r="G457" s="3"/>
      <c r="H457" s="3"/>
      <c r="I457" s="3"/>
      <c r="J457" s="3"/>
      <c r="K457" s="3"/>
      <c r="L457" s="3"/>
      <c r="M457" s="3"/>
      <c r="N457" s="3"/>
      <c r="O457" s="3"/>
      <c r="P457" s="3"/>
      <c r="Q457" s="3"/>
      <c r="R457" s="3"/>
      <c r="S457" s="3"/>
      <c r="T457" s="3"/>
      <c r="U457" s="3"/>
      <c r="V457" s="3"/>
    </row>
    <row r="458" ht="12.75" customHeight="1" spans="1:22" x14ac:dyDescent="0.25">
      <c r="A458" s="3"/>
      <c r="B458" s="3"/>
      <c r="C458" s="3"/>
      <c r="D458" s="3"/>
      <c r="E458" s="3"/>
      <c r="F458" s="3"/>
      <c r="G458" s="3"/>
      <c r="H458" s="3"/>
      <c r="I458" s="3"/>
      <c r="J458" s="3"/>
      <c r="K458" s="3"/>
      <c r="L458" s="3"/>
      <c r="M458" s="3"/>
      <c r="N458" s="3"/>
      <c r="O458" s="3"/>
      <c r="P458" s="3"/>
      <c r="Q458" s="3"/>
      <c r="R458" s="3"/>
      <c r="S458" s="3"/>
      <c r="T458" s="3"/>
      <c r="U458" s="3"/>
      <c r="V458" s="3"/>
    </row>
    <row r="459" ht="12.75" customHeight="1" spans="1:22" x14ac:dyDescent="0.25">
      <c r="A459" s="3"/>
      <c r="B459" s="3"/>
      <c r="C459" s="3"/>
      <c r="D459" s="3"/>
      <c r="E459" s="3"/>
      <c r="F459" s="3"/>
      <c r="G459" s="3"/>
      <c r="H459" s="3"/>
      <c r="I459" s="3"/>
      <c r="J459" s="3"/>
      <c r="K459" s="3"/>
      <c r="L459" s="3"/>
      <c r="M459" s="3"/>
      <c r="N459" s="3"/>
      <c r="O459" s="3"/>
      <c r="P459" s="3"/>
      <c r="Q459" s="3"/>
      <c r="R459" s="3"/>
      <c r="S459" s="3"/>
      <c r="T459" s="3"/>
      <c r="U459" s="3"/>
      <c r="V459" s="3"/>
    </row>
    <row r="460" ht="12.75" customHeight="1" spans="1:22" x14ac:dyDescent="0.25">
      <c r="A460" s="3"/>
      <c r="B460" s="3"/>
      <c r="C460" s="3"/>
      <c r="D460" s="3"/>
      <c r="E460" s="3"/>
      <c r="F460" s="3"/>
      <c r="G460" s="3"/>
      <c r="H460" s="3"/>
      <c r="I460" s="3"/>
      <c r="J460" s="3"/>
      <c r="K460" s="3"/>
      <c r="L460" s="3"/>
      <c r="M460" s="3"/>
      <c r="N460" s="3"/>
      <c r="O460" s="3"/>
      <c r="P460" s="3"/>
      <c r="Q460" s="3"/>
      <c r="R460" s="3"/>
      <c r="S460" s="3"/>
      <c r="T460" s="3"/>
      <c r="U460" s="3"/>
      <c r="V460" s="3"/>
    </row>
    <row r="461" ht="12.75" customHeight="1" spans="1:22" x14ac:dyDescent="0.25">
      <c r="A461" s="3"/>
      <c r="B461" s="3"/>
      <c r="C461" s="3"/>
      <c r="D461" s="3"/>
      <c r="E461" s="3"/>
      <c r="F461" s="3"/>
      <c r="G461" s="3"/>
      <c r="H461" s="3"/>
      <c r="I461" s="3"/>
      <c r="J461" s="3"/>
      <c r="K461" s="3"/>
      <c r="L461" s="3"/>
      <c r="M461" s="3"/>
      <c r="N461" s="3"/>
      <c r="O461" s="3"/>
      <c r="P461" s="3"/>
      <c r="Q461" s="3"/>
      <c r="R461" s="3"/>
      <c r="S461" s="3"/>
      <c r="T461" s="3"/>
      <c r="U461" s="3"/>
      <c r="V461" s="3"/>
    </row>
    <row r="462" ht="12.75" customHeight="1" spans="1:22" x14ac:dyDescent="0.25">
      <c r="A462" s="3"/>
      <c r="B462" s="3"/>
      <c r="C462" s="3"/>
      <c r="D462" s="3"/>
      <c r="E462" s="3"/>
      <c r="F462" s="3"/>
      <c r="G462" s="3"/>
      <c r="H462" s="3"/>
      <c r="I462" s="3"/>
      <c r="J462" s="3"/>
      <c r="K462" s="3"/>
      <c r="L462" s="3"/>
      <c r="M462" s="3"/>
      <c r="N462" s="3"/>
      <c r="O462" s="3"/>
      <c r="P462" s="3"/>
      <c r="Q462" s="3"/>
      <c r="R462" s="3"/>
      <c r="S462" s="3"/>
      <c r="T462" s="3"/>
      <c r="U462" s="3"/>
      <c r="V462" s="3"/>
    </row>
    <row r="463" ht="12.75" customHeight="1" spans="1:22" x14ac:dyDescent="0.25">
      <c r="A463" s="3"/>
      <c r="B463" s="3"/>
      <c r="C463" s="3"/>
      <c r="D463" s="3"/>
      <c r="E463" s="3"/>
      <c r="F463" s="3"/>
      <c r="G463" s="3"/>
      <c r="H463" s="3"/>
      <c r="I463" s="3"/>
      <c r="J463" s="3"/>
      <c r="K463" s="3"/>
      <c r="L463" s="3"/>
      <c r="M463" s="3"/>
      <c r="N463" s="3"/>
      <c r="O463" s="3"/>
      <c r="P463" s="3"/>
      <c r="Q463" s="3"/>
      <c r="R463" s="3"/>
      <c r="S463" s="3"/>
      <c r="T463" s="3"/>
      <c r="U463" s="3"/>
      <c r="V463" s="3"/>
    </row>
    <row r="464" ht="12.75" customHeight="1" spans="1:22" x14ac:dyDescent="0.25">
      <c r="A464" s="3"/>
      <c r="B464" s="3"/>
      <c r="C464" s="3"/>
      <c r="D464" s="3"/>
      <c r="E464" s="3"/>
      <c r="F464" s="3"/>
      <c r="G464" s="3"/>
      <c r="H464" s="3"/>
      <c r="I464" s="3"/>
      <c r="J464" s="3"/>
      <c r="K464" s="3"/>
      <c r="L464" s="3"/>
      <c r="M464" s="3"/>
      <c r="N464" s="3"/>
      <c r="O464" s="3"/>
      <c r="P464" s="3"/>
      <c r="Q464" s="3"/>
      <c r="R464" s="3"/>
      <c r="S464" s="3"/>
      <c r="T464" s="3"/>
      <c r="U464" s="3"/>
      <c r="V464" s="3"/>
    </row>
    <row r="465" ht="12.75" customHeight="1" spans="1:22" x14ac:dyDescent="0.25">
      <c r="A465" s="3"/>
      <c r="B465" s="3"/>
      <c r="C465" s="3"/>
      <c r="D465" s="3"/>
      <c r="E465" s="3"/>
      <c r="F465" s="3"/>
      <c r="G465" s="3"/>
      <c r="H465" s="3"/>
      <c r="I465" s="3"/>
      <c r="J465" s="3"/>
      <c r="K465" s="3"/>
      <c r="L465" s="3"/>
      <c r="M465" s="3"/>
      <c r="N465" s="3"/>
      <c r="O465" s="3"/>
      <c r="P465" s="3"/>
      <c r="Q465" s="3"/>
      <c r="R465" s="3"/>
      <c r="S465" s="3"/>
      <c r="T465" s="3"/>
      <c r="U465" s="3"/>
      <c r="V465" s="3"/>
    </row>
    <row r="466" ht="12.75" customHeight="1" spans="1:22" x14ac:dyDescent="0.25">
      <c r="A466" s="3"/>
      <c r="B466" s="3"/>
      <c r="C466" s="3"/>
      <c r="D466" s="3"/>
      <c r="E466" s="3"/>
      <c r="F466" s="3"/>
      <c r="G466" s="3"/>
      <c r="H466" s="3"/>
      <c r="I466" s="3"/>
      <c r="J466" s="3"/>
      <c r="K466" s="3"/>
      <c r="L466" s="3"/>
      <c r="M466" s="3"/>
      <c r="N466" s="3"/>
      <c r="O466" s="3"/>
      <c r="P466" s="3"/>
      <c r="Q466" s="3"/>
      <c r="R466" s="3"/>
      <c r="S466" s="3"/>
      <c r="T466" s="3"/>
      <c r="U466" s="3"/>
      <c r="V466" s="3"/>
    </row>
    <row r="467" ht="12.75" customHeight="1" spans="1:22" x14ac:dyDescent="0.25">
      <c r="A467" s="3"/>
      <c r="B467" s="3"/>
      <c r="C467" s="3"/>
      <c r="D467" s="3"/>
      <c r="E467" s="3"/>
      <c r="F467" s="3"/>
      <c r="G467" s="3"/>
      <c r="H467" s="3"/>
      <c r="I467" s="3"/>
      <c r="J467" s="3"/>
      <c r="K467" s="3"/>
      <c r="L467" s="3"/>
      <c r="M467" s="3"/>
      <c r="N467" s="3"/>
      <c r="O467" s="3"/>
      <c r="P467" s="3"/>
      <c r="Q467" s="3"/>
      <c r="R467" s="3"/>
      <c r="S467" s="3"/>
      <c r="T467" s="3"/>
      <c r="U467" s="3"/>
      <c r="V467" s="3"/>
    </row>
    <row r="468" ht="12.75" customHeight="1" spans="1:22" x14ac:dyDescent="0.25">
      <c r="A468" s="3"/>
      <c r="B468" s="3"/>
      <c r="C468" s="3"/>
      <c r="D468" s="3"/>
      <c r="E468" s="3"/>
      <c r="F468" s="3"/>
      <c r="G468" s="3"/>
      <c r="H468" s="3"/>
      <c r="I468" s="3"/>
      <c r="J468" s="3"/>
      <c r="K468" s="3"/>
      <c r="L468" s="3"/>
      <c r="M468" s="3"/>
      <c r="N468" s="3"/>
      <c r="O468" s="3"/>
      <c r="P468" s="3"/>
      <c r="Q468" s="3"/>
      <c r="R468" s="3"/>
      <c r="S468" s="3"/>
      <c r="T468" s="3"/>
      <c r="U468" s="3"/>
      <c r="V468" s="3"/>
    </row>
    <row r="469" ht="12.75" customHeight="1" spans="1:22" x14ac:dyDescent="0.25">
      <c r="A469" s="3"/>
      <c r="B469" s="3"/>
      <c r="C469" s="3"/>
      <c r="D469" s="3"/>
      <c r="E469" s="3"/>
      <c r="F469" s="3"/>
      <c r="G469" s="3"/>
      <c r="H469" s="3"/>
      <c r="I469" s="3"/>
      <c r="J469" s="3"/>
      <c r="K469" s="3"/>
      <c r="L469" s="3"/>
      <c r="M469" s="3"/>
      <c r="N469" s="3"/>
      <c r="O469" s="3"/>
      <c r="P469" s="3"/>
      <c r="Q469" s="3"/>
      <c r="R469" s="3"/>
      <c r="S469" s="3"/>
      <c r="T469" s="3"/>
      <c r="U469" s="3"/>
      <c r="V469" s="3"/>
    </row>
    <row r="470" ht="12.75" customHeight="1" spans="1:22" x14ac:dyDescent="0.25">
      <c r="A470" s="3"/>
      <c r="B470" s="3"/>
      <c r="C470" s="3"/>
      <c r="D470" s="3"/>
      <c r="E470" s="3"/>
      <c r="F470" s="3"/>
      <c r="G470" s="3"/>
      <c r="H470" s="3"/>
      <c r="I470" s="3"/>
      <c r="J470" s="3"/>
      <c r="K470" s="3"/>
      <c r="L470" s="3"/>
      <c r="M470" s="3"/>
      <c r="N470" s="3"/>
      <c r="O470" s="3"/>
      <c r="P470" s="3"/>
      <c r="Q470" s="3"/>
      <c r="R470" s="3"/>
      <c r="S470" s="3"/>
      <c r="T470" s="3"/>
      <c r="U470" s="3"/>
      <c r="V470" s="3"/>
    </row>
    <row r="471" ht="12.75" customHeight="1" spans="1:22" x14ac:dyDescent="0.25">
      <c r="A471" s="3"/>
      <c r="B471" s="3"/>
      <c r="C471" s="3"/>
      <c r="D471" s="3"/>
      <c r="E471" s="3"/>
      <c r="F471" s="3"/>
      <c r="G471" s="3"/>
      <c r="H471" s="3"/>
      <c r="I471" s="3"/>
      <c r="J471" s="3"/>
      <c r="K471" s="3"/>
      <c r="L471" s="3"/>
      <c r="M471" s="3"/>
      <c r="N471" s="3"/>
      <c r="O471" s="3"/>
      <c r="P471" s="3"/>
      <c r="Q471" s="3"/>
      <c r="R471" s="3"/>
      <c r="S471" s="3"/>
      <c r="T471" s="3"/>
      <c r="U471" s="3"/>
      <c r="V471" s="3"/>
    </row>
    <row r="472" ht="12.75" customHeight="1" spans="1:22" x14ac:dyDescent="0.25">
      <c r="A472" s="3"/>
      <c r="B472" s="3"/>
      <c r="C472" s="3"/>
      <c r="D472" s="3"/>
      <c r="E472" s="3"/>
      <c r="F472" s="3"/>
      <c r="G472" s="3"/>
      <c r="H472" s="3"/>
      <c r="I472" s="3"/>
      <c r="J472" s="3"/>
      <c r="K472" s="3"/>
      <c r="L472" s="3"/>
      <c r="M472" s="3"/>
      <c r="N472" s="3"/>
      <c r="O472" s="3"/>
      <c r="P472" s="3"/>
      <c r="Q472" s="3"/>
      <c r="R472" s="3"/>
      <c r="S472" s="3"/>
      <c r="T472" s="3"/>
      <c r="U472" s="3"/>
      <c r="V472" s="3"/>
    </row>
    <row r="473" ht="12.75" customHeight="1" spans="1:22" x14ac:dyDescent="0.25">
      <c r="A473" s="3"/>
      <c r="B473" s="3"/>
      <c r="C473" s="3"/>
      <c r="D473" s="3"/>
      <c r="E473" s="3"/>
      <c r="F473" s="3"/>
      <c r="G473" s="3"/>
      <c r="H473" s="3"/>
      <c r="I473" s="3"/>
      <c r="J473" s="3"/>
      <c r="K473" s="3"/>
      <c r="L473" s="3"/>
      <c r="M473" s="3"/>
      <c r="N473" s="3"/>
      <c r="O473" s="3"/>
      <c r="P473" s="3"/>
      <c r="Q473" s="3"/>
      <c r="R473" s="3"/>
      <c r="S473" s="3"/>
      <c r="T473" s="3"/>
      <c r="U473" s="3"/>
      <c r="V473" s="3"/>
    </row>
    <row r="474" ht="12.75" customHeight="1" spans="1:22" x14ac:dyDescent="0.25">
      <c r="A474" s="3"/>
      <c r="B474" s="3"/>
      <c r="C474" s="3"/>
      <c r="D474" s="3"/>
      <c r="E474" s="3"/>
      <c r="F474" s="3"/>
      <c r="G474" s="3"/>
      <c r="H474" s="3"/>
      <c r="I474" s="3"/>
      <c r="J474" s="3"/>
      <c r="K474" s="3"/>
      <c r="L474" s="3"/>
      <c r="M474" s="3"/>
      <c r="N474" s="3"/>
      <c r="O474" s="3"/>
      <c r="P474" s="3"/>
      <c r="Q474" s="3"/>
      <c r="R474" s="3"/>
      <c r="S474" s="3"/>
      <c r="T474" s="3"/>
      <c r="U474" s="3"/>
      <c r="V474" s="3"/>
    </row>
    <row r="475" ht="12.75" customHeight="1" spans="1:22" x14ac:dyDescent="0.25">
      <c r="A475" s="3"/>
      <c r="B475" s="3"/>
      <c r="C475" s="3"/>
      <c r="D475" s="3"/>
      <c r="E475" s="3"/>
      <c r="F475" s="3"/>
      <c r="G475" s="3"/>
      <c r="H475" s="3"/>
      <c r="I475" s="3"/>
      <c r="J475" s="3"/>
      <c r="K475" s="3"/>
      <c r="L475" s="3"/>
      <c r="M475" s="3"/>
      <c r="N475" s="3"/>
      <c r="O475" s="3"/>
      <c r="P475" s="3"/>
      <c r="Q475" s="3"/>
      <c r="R475" s="3"/>
      <c r="S475" s="3"/>
      <c r="T475" s="3"/>
      <c r="U475" s="3"/>
      <c r="V475" s="3"/>
    </row>
    <row r="476" ht="12.75" customHeight="1" spans="1:22" x14ac:dyDescent="0.25">
      <c r="A476" s="3"/>
      <c r="B476" s="3"/>
      <c r="C476" s="3"/>
      <c r="D476" s="3"/>
      <c r="E476" s="3"/>
      <c r="F476" s="3"/>
      <c r="G476" s="3"/>
      <c r="H476" s="3"/>
      <c r="I476" s="3"/>
      <c r="J476" s="3"/>
      <c r="K476" s="3"/>
      <c r="L476" s="3"/>
      <c r="M476" s="3"/>
      <c r="N476" s="3"/>
      <c r="O476" s="3"/>
      <c r="P476" s="3"/>
      <c r="Q476" s="3"/>
      <c r="R476" s="3"/>
      <c r="S476" s="3"/>
      <c r="T476" s="3"/>
      <c r="U476" s="3"/>
      <c r="V476" s="3"/>
    </row>
    <row r="477" ht="12.75" customHeight="1" spans="1:22" x14ac:dyDescent="0.25">
      <c r="A477" s="3"/>
      <c r="B477" s="3"/>
      <c r="C477" s="3"/>
      <c r="D477" s="3"/>
      <c r="E477" s="3"/>
      <c r="F477" s="3"/>
      <c r="G477" s="3"/>
      <c r="H477" s="3"/>
      <c r="I477" s="3"/>
      <c r="J477" s="3"/>
      <c r="K477" s="3"/>
      <c r="L477" s="3"/>
      <c r="M477" s="3"/>
      <c r="N477" s="3"/>
      <c r="O477" s="3"/>
      <c r="P477" s="3"/>
      <c r="Q477" s="3"/>
      <c r="R477" s="3"/>
      <c r="S477" s="3"/>
      <c r="T477" s="3"/>
      <c r="U477" s="3"/>
      <c r="V477" s="3"/>
    </row>
    <row r="478" ht="12.75" customHeight="1" spans="1:22" x14ac:dyDescent="0.25">
      <c r="A478" s="3"/>
      <c r="B478" s="3"/>
      <c r="C478" s="3"/>
      <c r="D478" s="3"/>
      <c r="E478" s="3"/>
      <c r="F478" s="3"/>
      <c r="G478" s="3"/>
      <c r="H478" s="3"/>
      <c r="I478" s="3"/>
      <c r="J478" s="3"/>
      <c r="K478" s="3"/>
      <c r="L478" s="3"/>
      <c r="M478" s="3"/>
      <c r="N478" s="3"/>
      <c r="O478" s="3"/>
      <c r="P478" s="3"/>
      <c r="Q478" s="3"/>
      <c r="R478" s="3"/>
      <c r="S478" s="3"/>
      <c r="T478" s="3"/>
      <c r="U478" s="3"/>
      <c r="V478" s="3"/>
    </row>
    <row r="479" ht="12.75" customHeight="1" spans="1:22" x14ac:dyDescent="0.25">
      <c r="A479" s="3"/>
      <c r="B479" s="3"/>
      <c r="C479" s="3"/>
      <c r="D479" s="3"/>
      <c r="E479" s="3"/>
      <c r="F479" s="3"/>
      <c r="G479" s="3"/>
      <c r="H479" s="3"/>
      <c r="I479" s="3"/>
      <c r="J479" s="3"/>
      <c r="K479" s="3"/>
      <c r="L479" s="3"/>
      <c r="M479" s="3"/>
      <c r="N479" s="3"/>
      <c r="O479" s="3"/>
      <c r="P479" s="3"/>
      <c r="Q479" s="3"/>
      <c r="R479" s="3"/>
      <c r="S479" s="3"/>
      <c r="T479" s="3"/>
      <c r="U479" s="3"/>
      <c r="V479" s="3"/>
    </row>
    <row r="480" ht="12.75" customHeight="1" spans="1:22" x14ac:dyDescent="0.25">
      <c r="A480" s="3"/>
      <c r="B480" s="3"/>
      <c r="C480" s="3"/>
      <c r="D480" s="3"/>
      <c r="E480" s="3"/>
      <c r="F480" s="3"/>
      <c r="G480" s="3"/>
      <c r="H480" s="3"/>
      <c r="I480" s="3"/>
      <c r="J480" s="3"/>
      <c r="K480" s="3"/>
      <c r="L480" s="3"/>
      <c r="M480" s="3"/>
      <c r="N480" s="3"/>
      <c r="O480" s="3"/>
      <c r="P480" s="3"/>
      <c r="Q480" s="3"/>
      <c r="R480" s="3"/>
      <c r="S480" s="3"/>
      <c r="T480" s="3"/>
      <c r="U480" s="3"/>
      <c r="V480" s="3"/>
    </row>
    <row r="481" ht="12.75" customHeight="1" spans="1:22" x14ac:dyDescent="0.25">
      <c r="A481" s="3"/>
      <c r="B481" s="3"/>
      <c r="C481" s="3"/>
      <c r="D481" s="3"/>
      <c r="E481" s="3"/>
      <c r="F481" s="3"/>
      <c r="G481" s="3"/>
      <c r="H481" s="3"/>
      <c r="I481" s="3"/>
      <c r="J481" s="3"/>
      <c r="K481" s="3"/>
      <c r="L481" s="3"/>
      <c r="M481" s="3"/>
      <c r="N481" s="3"/>
      <c r="O481" s="3"/>
      <c r="P481" s="3"/>
      <c r="Q481" s="3"/>
      <c r="R481" s="3"/>
      <c r="S481" s="3"/>
      <c r="T481" s="3"/>
      <c r="U481" s="3"/>
      <c r="V481" s="3"/>
    </row>
    <row r="482" ht="12.75" customHeight="1" spans="1:22" x14ac:dyDescent="0.25">
      <c r="A482" s="3"/>
      <c r="B482" s="3"/>
      <c r="C482" s="3"/>
      <c r="D482" s="3"/>
      <c r="E482" s="3"/>
      <c r="F482" s="3"/>
      <c r="G482" s="3"/>
      <c r="H482" s="3"/>
      <c r="I482" s="3"/>
      <c r="J482" s="3"/>
      <c r="K482" s="3"/>
      <c r="L482" s="3"/>
      <c r="M482" s="3"/>
      <c r="N482" s="3"/>
      <c r="O482" s="3"/>
      <c r="P482" s="3"/>
      <c r="Q482" s="3"/>
      <c r="R482" s="3"/>
      <c r="S482" s="3"/>
      <c r="T482" s="3"/>
      <c r="U482" s="3"/>
      <c r="V482" s="3"/>
    </row>
    <row r="483" ht="12.75" customHeight="1" spans="1:22" x14ac:dyDescent="0.25">
      <c r="A483" s="3"/>
      <c r="B483" s="3"/>
      <c r="C483" s="3"/>
      <c r="D483" s="3"/>
      <c r="E483" s="3"/>
      <c r="F483" s="3"/>
      <c r="G483" s="3"/>
      <c r="H483" s="3"/>
      <c r="I483" s="3"/>
      <c r="J483" s="3"/>
      <c r="K483" s="3"/>
      <c r="L483" s="3"/>
      <c r="M483" s="3"/>
      <c r="N483" s="3"/>
      <c r="O483" s="3"/>
      <c r="P483" s="3"/>
      <c r="Q483" s="3"/>
      <c r="R483" s="3"/>
      <c r="S483" s="3"/>
      <c r="T483" s="3"/>
      <c r="U483" s="3"/>
      <c r="V483" s="3"/>
    </row>
    <row r="484" ht="12.75" customHeight="1" spans="1:22" x14ac:dyDescent="0.25">
      <c r="A484" s="3"/>
      <c r="B484" s="3"/>
      <c r="C484" s="3"/>
      <c r="D484" s="3"/>
      <c r="E484" s="3"/>
      <c r="F484" s="3"/>
      <c r="G484" s="3"/>
      <c r="H484" s="3"/>
      <c r="I484" s="3"/>
      <c r="J484" s="3"/>
      <c r="K484" s="3"/>
      <c r="L484" s="3"/>
      <c r="M484" s="3"/>
      <c r="N484" s="3"/>
      <c r="O484" s="3"/>
      <c r="P484" s="3"/>
      <c r="Q484" s="3"/>
      <c r="R484" s="3"/>
      <c r="S484" s="3"/>
      <c r="T484" s="3"/>
      <c r="U484" s="3"/>
      <c r="V484" s="3"/>
    </row>
    <row r="485" ht="12.75" customHeight="1" spans="1:22" x14ac:dyDescent="0.25">
      <c r="A485" s="3"/>
      <c r="B485" s="3"/>
      <c r="C485" s="3"/>
      <c r="D485" s="3"/>
      <c r="E485" s="3"/>
      <c r="F485" s="3"/>
      <c r="G485" s="3"/>
      <c r="H485" s="3"/>
      <c r="I485" s="3"/>
      <c r="J485" s="3"/>
      <c r="K485" s="3"/>
      <c r="L485" s="3"/>
      <c r="M485" s="3"/>
      <c r="N485" s="3"/>
      <c r="O485" s="3"/>
      <c r="P485" s="3"/>
      <c r="Q485" s="3"/>
      <c r="R485" s="3"/>
      <c r="S485" s="3"/>
      <c r="T485" s="3"/>
      <c r="U485" s="3"/>
      <c r="V485" s="3"/>
    </row>
    <row r="486" ht="12.75" customHeight="1" spans="1:22" x14ac:dyDescent="0.25">
      <c r="A486" s="3"/>
      <c r="B486" s="3"/>
      <c r="C486" s="3"/>
      <c r="D486" s="3"/>
      <c r="E486" s="3"/>
      <c r="F486" s="3"/>
      <c r="G486" s="3"/>
      <c r="H486" s="3"/>
      <c r="I486" s="3"/>
      <c r="J486" s="3"/>
      <c r="K486" s="3"/>
      <c r="L486" s="3"/>
      <c r="M486" s="3"/>
      <c r="N486" s="3"/>
      <c r="O486" s="3"/>
      <c r="P486" s="3"/>
      <c r="Q486" s="3"/>
      <c r="R486" s="3"/>
      <c r="S486" s="3"/>
      <c r="T486" s="3"/>
      <c r="U486" s="3"/>
      <c r="V486" s="3"/>
    </row>
    <row r="487" ht="12.75" customHeight="1" spans="1:22" x14ac:dyDescent="0.25">
      <c r="A487" s="3"/>
      <c r="B487" s="3"/>
      <c r="C487" s="3"/>
      <c r="D487" s="3"/>
      <c r="E487" s="3"/>
      <c r="F487" s="3"/>
      <c r="G487" s="3"/>
      <c r="H487" s="3"/>
      <c r="I487" s="3"/>
      <c r="J487" s="3"/>
      <c r="K487" s="3"/>
      <c r="L487" s="3"/>
      <c r="M487" s="3"/>
      <c r="N487" s="3"/>
      <c r="O487" s="3"/>
      <c r="P487" s="3"/>
      <c r="Q487" s="3"/>
      <c r="R487" s="3"/>
      <c r="S487" s="3"/>
      <c r="T487" s="3"/>
      <c r="U487" s="3"/>
      <c r="V487" s="3"/>
    </row>
    <row r="488" ht="12.75" customHeight="1" spans="1:22" x14ac:dyDescent="0.25">
      <c r="A488" s="3"/>
      <c r="B488" s="3"/>
      <c r="C488" s="3"/>
      <c r="D488" s="3"/>
      <c r="E488" s="3"/>
      <c r="F488" s="3"/>
      <c r="G488" s="3"/>
      <c r="H488" s="3"/>
      <c r="I488" s="3"/>
      <c r="J488" s="3"/>
      <c r="K488" s="3"/>
      <c r="L488" s="3"/>
      <c r="M488" s="3"/>
      <c r="N488" s="3"/>
      <c r="O488" s="3"/>
      <c r="P488" s="3"/>
      <c r="Q488" s="3"/>
      <c r="R488" s="3"/>
      <c r="S488" s="3"/>
      <c r="T488" s="3"/>
      <c r="U488" s="3"/>
      <c r="V488" s="3"/>
    </row>
    <row r="489" ht="12.75" customHeight="1" spans="1:22" x14ac:dyDescent="0.25">
      <c r="A489" s="3"/>
      <c r="B489" s="3"/>
      <c r="C489" s="3"/>
      <c r="D489" s="3"/>
      <c r="E489" s="3"/>
      <c r="F489" s="3"/>
      <c r="G489" s="3"/>
      <c r="H489" s="3"/>
      <c r="I489" s="3"/>
      <c r="J489" s="3"/>
      <c r="K489" s="3"/>
      <c r="L489" s="3"/>
      <c r="M489" s="3"/>
      <c r="N489" s="3"/>
      <c r="O489" s="3"/>
      <c r="P489" s="3"/>
      <c r="Q489" s="3"/>
      <c r="R489" s="3"/>
      <c r="S489" s="3"/>
      <c r="T489" s="3"/>
      <c r="U489" s="3"/>
      <c r="V489" s="3"/>
    </row>
    <row r="490" ht="12.75" customHeight="1" spans="1:22" x14ac:dyDescent="0.25">
      <c r="A490" s="3"/>
      <c r="B490" s="3"/>
      <c r="C490" s="3"/>
      <c r="D490" s="3"/>
      <c r="E490" s="3"/>
      <c r="F490" s="3"/>
      <c r="G490" s="3"/>
      <c r="H490" s="3"/>
      <c r="I490" s="3"/>
      <c r="J490" s="3"/>
      <c r="K490" s="3"/>
      <c r="L490" s="3"/>
      <c r="M490" s="3"/>
      <c r="N490" s="3"/>
      <c r="O490" s="3"/>
      <c r="P490" s="3"/>
      <c r="Q490" s="3"/>
      <c r="R490" s="3"/>
      <c r="S490" s="3"/>
      <c r="T490" s="3"/>
      <c r="U490" s="3"/>
      <c r="V490" s="3"/>
    </row>
    <row r="491" ht="12.75" customHeight="1" spans="1:22" x14ac:dyDescent="0.25">
      <c r="A491" s="3"/>
      <c r="B491" s="3"/>
      <c r="C491" s="3"/>
      <c r="D491" s="3"/>
      <c r="E491" s="3"/>
      <c r="F491" s="3"/>
      <c r="G491" s="3"/>
      <c r="H491" s="3"/>
      <c r="I491" s="3"/>
      <c r="J491" s="3"/>
      <c r="K491" s="3"/>
      <c r="L491" s="3"/>
      <c r="M491" s="3"/>
      <c r="N491" s="3"/>
      <c r="O491" s="3"/>
      <c r="P491" s="3"/>
      <c r="Q491" s="3"/>
      <c r="R491" s="3"/>
      <c r="S491" s="3"/>
      <c r="T491" s="3"/>
      <c r="U491" s="3"/>
      <c r="V491" s="3"/>
    </row>
    <row r="492" ht="12.75" customHeight="1" spans="1:22" x14ac:dyDescent="0.25">
      <c r="A492" s="3"/>
      <c r="B492" s="3"/>
      <c r="C492" s="3"/>
      <c r="D492" s="3"/>
      <c r="E492" s="3"/>
      <c r="F492" s="3"/>
      <c r="G492" s="3"/>
      <c r="H492" s="3"/>
      <c r="I492" s="3"/>
      <c r="J492" s="3"/>
      <c r="K492" s="3"/>
      <c r="L492" s="3"/>
      <c r="M492" s="3"/>
      <c r="N492" s="3"/>
      <c r="O492" s="3"/>
      <c r="P492" s="3"/>
      <c r="Q492" s="3"/>
      <c r="R492" s="3"/>
      <c r="S492" s="3"/>
      <c r="T492" s="3"/>
      <c r="U492" s="3"/>
      <c r="V492" s="3"/>
    </row>
    <row r="493" ht="12.75" customHeight="1" spans="1:22" x14ac:dyDescent="0.25">
      <c r="A493" s="3"/>
      <c r="B493" s="3"/>
      <c r="C493" s="3"/>
      <c r="D493" s="3"/>
      <c r="E493" s="3"/>
      <c r="F493" s="3"/>
      <c r="G493" s="3"/>
      <c r="H493" s="3"/>
      <c r="I493" s="3"/>
      <c r="J493" s="3"/>
      <c r="K493" s="3"/>
      <c r="L493" s="3"/>
      <c r="M493" s="3"/>
      <c r="N493" s="3"/>
      <c r="O493" s="3"/>
      <c r="P493" s="3"/>
      <c r="Q493" s="3"/>
      <c r="R493" s="3"/>
      <c r="S493" s="3"/>
      <c r="T493" s="3"/>
      <c r="U493" s="3"/>
      <c r="V493" s="3"/>
    </row>
    <row r="494" ht="12.75" customHeight="1" spans="1:22" x14ac:dyDescent="0.25">
      <c r="A494" s="3"/>
      <c r="B494" s="3"/>
      <c r="C494" s="3"/>
      <c r="D494" s="3"/>
      <c r="E494" s="3"/>
      <c r="F494" s="3"/>
      <c r="G494" s="3"/>
      <c r="H494" s="3"/>
      <c r="I494" s="3"/>
      <c r="J494" s="3"/>
      <c r="K494" s="3"/>
      <c r="L494" s="3"/>
      <c r="M494" s="3"/>
      <c r="N494" s="3"/>
      <c r="O494" s="3"/>
      <c r="P494" s="3"/>
      <c r="Q494" s="3"/>
      <c r="R494" s="3"/>
      <c r="S494" s="3"/>
      <c r="T494" s="3"/>
      <c r="U494" s="3"/>
      <c r="V494" s="3"/>
    </row>
    <row r="495" ht="12.75" customHeight="1" spans="1:22" x14ac:dyDescent="0.25">
      <c r="A495" s="3"/>
      <c r="B495" s="3"/>
      <c r="C495" s="3"/>
      <c r="D495" s="3"/>
      <c r="E495" s="3"/>
      <c r="F495" s="3"/>
      <c r="G495" s="3"/>
      <c r="H495" s="3"/>
      <c r="I495" s="3"/>
      <c r="J495" s="3"/>
      <c r="K495" s="3"/>
      <c r="L495" s="3"/>
      <c r="M495" s="3"/>
      <c r="N495" s="3"/>
      <c r="O495" s="3"/>
      <c r="P495" s="3"/>
      <c r="Q495" s="3"/>
      <c r="R495" s="3"/>
      <c r="S495" s="3"/>
      <c r="T495" s="3"/>
      <c r="U495" s="3"/>
      <c r="V495" s="3"/>
    </row>
    <row r="496" ht="12.75" customHeight="1" spans="1:22" x14ac:dyDescent="0.25">
      <c r="A496" s="3"/>
      <c r="B496" s="3"/>
      <c r="C496" s="3"/>
      <c r="D496" s="3"/>
      <c r="E496" s="3"/>
      <c r="F496" s="3"/>
      <c r="G496" s="3"/>
      <c r="H496" s="3"/>
      <c r="I496" s="3"/>
      <c r="J496" s="3"/>
      <c r="K496" s="3"/>
      <c r="L496" s="3"/>
      <c r="M496" s="3"/>
      <c r="N496" s="3"/>
      <c r="O496" s="3"/>
      <c r="P496" s="3"/>
      <c r="Q496" s="3"/>
      <c r="R496" s="3"/>
      <c r="S496" s="3"/>
      <c r="T496" s="3"/>
      <c r="U496" s="3"/>
      <c r="V496" s="3"/>
    </row>
    <row r="497" ht="12.75" customHeight="1" spans="1:22" x14ac:dyDescent="0.25">
      <c r="A497" s="3"/>
      <c r="B497" s="3"/>
      <c r="C497" s="3"/>
      <c r="D497" s="3"/>
      <c r="E497" s="3"/>
      <c r="F497" s="3"/>
      <c r="G497" s="3"/>
      <c r="H497" s="3"/>
      <c r="I497" s="3"/>
      <c r="J497" s="3"/>
      <c r="K497" s="3"/>
      <c r="L497" s="3"/>
      <c r="M497" s="3"/>
      <c r="N497" s="3"/>
      <c r="O497" s="3"/>
      <c r="P497" s="3"/>
      <c r="Q497" s="3"/>
      <c r="R497" s="3"/>
      <c r="S497" s="3"/>
      <c r="T497" s="3"/>
      <c r="U497" s="3"/>
      <c r="V497" s="3"/>
    </row>
    <row r="498" ht="12.75" customHeight="1" spans="1:22" x14ac:dyDescent="0.25">
      <c r="A498" s="3"/>
      <c r="B498" s="3"/>
      <c r="C498" s="3"/>
      <c r="D498" s="3"/>
      <c r="E498" s="3"/>
      <c r="F498" s="3"/>
      <c r="G498" s="3"/>
      <c r="H498" s="3"/>
      <c r="I498" s="3"/>
      <c r="J498" s="3"/>
      <c r="K498" s="3"/>
      <c r="L498" s="3"/>
      <c r="M498" s="3"/>
      <c r="N498" s="3"/>
      <c r="O498" s="3"/>
      <c r="P498" s="3"/>
      <c r="Q498" s="3"/>
      <c r="R498" s="3"/>
      <c r="S498" s="3"/>
      <c r="T498" s="3"/>
      <c r="U498" s="3"/>
      <c r="V498" s="3"/>
    </row>
    <row r="499" ht="12.75" customHeight="1" spans="1:22" x14ac:dyDescent="0.25">
      <c r="A499" s="3"/>
      <c r="B499" s="3"/>
      <c r="C499" s="3"/>
      <c r="D499" s="3"/>
      <c r="E499" s="3"/>
      <c r="F499" s="3"/>
      <c r="G499" s="3"/>
      <c r="H499" s="3"/>
      <c r="I499" s="3"/>
      <c r="J499" s="3"/>
      <c r="K499" s="3"/>
      <c r="L499" s="3"/>
      <c r="M499" s="3"/>
      <c r="N499" s="3"/>
      <c r="O499" s="3"/>
      <c r="P499" s="3"/>
      <c r="Q499" s="3"/>
      <c r="R499" s="3"/>
      <c r="S499" s="3"/>
      <c r="T499" s="3"/>
      <c r="U499" s="3"/>
      <c r="V499" s="3"/>
    </row>
    <row r="500" ht="12.75" customHeight="1" spans="1:22" x14ac:dyDescent="0.25">
      <c r="A500" s="3"/>
      <c r="B500" s="3"/>
      <c r="C500" s="3"/>
      <c r="D500" s="3"/>
      <c r="E500" s="3"/>
      <c r="F500" s="3"/>
      <c r="G500" s="3"/>
      <c r="H500" s="3"/>
      <c r="I500" s="3"/>
      <c r="J500" s="3"/>
      <c r="K500" s="3"/>
      <c r="L500" s="3"/>
      <c r="M500" s="3"/>
      <c r="N500" s="3"/>
      <c r="O500" s="3"/>
      <c r="P500" s="3"/>
      <c r="Q500" s="3"/>
      <c r="R500" s="3"/>
      <c r="S500" s="3"/>
      <c r="T500" s="3"/>
      <c r="U500" s="3"/>
      <c r="V500" s="3"/>
    </row>
    <row r="501" ht="12.75" customHeight="1" spans="1:22" x14ac:dyDescent="0.25">
      <c r="A501" s="3"/>
      <c r="B501" s="3"/>
      <c r="C501" s="3"/>
      <c r="D501" s="3"/>
      <c r="E501" s="3"/>
      <c r="F501" s="3"/>
      <c r="G501" s="3"/>
      <c r="H501" s="3"/>
      <c r="I501" s="3"/>
      <c r="J501" s="3"/>
      <c r="K501" s="3"/>
      <c r="L501" s="3"/>
      <c r="M501" s="3"/>
      <c r="N501" s="3"/>
      <c r="O501" s="3"/>
      <c r="P501" s="3"/>
      <c r="Q501" s="3"/>
      <c r="R501" s="3"/>
      <c r="S501" s="3"/>
      <c r="T501" s="3"/>
      <c r="U501" s="3"/>
      <c r="V501" s="3"/>
    </row>
    <row r="502" ht="12.75" customHeight="1" spans="1:22" x14ac:dyDescent="0.25">
      <c r="A502" s="3"/>
      <c r="B502" s="3"/>
      <c r="C502" s="3"/>
      <c r="D502" s="3"/>
      <c r="E502" s="3"/>
      <c r="F502" s="3"/>
      <c r="G502" s="3"/>
      <c r="H502" s="3"/>
      <c r="I502" s="3"/>
      <c r="J502" s="3"/>
      <c r="K502" s="3"/>
      <c r="L502" s="3"/>
      <c r="M502" s="3"/>
      <c r="N502" s="3"/>
      <c r="O502" s="3"/>
      <c r="P502" s="3"/>
      <c r="Q502" s="3"/>
      <c r="R502" s="3"/>
      <c r="S502" s="3"/>
      <c r="T502" s="3"/>
      <c r="U502" s="3"/>
      <c r="V502" s="3"/>
    </row>
    <row r="503" ht="12.75" customHeight="1" spans="1:22" x14ac:dyDescent="0.25">
      <c r="A503" s="3"/>
      <c r="B503" s="3"/>
      <c r="C503" s="3"/>
      <c r="D503" s="3"/>
      <c r="E503" s="3"/>
      <c r="F503" s="3"/>
      <c r="G503" s="3"/>
      <c r="H503" s="3"/>
      <c r="I503" s="3"/>
      <c r="J503" s="3"/>
      <c r="K503" s="3"/>
      <c r="L503" s="3"/>
      <c r="M503" s="3"/>
      <c r="N503" s="3"/>
      <c r="O503" s="3"/>
      <c r="P503" s="3"/>
      <c r="Q503" s="3"/>
      <c r="R503" s="3"/>
      <c r="S503" s="3"/>
      <c r="T503" s="3"/>
      <c r="U503" s="3"/>
      <c r="V503" s="3"/>
    </row>
    <row r="504" ht="12.75" customHeight="1" spans="1:22" x14ac:dyDescent="0.25">
      <c r="A504" s="3"/>
      <c r="B504" s="3"/>
      <c r="C504" s="3"/>
      <c r="D504" s="3"/>
      <c r="E504" s="3"/>
      <c r="F504" s="3"/>
      <c r="G504" s="3"/>
      <c r="H504" s="3"/>
      <c r="I504" s="3"/>
      <c r="J504" s="3"/>
      <c r="K504" s="3"/>
      <c r="L504" s="3"/>
      <c r="M504" s="3"/>
      <c r="N504" s="3"/>
      <c r="O504" s="3"/>
      <c r="P504" s="3"/>
      <c r="Q504" s="3"/>
      <c r="R504" s="3"/>
      <c r="S504" s="3"/>
      <c r="T504" s="3"/>
      <c r="U504" s="3"/>
      <c r="V504" s="3"/>
    </row>
    <row r="505" ht="12.75" customHeight="1" spans="1:22" x14ac:dyDescent="0.25">
      <c r="A505" s="3"/>
      <c r="B505" s="3"/>
      <c r="C505" s="3"/>
      <c r="D505" s="3"/>
      <c r="E505" s="3"/>
      <c r="F505" s="3"/>
      <c r="G505" s="3"/>
      <c r="H505" s="3"/>
      <c r="I505" s="3"/>
      <c r="J505" s="3"/>
      <c r="K505" s="3"/>
      <c r="L505" s="3"/>
      <c r="M505" s="3"/>
      <c r="N505" s="3"/>
      <c r="O505" s="3"/>
      <c r="P505" s="3"/>
      <c r="Q505" s="3"/>
      <c r="R505" s="3"/>
      <c r="S505" s="3"/>
      <c r="T505" s="3"/>
      <c r="U505" s="3"/>
      <c r="V505" s="3"/>
    </row>
    <row r="506" ht="12.75" customHeight="1" spans="1:22" x14ac:dyDescent="0.25">
      <c r="A506" s="3"/>
      <c r="B506" s="3"/>
      <c r="C506" s="3"/>
      <c r="D506" s="3"/>
      <c r="E506" s="3"/>
      <c r="F506" s="3"/>
      <c r="G506" s="3"/>
      <c r="H506" s="3"/>
      <c r="I506" s="3"/>
      <c r="J506" s="3"/>
      <c r="K506" s="3"/>
      <c r="L506" s="3"/>
      <c r="M506" s="3"/>
      <c r="N506" s="3"/>
      <c r="O506" s="3"/>
      <c r="P506" s="3"/>
      <c r="Q506" s="3"/>
      <c r="R506" s="3"/>
      <c r="S506" s="3"/>
      <c r="T506" s="3"/>
      <c r="U506" s="3"/>
      <c r="V506" s="3"/>
    </row>
    <row r="507" ht="12.75" customHeight="1" spans="1:22" x14ac:dyDescent="0.25">
      <c r="A507" s="3"/>
      <c r="B507" s="3"/>
      <c r="C507" s="3"/>
      <c r="D507" s="3"/>
      <c r="E507" s="3"/>
      <c r="F507" s="3"/>
      <c r="G507" s="3"/>
      <c r="H507" s="3"/>
      <c r="I507" s="3"/>
      <c r="J507" s="3"/>
      <c r="K507" s="3"/>
      <c r="L507" s="3"/>
      <c r="M507" s="3"/>
      <c r="N507" s="3"/>
      <c r="O507" s="3"/>
      <c r="P507" s="3"/>
      <c r="Q507" s="3"/>
      <c r="R507" s="3"/>
      <c r="S507" s="3"/>
      <c r="T507" s="3"/>
      <c r="U507" s="3"/>
      <c r="V507" s="3"/>
    </row>
    <row r="508" ht="12.75" customHeight="1" spans="1:22" x14ac:dyDescent="0.25">
      <c r="A508" s="3"/>
      <c r="B508" s="3"/>
      <c r="C508" s="3"/>
      <c r="D508" s="3"/>
      <c r="E508" s="3"/>
      <c r="F508" s="3"/>
      <c r="G508" s="3"/>
      <c r="H508" s="3"/>
      <c r="I508" s="3"/>
      <c r="J508" s="3"/>
      <c r="K508" s="3"/>
      <c r="L508" s="3"/>
      <c r="M508" s="3"/>
      <c r="N508" s="3"/>
      <c r="O508" s="3"/>
      <c r="P508" s="3"/>
      <c r="Q508" s="3"/>
      <c r="R508" s="3"/>
      <c r="S508" s="3"/>
      <c r="T508" s="3"/>
      <c r="U508" s="3"/>
      <c r="V508" s="3"/>
    </row>
    <row r="509" ht="12.75" customHeight="1" spans="1:22" x14ac:dyDescent="0.25">
      <c r="A509" s="3"/>
      <c r="B509" s="3"/>
      <c r="C509" s="3"/>
      <c r="D509" s="3"/>
      <c r="E509" s="3"/>
      <c r="F509" s="3"/>
      <c r="G509" s="3"/>
      <c r="H509" s="3"/>
      <c r="I509" s="3"/>
      <c r="J509" s="3"/>
      <c r="K509" s="3"/>
      <c r="L509" s="3"/>
      <c r="M509" s="3"/>
      <c r="N509" s="3"/>
      <c r="O509" s="3"/>
      <c r="P509" s="3"/>
      <c r="Q509" s="3"/>
      <c r="R509" s="3"/>
      <c r="S509" s="3"/>
      <c r="T509" s="3"/>
      <c r="U509" s="3"/>
      <c r="V509" s="3"/>
    </row>
    <row r="510" ht="12.75" customHeight="1" spans="1:22" x14ac:dyDescent="0.25">
      <c r="A510" s="3"/>
      <c r="B510" s="3"/>
      <c r="C510" s="3"/>
      <c r="D510" s="3"/>
      <c r="E510" s="3"/>
      <c r="F510" s="3"/>
      <c r="G510" s="3"/>
      <c r="H510" s="3"/>
      <c r="I510" s="3"/>
      <c r="J510" s="3"/>
      <c r="K510" s="3"/>
      <c r="L510" s="3"/>
      <c r="M510" s="3"/>
      <c r="N510" s="3"/>
      <c r="O510" s="3"/>
      <c r="P510" s="3"/>
      <c r="Q510" s="3"/>
      <c r="R510" s="3"/>
      <c r="S510" s="3"/>
      <c r="T510" s="3"/>
      <c r="U510" s="3"/>
      <c r="V510" s="3"/>
    </row>
    <row r="511" ht="12.75" customHeight="1" spans="1:22" x14ac:dyDescent="0.25">
      <c r="A511" s="3"/>
      <c r="B511" s="3"/>
      <c r="C511" s="3"/>
      <c r="D511" s="3"/>
      <c r="E511" s="3"/>
      <c r="F511" s="3"/>
      <c r="G511" s="3"/>
      <c r="H511" s="3"/>
      <c r="I511" s="3"/>
      <c r="J511" s="3"/>
      <c r="K511" s="3"/>
      <c r="L511" s="3"/>
      <c r="M511" s="3"/>
      <c r="N511" s="3"/>
      <c r="O511" s="3"/>
      <c r="P511" s="3"/>
      <c r="Q511" s="3"/>
      <c r="R511" s="3"/>
      <c r="S511" s="3"/>
      <c r="T511" s="3"/>
      <c r="U511" s="3"/>
      <c r="V511" s="3"/>
    </row>
    <row r="512" ht="12.75" customHeight="1" spans="1:22" x14ac:dyDescent="0.25">
      <c r="A512" s="3"/>
      <c r="B512" s="3"/>
      <c r="C512" s="3"/>
      <c r="D512" s="3"/>
      <c r="E512" s="3"/>
      <c r="F512" s="3"/>
      <c r="G512" s="3"/>
      <c r="H512" s="3"/>
      <c r="I512" s="3"/>
      <c r="J512" s="3"/>
      <c r="K512" s="3"/>
      <c r="L512" s="3"/>
      <c r="M512" s="3"/>
      <c r="N512" s="3"/>
      <c r="O512" s="3"/>
      <c r="P512" s="3"/>
      <c r="Q512" s="3"/>
      <c r="R512" s="3"/>
      <c r="S512" s="3"/>
      <c r="T512" s="3"/>
      <c r="U512" s="3"/>
      <c r="V512" s="3"/>
    </row>
    <row r="513" ht="12.75" customHeight="1" spans="1:22" x14ac:dyDescent="0.25">
      <c r="A513" s="3"/>
      <c r="B513" s="3"/>
      <c r="C513" s="3"/>
      <c r="D513" s="3"/>
      <c r="E513" s="3"/>
      <c r="F513" s="3"/>
      <c r="G513" s="3"/>
      <c r="H513" s="3"/>
      <c r="I513" s="3"/>
      <c r="J513" s="3"/>
      <c r="K513" s="3"/>
      <c r="L513" s="3"/>
      <c r="M513" s="3"/>
      <c r="N513" s="3"/>
      <c r="O513" s="3"/>
      <c r="P513" s="3"/>
      <c r="Q513" s="3"/>
      <c r="R513" s="3"/>
      <c r="S513" s="3"/>
      <c r="T513" s="3"/>
      <c r="U513" s="3"/>
      <c r="V513" s="3"/>
    </row>
    <row r="514" ht="12.75" customHeight="1" spans="1:22" x14ac:dyDescent="0.25">
      <c r="A514" s="3"/>
      <c r="B514" s="3"/>
      <c r="C514" s="3"/>
      <c r="D514" s="3"/>
      <c r="E514" s="3"/>
      <c r="F514" s="3"/>
      <c r="G514" s="3"/>
      <c r="H514" s="3"/>
      <c r="I514" s="3"/>
      <c r="J514" s="3"/>
      <c r="K514" s="3"/>
      <c r="L514" s="3"/>
      <c r="M514" s="3"/>
      <c r="N514" s="3"/>
      <c r="O514" s="3"/>
      <c r="P514" s="3"/>
      <c r="Q514" s="3"/>
      <c r="R514" s="3"/>
      <c r="S514" s="3"/>
      <c r="T514" s="3"/>
      <c r="U514" s="3"/>
      <c r="V514" s="3"/>
    </row>
    <row r="515" ht="12.75" customHeight="1" spans="1:22" x14ac:dyDescent="0.25">
      <c r="A515" s="3"/>
      <c r="B515" s="3"/>
      <c r="C515" s="3"/>
      <c r="D515" s="3"/>
      <c r="E515" s="3"/>
      <c r="F515" s="3"/>
      <c r="G515" s="3"/>
      <c r="H515" s="3"/>
      <c r="I515" s="3"/>
      <c r="J515" s="3"/>
      <c r="K515" s="3"/>
      <c r="L515" s="3"/>
      <c r="M515" s="3"/>
      <c r="N515" s="3"/>
      <c r="O515" s="3"/>
      <c r="P515" s="3"/>
      <c r="Q515" s="3"/>
      <c r="R515" s="3"/>
      <c r="S515" s="3"/>
      <c r="T515" s="3"/>
      <c r="U515" s="3"/>
      <c r="V515" s="3"/>
    </row>
    <row r="516" ht="12.75" customHeight="1" spans="1:22" x14ac:dyDescent="0.25">
      <c r="A516" s="3"/>
      <c r="B516" s="3"/>
      <c r="C516" s="3"/>
      <c r="D516" s="3"/>
      <c r="E516" s="3"/>
      <c r="F516" s="3"/>
      <c r="G516" s="3"/>
      <c r="H516" s="3"/>
      <c r="I516" s="3"/>
      <c r="J516" s="3"/>
      <c r="K516" s="3"/>
      <c r="L516" s="3"/>
      <c r="M516" s="3"/>
      <c r="N516" s="3"/>
      <c r="O516" s="3"/>
      <c r="P516" s="3"/>
      <c r="Q516" s="3"/>
      <c r="R516" s="3"/>
      <c r="S516" s="3"/>
      <c r="T516" s="3"/>
      <c r="U516" s="3"/>
      <c r="V516" s="3"/>
    </row>
    <row r="517" ht="12.75" customHeight="1" spans="1:22" x14ac:dyDescent="0.25">
      <c r="A517" s="3"/>
      <c r="B517" s="3"/>
      <c r="C517" s="3"/>
      <c r="D517" s="3"/>
      <c r="E517" s="3"/>
      <c r="F517" s="3"/>
      <c r="G517" s="3"/>
      <c r="H517" s="3"/>
      <c r="I517" s="3"/>
      <c r="J517" s="3"/>
      <c r="K517" s="3"/>
      <c r="L517" s="3"/>
      <c r="M517" s="3"/>
      <c r="N517" s="3"/>
      <c r="O517" s="3"/>
      <c r="P517" s="3"/>
      <c r="Q517" s="3"/>
      <c r="R517" s="3"/>
      <c r="S517" s="3"/>
      <c r="T517" s="3"/>
      <c r="U517" s="3"/>
      <c r="V517" s="3"/>
    </row>
    <row r="518" ht="12.75" customHeight="1" spans="1:22" x14ac:dyDescent="0.25">
      <c r="A518" s="3"/>
      <c r="B518" s="3"/>
      <c r="C518" s="3"/>
      <c r="D518" s="3"/>
      <c r="E518" s="3"/>
      <c r="F518" s="3"/>
      <c r="G518" s="3"/>
      <c r="H518" s="3"/>
      <c r="I518" s="3"/>
      <c r="J518" s="3"/>
      <c r="K518" s="3"/>
      <c r="L518" s="3"/>
      <c r="M518" s="3"/>
      <c r="N518" s="3"/>
      <c r="O518" s="3"/>
      <c r="P518" s="3"/>
      <c r="Q518" s="3"/>
      <c r="R518" s="3"/>
      <c r="S518" s="3"/>
      <c r="T518" s="3"/>
      <c r="U518" s="3"/>
      <c r="V518" s="3"/>
    </row>
    <row r="519" ht="12.75" customHeight="1" spans="1:22" x14ac:dyDescent="0.25">
      <c r="A519" s="3"/>
      <c r="B519" s="3"/>
      <c r="C519" s="3"/>
      <c r="D519" s="3"/>
      <c r="E519" s="3"/>
      <c r="F519" s="3"/>
      <c r="G519" s="3"/>
      <c r="H519" s="3"/>
      <c r="I519" s="3"/>
      <c r="J519" s="3"/>
      <c r="K519" s="3"/>
      <c r="L519" s="3"/>
      <c r="M519" s="3"/>
      <c r="N519" s="3"/>
      <c r="O519" s="3"/>
      <c r="P519" s="3"/>
      <c r="Q519" s="3"/>
      <c r="R519" s="3"/>
      <c r="S519" s="3"/>
      <c r="T519" s="3"/>
      <c r="U519" s="3"/>
      <c r="V519" s="3"/>
    </row>
    <row r="520" ht="12.75" customHeight="1" spans="1:22" x14ac:dyDescent="0.25">
      <c r="A520" s="3"/>
      <c r="B520" s="3"/>
      <c r="C520" s="3"/>
      <c r="D520" s="3"/>
      <c r="E520" s="3"/>
      <c r="F520" s="3"/>
      <c r="G520" s="3"/>
      <c r="H520" s="3"/>
      <c r="I520" s="3"/>
      <c r="J520" s="3"/>
      <c r="K520" s="3"/>
      <c r="L520" s="3"/>
      <c r="M520" s="3"/>
      <c r="N520" s="3"/>
      <c r="O520" s="3"/>
      <c r="P520" s="3"/>
      <c r="Q520" s="3"/>
      <c r="R520" s="3"/>
      <c r="S520" s="3"/>
      <c r="T520" s="3"/>
      <c r="U520" s="3"/>
      <c r="V520" s="3"/>
    </row>
    <row r="521" ht="12.75" customHeight="1" spans="1:22" x14ac:dyDescent="0.25">
      <c r="A521" s="3"/>
      <c r="B521" s="3"/>
      <c r="C521" s="3"/>
      <c r="D521" s="3"/>
      <c r="E521" s="3"/>
      <c r="F521" s="3"/>
      <c r="G521" s="3"/>
      <c r="H521" s="3"/>
      <c r="I521" s="3"/>
      <c r="J521" s="3"/>
      <c r="K521" s="3"/>
      <c r="L521" s="3"/>
      <c r="M521" s="3"/>
      <c r="N521" s="3"/>
      <c r="O521" s="3"/>
      <c r="P521" s="3"/>
      <c r="Q521" s="3"/>
      <c r="R521" s="3"/>
      <c r="S521" s="3"/>
      <c r="T521" s="3"/>
      <c r="U521" s="3"/>
      <c r="V521" s="3"/>
    </row>
    <row r="522" ht="12.75" customHeight="1" spans="1:22" x14ac:dyDescent="0.25">
      <c r="A522" s="3"/>
      <c r="B522" s="3"/>
      <c r="C522" s="3"/>
      <c r="D522" s="3"/>
      <c r="E522" s="3"/>
      <c r="F522" s="3"/>
      <c r="G522" s="3"/>
      <c r="H522" s="3"/>
      <c r="I522" s="3"/>
      <c r="J522" s="3"/>
      <c r="K522" s="3"/>
      <c r="L522" s="3"/>
      <c r="M522" s="3"/>
      <c r="N522" s="3"/>
      <c r="O522" s="3"/>
      <c r="P522" s="3"/>
      <c r="Q522" s="3"/>
      <c r="R522" s="3"/>
      <c r="S522" s="3"/>
      <c r="T522" s="3"/>
      <c r="U522" s="3"/>
      <c r="V522" s="3"/>
    </row>
    <row r="523" ht="12.75" customHeight="1" spans="1:22" x14ac:dyDescent="0.25">
      <c r="A523" s="3"/>
      <c r="B523" s="3"/>
      <c r="C523" s="3"/>
      <c r="D523" s="3"/>
      <c r="E523" s="3"/>
      <c r="F523" s="3"/>
      <c r="G523" s="3"/>
      <c r="H523" s="3"/>
      <c r="I523" s="3"/>
      <c r="J523" s="3"/>
      <c r="K523" s="3"/>
      <c r="L523" s="3"/>
      <c r="M523" s="3"/>
      <c r="N523" s="3"/>
      <c r="O523" s="3"/>
      <c r="P523" s="3"/>
      <c r="Q523" s="3"/>
      <c r="R523" s="3"/>
      <c r="S523" s="3"/>
      <c r="T523" s="3"/>
      <c r="U523" s="3"/>
      <c r="V523" s="3"/>
    </row>
    <row r="524" ht="12.75" customHeight="1" spans="1:22" x14ac:dyDescent="0.25">
      <c r="A524" s="3"/>
      <c r="B524" s="3"/>
      <c r="C524" s="3"/>
      <c r="D524" s="3"/>
      <c r="E524" s="3"/>
      <c r="F524" s="3"/>
      <c r="G524" s="3"/>
      <c r="H524" s="3"/>
      <c r="I524" s="3"/>
      <c r="J524" s="3"/>
      <c r="K524" s="3"/>
      <c r="L524" s="3"/>
      <c r="M524" s="3"/>
      <c r="N524" s="3"/>
      <c r="O524" s="3"/>
      <c r="P524" s="3"/>
      <c r="Q524" s="3"/>
      <c r="R524" s="3"/>
      <c r="S524" s="3"/>
      <c r="T524" s="3"/>
      <c r="U524" s="3"/>
      <c r="V524" s="3"/>
    </row>
    <row r="525" ht="12.75" customHeight="1" spans="1:22" x14ac:dyDescent="0.25">
      <c r="A525" s="3"/>
      <c r="B525" s="3"/>
      <c r="C525" s="3"/>
      <c r="D525" s="3"/>
      <c r="E525" s="3"/>
      <c r="F525" s="3"/>
      <c r="G525" s="3"/>
      <c r="H525" s="3"/>
      <c r="I525" s="3"/>
      <c r="J525" s="3"/>
      <c r="K525" s="3"/>
      <c r="L525" s="3"/>
      <c r="M525" s="3"/>
      <c r="N525" s="3"/>
      <c r="O525" s="3"/>
      <c r="P525" s="3"/>
      <c r="Q525" s="3"/>
      <c r="R525" s="3"/>
      <c r="S525" s="3"/>
      <c r="T525" s="3"/>
      <c r="U525" s="3"/>
      <c r="V525" s="3"/>
    </row>
    <row r="526" ht="12.75" customHeight="1" spans="1:22" x14ac:dyDescent="0.25">
      <c r="A526" s="3"/>
      <c r="B526" s="3"/>
      <c r="C526" s="3"/>
      <c r="D526" s="3"/>
      <c r="E526" s="3"/>
      <c r="F526" s="3"/>
      <c r="G526" s="3"/>
      <c r="H526" s="3"/>
      <c r="I526" s="3"/>
      <c r="J526" s="3"/>
      <c r="K526" s="3"/>
      <c r="L526" s="3"/>
      <c r="M526" s="3"/>
      <c r="N526" s="3"/>
      <c r="O526" s="3"/>
      <c r="P526" s="3"/>
      <c r="Q526" s="3"/>
      <c r="R526" s="3"/>
      <c r="S526" s="3"/>
      <c r="T526" s="3"/>
      <c r="U526" s="3"/>
      <c r="V526" s="3"/>
    </row>
    <row r="527" ht="12.75" customHeight="1" spans="1:22" x14ac:dyDescent="0.25">
      <c r="A527" s="3"/>
      <c r="B527" s="3"/>
      <c r="C527" s="3"/>
      <c r="D527" s="3"/>
      <c r="E527" s="3"/>
      <c r="F527" s="3"/>
      <c r="G527" s="3"/>
      <c r="H527" s="3"/>
      <c r="I527" s="3"/>
      <c r="J527" s="3"/>
      <c r="K527" s="3"/>
      <c r="L527" s="3"/>
      <c r="M527" s="3"/>
      <c r="N527" s="3"/>
      <c r="O527" s="3"/>
      <c r="P527" s="3"/>
      <c r="Q527" s="3"/>
      <c r="R527" s="3"/>
      <c r="S527" s="3"/>
      <c r="T527" s="3"/>
      <c r="U527" s="3"/>
      <c r="V527" s="3"/>
    </row>
    <row r="528" ht="12.75" customHeight="1" spans="1:22" x14ac:dyDescent="0.25">
      <c r="A528" s="3"/>
      <c r="B528" s="3"/>
      <c r="C528" s="3"/>
      <c r="D528" s="3"/>
      <c r="E528" s="3"/>
      <c r="F528" s="3"/>
      <c r="G528" s="3"/>
      <c r="H528" s="3"/>
      <c r="I528" s="3"/>
      <c r="J528" s="3"/>
      <c r="K528" s="3"/>
      <c r="L528" s="3"/>
      <c r="M528" s="3"/>
      <c r="N528" s="3"/>
      <c r="O528" s="3"/>
      <c r="P528" s="3"/>
      <c r="Q528" s="3"/>
      <c r="R528" s="3"/>
      <c r="S528" s="3"/>
      <c r="T528" s="3"/>
      <c r="U528" s="3"/>
      <c r="V528" s="3"/>
    </row>
    <row r="529" ht="12.75" customHeight="1" spans="1:22" x14ac:dyDescent="0.25">
      <c r="A529" s="3"/>
      <c r="B529" s="3"/>
      <c r="C529" s="3"/>
      <c r="D529" s="3"/>
      <c r="E529" s="3"/>
      <c r="F529" s="3"/>
      <c r="G529" s="3"/>
      <c r="H529" s="3"/>
      <c r="I529" s="3"/>
      <c r="J529" s="3"/>
      <c r="K529" s="3"/>
      <c r="L529" s="3"/>
      <c r="M529" s="3"/>
      <c r="N529" s="3"/>
      <c r="O529" s="3"/>
      <c r="P529" s="3"/>
      <c r="Q529" s="3"/>
      <c r="R529" s="3"/>
      <c r="S529" s="3"/>
      <c r="T529" s="3"/>
      <c r="U529" s="3"/>
      <c r="V529" s="3"/>
    </row>
    <row r="530" ht="12.75" customHeight="1" spans="1:22" x14ac:dyDescent="0.25">
      <c r="A530" s="3"/>
      <c r="B530" s="3"/>
      <c r="C530" s="3"/>
      <c r="D530" s="3"/>
      <c r="E530" s="3"/>
      <c r="F530" s="3"/>
      <c r="G530" s="3"/>
      <c r="H530" s="3"/>
      <c r="I530" s="3"/>
      <c r="J530" s="3"/>
      <c r="K530" s="3"/>
      <c r="L530" s="3"/>
      <c r="M530" s="3"/>
      <c r="N530" s="3"/>
      <c r="O530" s="3"/>
      <c r="P530" s="3"/>
      <c r="Q530" s="3"/>
      <c r="R530" s="3"/>
      <c r="S530" s="3"/>
      <c r="T530" s="3"/>
      <c r="U530" s="3"/>
      <c r="V530" s="3"/>
    </row>
    <row r="531" ht="12.75" customHeight="1" spans="1:22" x14ac:dyDescent="0.25">
      <c r="A531" s="3"/>
      <c r="B531" s="3"/>
      <c r="C531" s="3"/>
      <c r="D531" s="3"/>
      <c r="E531" s="3"/>
      <c r="F531" s="3"/>
      <c r="G531" s="3"/>
      <c r="H531" s="3"/>
      <c r="I531" s="3"/>
      <c r="J531" s="3"/>
      <c r="K531" s="3"/>
      <c r="L531" s="3"/>
      <c r="M531" s="3"/>
      <c r="N531" s="3"/>
      <c r="O531" s="3"/>
      <c r="P531" s="3"/>
      <c r="Q531" s="3"/>
      <c r="R531" s="3"/>
      <c r="S531" s="3"/>
      <c r="T531" s="3"/>
      <c r="U531" s="3"/>
      <c r="V531" s="3"/>
    </row>
    <row r="532" ht="12.75" customHeight="1" spans="1:22" x14ac:dyDescent="0.25">
      <c r="A532" s="3"/>
      <c r="B532" s="3"/>
      <c r="C532" s="3"/>
      <c r="D532" s="3"/>
      <c r="E532" s="3"/>
      <c r="F532" s="3"/>
      <c r="G532" s="3"/>
      <c r="H532" s="3"/>
      <c r="I532" s="3"/>
      <c r="J532" s="3"/>
      <c r="K532" s="3"/>
      <c r="L532" s="3"/>
      <c r="M532" s="3"/>
      <c r="N532" s="3"/>
      <c r="O532" s="3"/>
      <c r="P532" s="3"/>
      <c r="Q532" s="3"/>
      <c r="R532" s="3"/>
      <c r="S532" s="3"/>
      <c r="T532" s="3"/>
      <c r="U532" s="3"/>
      <c r="V532" s="3"/>
    </row>
    <row r="533" ht="12.75" customHeight="1" spans="1:22" x14ac:dyDescent="0.25">
      <c r="A533" s="3"/>
      <c r="B533" s="3"/>
      <c r="C533" s="3"/>
      <c r="D533" s="3"/>
      <c r="E533" s="3"/>
      <c r="F533" s="3"/>
      <c r="G533" s="3"/>
      <c r="H533" s="3"/>
      <c r="I533" s="3"/>
      <c r="J533" s="3"/>
      <c r="K533" s="3"/>
      <c r="L533" s="3"/>
      <c r="M533" s="3"/>
      <c r="N533" s="3"/>
      <c r="O533" s="3"/>
      <c r="P533" s="3"/>
      <c r="Q533" s="3"/>
      <c r="R533" s="3"/>
      <c r="S533" s="3"/>
      <c r="T533" s="3"/>
      <c r="U533" s="3"/>
      <c r="V533" s="3"/>
    </row>
    <row r="534" ht="12.75" customHeight="1" spans="1:22" x14ac:dyDescent="0.25">
      <c r="A534" s="3"/>
      <c r="B534" s="3"/>
      <c r="C534" s="3"/>
      <c r="D534" s="3"/>
      <c r="E534" s="3"/>
      <c r="F534" s="3"/>
      <c r="G534" s="3"/>
      <c r="H534" s="3"/>
      <c r="I534" s="3"/>
      <c r="J534" s="3"/>
      <c r="K534" s="3"/>
      <c r="L534" s="3"/>
      <c r="M534" s="3"/>
      <c r="N534" s="3"/>
      <c r="O534" s="3"/>
      <c r="P534" s="3"/>
      <c r="Q534" s="3"/>
      <c r="R534" s="3"/>
      <c r="S534" s="3"/>
      <c r="T534" s="3"/>
      <c r="U534" s="3"/>
      <c r="V534" s="3"/>
    </row>
    <row r="535" ht="12.75" customHeight="1" spans="1:22" x14ac:dyDescent="0.25">
      <c r="A535" s="3"/>
      <c r="B535" s="3"/>
      <c r="C535" s="3"/>
      <c r="D535" s="3"/>
      <c r="E535" s="3"/>
      <c r="F535" s="3"/>
      <c r="G535" s="3"/>
      <c r="H535" s="3"/>
      <c r="I535" s="3"/>
      <c r="J535" s="3"/>
      <c r="K535" s="3"/>
      <c r="L535" s="3"/>
      <c r="M535" s="3"/>
      <c r="N535" s="3"/>
      <c r="O535" s="3"/>
      <c r="P535" s="3"/>
      <c r="Q535" s="3"/>
      <c r="R535" s="3"/>
      <c r="S535" s="3"/>
      <c r="T535" s="3"/>
      <c r="U535" s="3"/>
      <c r="V535" s="3"/>
    </row>
    <row r="536" ht="12.75" customHeight="1" spans="1:22" x14ac:dyDescent="0.25">
      <c r="A536" s="3"/>
      <c r="B536" s="3"/>
      <c r="C536" s="3"/>
      <c r="D536" s="3"/>
      <c r="E536" s="3"/>
      <c r="F536" s="3"/>
      <c r="G536" s="3"/>
      <c r="H536" s="3"/>
      <c r="I536" s="3"/>
      <c r="J536" s="3"/>
      <c r="K536" s="3"/>
      <c r="L536" s="3"/>
      <c r="M536" s="3"/>
      <c r="N536" s="3"/>
      <c r="O536" s="3"/>
      <c r="P536" s="3"/>
      <c r="Q536" s="3"/>
      <c r="R536" s="3"/>
      <c r="S536" s="3"/>
      <c r="T536" s="3"/>
      <c r="U536" s="3"/>
      <c r="V536" s="3"/>
    </row>
    <row r="537" ht="12.75" customHeight="1" spans="1:22" x14ac:dyDescent="0.25">
      <c r="A537" s="3"/>
      <c r="B537" s="3"/>
      <c r="C537" s="3"/>
      <c r="D537" s="3"/>
      <c r="E537" s="3"/>
      <c r="F537" s="3"/>
      <c r="G537" s="3"/>
      <c r="H537" s="3"/>
      <c r="I537" s="3"/>
      <c r="J537" s="3"/>
      <c r="K537" s="3"/>
      <c r="L537" s="3"/>
      <c r="M537" s="3"/>
      <c r="N537" s="3"/>
      <c r="O537" s="3"/>
      <c r="P537" s="3"/>
      <c r="Q537" s="3"/>
      <c r="R537" s="3"/>
      <c r="S537" s="3"/>
      <c r="T537" s="3"/>
      <c r="U537" s="3"/>
      <c r="V537" s="3"/>
    </row>
    <row r="538" ht="12.75" customHeight="1" spans="1:22" x14ac:dyDescent="0.25">
      <c r="A538" s="3"/>
      <c r="B538" s="3"/>
      <c r="C538" s="3"/>
      <c r="D538" s="3"/>
      <c r="E538" s="3"/>
      <c r="F538" s="3"/>
      <c r="G538" s="3"/>
      <c r="H538" s="3"/>
      <c r="I538" s="3"/>
      <c r="J538" s="3"/>
      <c r="K538" s="3"/>
      <c r="L538" s="3"/>
      <c r="M538" s="3"/>
      <c r="N538" s="3"/>
      <c r="O538" s="3"/>
      <c r="P538" s="3"/>
      <c r="Q538" s="3"/>
      <c r="R538" s="3"/>
      <c r="S538" s="3"/>
      <c r="T538" s="3"/>
      <c r="U538" s="3"/>
      <c r="V538" s="3"/>
    </row>
    <row r="539" ht="12.75" customHeight="1" spans="1:22" x14ac:dyDescent="0.25">
      <c r="A539" s="3"/>
      <c r="B539" s="3"/>
      <c r="C539" s="3"/>
      <c r="D539" s="3"/>
      <c r="E539" s="3"/>
      <c r="F539" s="3"/>
      <c r="G539" s="3"/>
      <c r="H539" s="3"/>
      <c r="I539" s="3"/>
      <c r="J539" s="3"/>
      <c r="K539" s="3"/>
      <c r="L539" s="3"/>
      <c r="M539" s="3"/>
      <c r="N539" s="3"/>
      <c r="O539" s="3"/>
      <c r="P539" s="3"/>
      <c r="Q539" s="3"/>
      <c r="R539" s="3"/>
      <c r="S539" s="3"/>
      <c r="T539" s="3"/>
      <c r="U539" s="3"/>
      <c r="V539" s="3"/>
    </row>
    <row r="540" ht="12.75" customHeight="1" spans="1:22" x14ac:dyDescent="0.25">
      <c r="A540" s="3"/>
      <c r="B540" s="3"/>
      <c r="C540" s="3"/>
      <c r="D540" s="3"/>
      <c r="E540" s="3"/>
      <c r="F540" s="3"/>
      <c r="G540" s="3"/>
      <c r="H540" s="3"/>
      <c r="I540" s="3"/>
      <c r="J540" s="3"/>
      <c r="K540" s="3"/>
      <c r="L540" s="3"/>
      <c r="M540" s="3"/>
      <c r="N540" s="3"/>
      <c r="O540" s="3"/>
      <c r="P540" s="3"/>
      <c r="Q540" s="3"/>
      <c r="R540" s="3"/>
      <c r="S540" s="3"/>
      <c r="T540" s="3"/>
      <c r="U540" s="3"/>
      <c r="V540" s="3"/>
    </row>
    <row r="541" ht="12.75" customHeight="1" spans="1:22" x14ac:dyDescent="0.25">
      <c r="A541" s="3"/>
      <c r="B541" s="3"/>
      <c r="C541" s="3"/>
      <c r="D541" s="3"/>
      <c r="E541" s="3"/>
      <c r="F541" s="3"/>
      <c r="G541" s="3"/>
      <c r="H541" s="3"/>
      <c r="I541" s="3"/>
      <c r="J541" s="3"/>
      <c r="K541" s="3"/>
      <c r="L541" s="3"/>
      <c r="M541" s="3"/>
      <c r="N541" s="3"/>
      <c r="O541" s="3"/>
      <c r="P541" s="3"/>
      <c r="Q541" s="3"/>
      <c r="R541" s="3"/>
      <c r="S541" s="3"/>
      <c r="T541" s="3"/>
      <c r="U541" s="3"/>
      <c r="V541" s="3"/>
    </row>
    <row r="542" ht="12.75" customHeight="1" spans="1:22" x14ac:dyDescent="0.25">
      <c r="A542" s="3"/>
      <c r="B542" s="3"/>
      <c r="C542" s="3"/>
      <c r="D542" s="3"/>
      <c r="E542" s="3"/>
      <c r="F542" s="3"/>
      <c r="G542" s="3"/>
      <c r="H542" s="3"/>
      <c r="I542" s="3"/>
      <c r="J542" s="3"/>
      <c r="K542" s="3"/>
      <c r="L542" s="3"/>
      <c r="M542" s="3"/>
      <c r="N542" s="3"/>
      <c r="O542" s="3"/>
      <c r="P542" s="3"/>
      <c r="Q542" s="3"/>
      <c r="R542" s="3"/>
      <c r="S542" s="3"/>
      <c r="T542" s="3"/>
      <c r="U542" s="3"/>
      <c r="V542" s="3"/>
    </row>
    <row r="543" ht="12.75" customHeight="1" spans="1:22" x14ac:dyDescent="0.25">
      <c r="A543" s="3"/>
      <c r="B543" s="3"/>
      <c r="C543" s="3"/>
      <c r="D543" s="3"/>
      <c r="E543" s="3"/>
      <c r="F543" s="3"/>
      <c r="G543" s="3"/>
      <c r="H543" s="3"/>
      <c r="I543" s="3"/>
      <c r="J543" s="3"/>
      <c r="K543" s="3"/>
      <c r="L543" s="3"/>
      <c r="M543" s="3"/>
      <c r="N543" s="3"/>
      <c r="O543" s="3"/>
      <c r="P543" s="3"/>
      <c r="Q543" s="3"/>
      <c r="R543" s="3"/>
      <c r="S543" s="3"/>
      <c r="T543" s="3"/>
      <c r="U543" s="3"/>
      <c r="V543" s="3"/>
    </row>
    <row r="544" ht="12.75" customHeight="1" spans="1:22" x14ac:dyDescent="0.25">
      <c r="A544" s="3"/>
      <c r="B544" s="3"/>
      <c r="C544" s="3"/>
      <c r="D544" s="3"/>
      <c r="E544" s="3"/>
      <c r="F544" s="3"/>
      <c r="G544" s="3"/>
      <c r="H544" s="3"/>
      <c r="I544" s="3"/>
      <c r="J544" s="3"/>
      <c r="K544" s="3"/>
      <c r="L544" s="3"/>
      <c r="M544" s="3"/>
      <c r="N544" s="3"/>
      <c r="O544" s="3"/>
      <c r="P544" s="3"/>
      <c r="Q544" s="3"/>
      <c r="R544" s="3"/>
      <c r="S544" s="3"/>
      <c r="T544" s="3"/>
      <c r="U544" s="3"/>
      <c r="V544" s="3"/>
    </row>
    <row r="545" ht="12.75" customHeight="1" spans="1:22" x14ac:dyDescent="0.25">
      <c r="A545" s="3"/>
      <c r="B545" s="3"/>
      <c r="C545" s="3"/>
      <c r="D545" s="3"/>
      <c r="E545" s="3"/>
      <c r="F545" s="3"/>
      <c r="G545" s="3"/>
      <c r="H545" s="3"/>
      <c r="I545" s="3"/>
      <c r="J545" s="3"/>
      <c r="K545" s="3"/>
      <c r="L545" s="3"/>
      <c r="M545" s="3"/>
      <c r="N545" s="3"/>
      <c r="O545" s="3"/>
      <c r="P545" s="3"/>
      <c r="Q545" s="3"/>
      <c r="R545" s="3"/>
      <c r="S545" s="3"/>
      <c r="T545" s="3"/>
      <c r="U545" s="3"/>
      <c r="V545" s="3"/>
    </row>
    <row r="546" ht="12.75" customHeight="1" spans="1:22" x14ac:dyDescent="0.25">
      <c r="A546" s="3"/>
      <c r="B546" s="3"/>
      <c r="C546" s="3"/>
      <c r="D546" s="3"/>
      <c r="E546" s="3"/>
      <c r="F546" s="3"/>
      <c r="G546" s="3"/>
      <c r="H546" s="3"/>
      <c r="I546" s="3"/>
      <c r="J546" s="3"/>
      <c r="K546" s="3"/>
      <c r="L546" s="3"/>
      <c r="M546" s="3"/>
      <c r="N546" s="3"/>
      <c r="O546" s="3"/>
      <c r="P546" s="3"/>
      <c r="Q546" s="3"/>
      <c r="R546" s="3"/>
      <c r="S546" s="3"/>
      <c r="T546" s="3"/>
      <c r="U546" s="3"/>
      <c r="V546" s="3"/>
    </row>
    <row r="547" ht="12.75" customHeight="1" spans="1:22" x14ac:dyDescent="0.25">
      <c r="A547" s="3"/>
      <c r="B547" s="3"/>
      <c r="C547" s="3"/>
      <c r="D547" s="3"/>
      <c r="E547" s="3"/>
      <c r="F547" s="3"/>
      <c r="G547" s="3"/>
      <c r="H547" s="3"/>
      <c r="I547" s="3"/>
      <c r="J547" s="3"/>
      <c r="K547" s="3"/>
      <c r="L547" s="3"/>
      <c r="M547" s="3"/>
      <c r="N547" s="3"/>
      <c r="O547" s="3"/>
      <c r="P547" s="3"/>
      <c r="Q547" s="3"/>
      <c r="R547" s="3"/>
      <c r="S547" s="3"/>
      <c r="T547" s="3"/>
      <c r="U547" s="3"/>
      <c r="V547" s="3"/>
    </row>
    <row r="548" ht="12.75" customHeight="1" spans="1:22" x14ac:dyDescent="0.25">
      <c r="A548" s="3"/>
      <c r="B548" s="3"/>
      <c r="C548" s="3"/>
      <c r="D548" s="3"/>
      <c r="E548" s="3"/>
      <c r="F548" s="3"/>
      <c r="G548" s="3"/>
      <c r="H548" s="3"/>
      <c r="I548" s="3"/>
      <c r="J548" s="3"/>
      <c r="K548" s="3"/>
      <c r="L548" s="3"/>
      <c r="M548" s="3"/>
      <c r="N548" s="3"/>
      <c r="O548" s="3"/>
      <c r="P548" s="3"/>
      <c r="Q548" s="3"/>
      <c r="R548" s="3"/>
      <c r="S548" s="3"/>
      <c r="T548" s="3"/>
      <c r="U548" s="3"/>
      <c r="V548" s="3"/>
    </row>
    <row r="549" ht="12.75" customHeight="1" spans="1:22" x14ac:dyDescent="0.25">
      <c r="A549" s="3"/>
      <c r="B549" s="3"/>
      <c r="C549" s="3"/>
      <c r="D549" s="3"/>
      <c r="E549" s="3"/>
      <c r="F549" s="3"/>
      <c r="G549" s="3"/>
      <c r="H549" s="3"/>
      <c r="I549" s="3"/>
      <c r="J549" s="3"/>
      <c r="K549" s="3"/>
      <c r="L549" s="3"/>
      <c r="M549" s="3"/>
      <c r="N549" s="3"/>
      <c r="O549" s="3"/>
      <c r="P549" s="3"/>
      <c r="Q549" s="3"/>
      <c r="R549" s="3"/>
      <c r="S549" s="3"/>
      <c r="T549" s="3"/>
      <c r="U549" s="3"/>
      <c r="V549" s="3"/>
    </row>
    <row r="550" ht="12.75" customHeight="1" spans="1:22" x14ac:dyDescent="0.25">
      <c r="A550" s="3"/>
      <c r="B550" s="3"/>
      <c r="C550" s="3"/>
      <c r="D550" s="3"/>
      <c r="E550" s="3"/>
      <c r="F550" s="3"/>
      <c r="G550" s="3"/>
      <c r="H550" s="3"/>
      <c r="I550" s="3"/>
      <c r="J550" s="3"/>
      <c r="K550" s="3"/>
      <c r="L550" s="3"/>
      <c r="M550" s="3"/>
      <c r="N550" s="3"/>
      <c r="O550" s="3"/>
      <c r="P550" s="3"/>
      <c r="Q550" s="3"/>
      <c r="R550" s="3"/>
      <c r="S550" s="3"/>
      <c r="T550" s="3"/>
      <c r="U550" s="3"/>
      <c r="V550" s="3"/>
    </row>
    <row r="551" ht="12.75" customHeight="1" spans="1:22" x14ac:dyDescent="0.25">
      <c r="A551" s="3"/>
      <c r="B551" s="3"/>
      <c r="C551" s="3"/>
      <c r="D551" s="3"/>
      <c r="E551" s="3"/>
      <c r="F551" s="3"/>
      <c r="G551" s="3"/>
      <c r="H551" s="3"/>
      <c r="I551" s="3"/>
      <c r="J551" s="3"/>
      <c r="K551" s="3"/>
      <c r="L551" s="3"/>
      <c r="M551" s="3"/>
      <c r="N551" s="3"/>
      <c r="O551" s="3"/>
      <c r="P551" s="3"/>
      <c r="Q551" s="3"/>
      <c r="R551" s="3"/>
      <c r="S551" s="3"/>
      <c r="T551" s="3"/>
      <c r="U551" s="3"/>
      <c r="V551" s="3"/>
    </row>
    <row r="552" ht="12.75" customHeight="1" spans="1:22" x14ac:dyDescent="0.25">
      <c r="A552" s="3"/>
      <c r="B552" s="3"/>
      <c r="C552" s="3"/>
      <c r="D552" s="3"/>
      <c r="E552" s="3"/>
      <c r="F552" s="3"/>
      <c r="G552" s="3"/>
      <c r="H552" s="3"/>
      <c r="I552" s="3"/>
      <c r="J552" s="3"/>
      <c r="K552" s="3"/>
      <c r="L552" s="3"/>
      <c r="M552" s="3"/>
      <c r="N552" s="3"/>
      <c r="O552" s="3"/>
      <c r="P552" s="3"/>
      <c r="Q552" s="3"/>
      <c r="R552" s="3"/>
      <c r="S552" s="3"/>
      <c r="T552" s="3"/>
      <c r="U552" s="3"/>
      <c r="V552" s="3"/>
    </row>
    <row r="553" ht="12.75" customHeight="1" spans="1:22" x14ac:dyDescent="0.25">
      <c r="A553" s="3"/>
      <c r="B553" s="3"/>
      <c r="C553" s="3"/>
      <c r="D553" s="3"/>
      <c r="E553" s="3"/>
      <c r="F553" s="3"/>
      <c r="G553" s="3"/>
      <c r="H553" s="3"/>
      <c r="I553" s="3"/>
      <c r="J553" s="3"/>
      <c r="K553" s="3"/>
      <c r="L553" s="3"/>
      <c r="M553" s="3"/>
      <c r="N553" s="3"/>
      <c r="O553" s="3"/>
      <c r="P553" s="3"/>
      <c r="Q553" s="3"/>
      <c r="R553" s="3"/>
      <c r="S553" s="3"/>
      <c r="T553" s="3"/>
      <c r="U553" s="3"/>
      <c r="V553" s="3"/>
    </row>
    <row r="554" ht="12.75" customHeight="1" spans="1:22" x14ac:dyDescent="0.25">
      <c r="A554" s="3"/>
      <c r="B554" s="3"/>
      <c r="C554" s="3"/>
      <c r="D554" s="3"/>
      <c r="E554" s="3"/>
      <c r="F554" s="3"/>
      <c r="G554" s="3"/>
      <c r="H554" s="3"/>
      <c r="I554" s="3"/>
      <c r="J554" s="3"/>
      <c r="K554" s="3"/>
      <c r="L554" s="3"/>
      <c r="M554" s="3"/>
      <c r="N554" s="3"/>
      <c r="O554" s="3"/>
      <c r="P554" s="3"/>
      <c r="Q554" s="3"/>
      <c r="R554" s="3"/>
      <c r="S554" s="3"/>
      <c r="T554" s="3"/>
      <c r="U554" s="3"/>
      <c r="V554" s="3"/>
    </row>
    <row r="555" ht="12.75" customHeight="1" spans="1:22" x14ac:dyDescent="0.25">
      <c r="A555" s="3"/>
      <c r="B555" s="3"/>
      <c r="C555" s="3"/>
      <c r="D555" s="3"/>
      <c r="E555" s="3"/>
      <c r="F555" s="3"/>
      <c r="G555" s="3"/>
      <c r="H555" s="3"/>
      <c r="I555" s="3"/>
      <c r="J555" s="3"/>
      <c r="K555" s="3"/>
      <c r="L555" s="3"/>
      <c r="M555" s="3"/>
      <c r="N555" s="3"/>
      <c r="O555" s="3"/>
      <c r="P555" s="3"/>
      <c r="Q555" s="3"/>
      <c r="R555" s="3"/>
      <c r="S555" s="3"/>
      <c r="T555" s="3"/>
      <c r="U555" s="3"/>
      <c r="V555" s="3"/>
    </row>
    <row r="556" ht="12.75" customHeight="1" spans="1:22" x14ac:dyDescent="0.25">
      <c r="A556" s="3"/>
      <c r="B556" s="3"/>
      <c r="C556" s="3"/>
      <c r="D556" s="3"/>
      <c r="E556" s="3"/>
      <c r="F556" s="3"/>
      <c r="G556" s="3"/>
      <c r="H556" s="3"/>
      <c r="I556" s="3"/>
      <c r="J556" s="3"/>
      <c r="K556" s="3"/>
      <c r="L556" s="3"/>
      <c r="M556" s="3"/>
      <c r="N556" s="3"/>
      <c r="O556" s="3"/>
      <c r="P556" s="3"/>
      <c r="Q556" s="3"/>
      <c r="R556" s="3"/>
      <c r="S556" s="3"/>
      <c r="T556" s="3"/>
      <c r="U556" s="3"/>
      <c r="V556" s="3"/>
    </row>
    <row r="557" ht="12.75" customHeight="1" spans="1:22" x14ac:dyDescent="0.25">
      <c r="A557" s="3"/>
      <c r="B557" s="3"/>
      <c r="C557" s="3"/>
      <c r="D557" s="3"/>
      <c r="E557" s="3"/>
      <c r="F557" s="3"/>
      <c r="G557" s="3"/>
      <c r="H557" s="3"/>
      <c r="I557" s="3"/>
      <c r="J557" s="3"/>
      <c r="K557" s="3"/>
      <c r="L557" s="3"/>
      <c r="M557" s="3"/>
      <c r="N557" s="3"/>
      <c r="O557" s="3"/>
      <c r="P557" s="3"/>
      <c r="Q557" s="3"/>
      <c r="R557" s="3"/>
      <c r="S557" s="3"/>
      <c r="T557" s="3"/>
      <c r="U557" s="3"/>
      <c r="V557" s="3"/>
    </row>
    <row r="558" ht="12.75" customHeight="1" spans="1:22" x14ac:dyDescent="0.25">
      <c r="A558" s="3"/>
      <c r="B558" s="3"/>
      <c r="C558" s="3"/>
      <c r="D558" s="3"/>
      <c r="E558" s="3"/>
      <c r="F558" s="3"/>
      <c r="G558" s="3"/>
      <c r="H558" s="3"/>
      <c r="I558" s="3"/>
      <c r="J558" s="3"/>
      <c r="K558" s="3"/>
      <c r="L558" s="3"/>
      <c r="M558" s="3"/>
      <c r="N558" s="3"/>
      <c r="O558" s="3"/>
      <c r="P558" s="3"/>
      <c r="Q558" s="3"/>
      <c r="R558" s="3"/>
      <c r="S558" s="3"/>
      <c r="T558" s="3"/>
      <c r="U558" s="3"/>
      <c r="V558" s="3"/>
    </row>
    <row r="559" ht="12.75" customHeight="1" spans="1:22" x14ac:dyDescent="0.25">
      <c r="A559" s="3"/>
      <c r="B559" s="3"/>
      <c r="C559" s="3"/>
      <c r="D559" s="3"/>
      <c r="E559" s="3"/>
      <c r="F559" s="3"/>
      <c r="G559" s="3"/>
      <c r="H559" s="3"/>
      <c r="I559" s="3"/>
      <c r="J559" s="3"/>
      <c r="K559" s="3"/>
      <c r="L559" s="3"/>
      <c r="M559" s="3"/>
      <c r="N559" s="3"/>
      <c r="O559" s="3"/>
      <c r="P559" s="3"/>
      <c r="Q559" s="3"/>
      <c r="R559" s="3"/>
      <c r="S559" s="3"/>
      <c r="T559" s="3"/>
      <c r="U559" s="3"/>
      <c r="V559" s="3"/>
    </row>
    <row r="560" ht="12.75" customHeight="1" spans="1:22" x14ac:dyDescent="0.25">
      <c r="A560" s="3"/>
      <c r="B560" s="3"/>
      <c r="C560" s="3"/>
      <c r="D560" s="3"/>
      <c r="E560" s="3"/>
      <c r="F560" s="3"/>
      <c r="G560" s="3"/>
      <c r="H560" s="3"/>
      <c r="I560" s="3"/>
      <c r="J560" s="3"/>
      <c r="K560" s="3"/>
      <c r="L560" s="3"/>
      <c r="M560" s="3"/>
      <c r="N560" s="3"/>
      <c r="O560" s="3"/>
      <c r="P560" s="3"/>
      <c r="Q560" s="3"/>
      <c r="R560" s="3"/>
      <c r="S560" s="3"/>
      <c r="T560" s="3"/>
      <c r="U560" s="3"/>
      <c r="V560" s="3"/>
    </row>
    <row r="561" ht="12.75" customHeight="1" spans="1:22" x14ac:dyDescent="0.25">
      <c r="A561" s="3"/>
      <c r="B561" s="3"/>
      <c r="C561" s="3"/>
      <c r="D561" s="3"/>
      <c r="E561" s="3"/>
      <c r="F561" s="3"/>
      <c r="G561" s="3"/>
      <c r="H561" s="3"/>
      <c r="I561" s="3"/>
      <c r="J561" s="3"/>
      <c r="K561" s="3"/>
      <c r="L561" s="3"/>
      <c r="M561" s="3"/>
      <c r="N561" s="3"/>
      <c r="O561" s="3"/>
      <c r="P561" s="3"/>
      <c r="Q561" s="3"/>
      <c r="R561" s="3"/>
      <c r="S561" s="3"/>
      <c r="T561" s="3"/>
      <c r="U561" s="3"/>
      <c r="V561" s="3"/>
    </row>
    <row r="562" ht="12.75" customHeight="1" spans="1:22" x14ac:dyDescent="0.25">
      <c r="A562" s="3"/>
      <c r="B562" s="3"/>
      <c r="C562" s="3"/>
      <c r="D562" s="3"/>
      <c r="E562" s="3"/>
      <c r="F562" s="3"/>
      <c r="G562" s="3"/>
      <c r="H562" s="3"/>
      <c r="I562" s="3"/>
      <c r="J562" s="3"/>
      <c r="K562" s="3"/>
      <c r="L562" s="3"/>
      <c r="M562" s="3"/>
      <c r="N562" s="3"/>
      <c r="O562" s="3"/>
      <c r="P562" s="3"/>
      <c r="Q562" s="3"/>
      <c r="R562" s="3"/>
      <c r="S562" s="3"/>
      <c r="T562" s="3"/>
      <c r="U562" s="3"/>
      <c r="V562" s="3"/>
    </row>
    <row r="563" ht="12.75" customHeight="1" spans="1:22" x14ac:dyDescent="0.25">
      <c r="A563" s="3"/>
      <c r="B563" s="3"/>
      <c r="C563" s="3"/>
      <c r="D563" s="3"/>
      <c r="E563" s="3"/>
      <c r="F563" s="3"/>
      <c r="G563" s="3"/>
      <c r="H563" s="3"/>
      <c r="I563" s="3"/>
      <c r="J563" s="3"/>
      <c r="K563" s="3"/>
      <c r="L563" s="3"/>
      <c r="M563" s="3"/>
      <c r="N563" s="3"/>
      <c r="O563" s="3"/>
      <c r="P563" s="3"/>
      <c r="Q563" s="3"/>
      <c r="R563" s="3"/>
      <c r="S563" s="3"/>
      <c r="T563" s="3"/>
      <c r="U563" s="3"/>
      <c r="V563" s="3"/>
    </row>
    <row r="564" ht="12.75" customHeight="1" spans="1:22" x14ac:dyDescent="0.25">
      <c r="A564" s="3"/>
      <c r="B564" s="3"/>
      <c r="C564" s="3"/>
      <c r="D564" s="3"/>
      <c r="E564" s="3"/>
      <c r="F564" s="3"/>
      <c r="G564" s="3"/>
      <c r="H564" s="3"/>
      <c r="I564" s="3"/>
      <c r="J564" s="3"/>
      <c r="K564" s="3"/>
      <c r="L564" s="3"/>
      <c r="M564" s="3"/>
      <c r="N564" s="3"/>
      <c r="O564" s="3"/>
      <c r="P564" s="3"/>
      <c r="Q564" s="3"/>
      <c r="R564" s="3"/>
      <c r="S564" s="3"/>
      <c r="T564" s="3"/>
      <c r="U564" s="3"/>
      <c r="V564" s="3"/>
    </row>
    <row r="565" ht="12.75" customHeight="1" spans="1:22" x14ac:dyDescent="0.25">
      <c r="A565" s="3"/>
      <c r="B565" s="3"/>
      <c r="C565" s="3"/>
      <c r="D565" s="3"/>
      <c r="E565" s="3"/>
      <c r="F565" s="3"/>
      <c r="G565" s="3"/>
      <c r="H565" s="3"/>
      <c r="I565" s="3"/>
      <c r="J565" s="3"/>
      <c r="K565" s="3"/>
      <c r="L565" s="3"/>
      <c r="M565" s="3"/>
      <c r="N565" s="3"/>
      <c r="O565" s="3"/>
      <c r="P565" s="3"/>
      <c r="Q565" s="3"/>
      <c r="R565" s="3"/>
      <c r="S565" s="3"/>
      <c r="T565" s="3"/>
      <c r="U565" s="3"/>
      <c r="V565" s="3"/>
    </row>
    <row r="566" ht="12.75" customHeight="1" spans="1:22" x14ac:dyDescent="0.25">
      <c r="A566" s="3"/>
      <c r="B566" s="3"/>
      <c r="C566" s="3"/>
      <c r="D566" s="3"/>
      <c r="E566" s="3"/>
      <c r="F566" s="3"/>
      <c r="G566" s="3"/>
      <c r="H566" s="3"/>
      <c r="I566" s="3"/>
      <c r="J566" s="3"/>
      <c r="K566" s="3"/>
      <c r="L566" s="3"/>
      <c r="M566" s="3"/>
      <c r="N566" s="3"/>
      <c r="O566" s="3"/>
      <c r="P566" s="3"/>
      <c r="Q566" s="3"/>
      <c r="R566" s="3"/>
      <c r="S566" s="3"/>
      <c r="T566" s="3"/>
      <c r="U566" s="3"/>
      <c r="V566" s="3"/>
    </row>
    <row r="567" ht="12.75" customHeight="1" spans="1:22" x14ac:dyDescent="0.25">
      <c r="A567" s="3"/>
      <c r="B567" s="3"/>
      <c r="C567" s="3"/>
      <c r="D567" s="3"/>
      <c r="E567" s="3"/>
      <c r="F567" s="3"/>
      <c r="G567" s="3"/>
      <c r="H567" s="3"/>
      <c r="I567" s="3"/>
      <c r="J567" s="3"/>
      <c r="K567" s="3"/>
      <c r="L567" s="3"/>
      <c r="M567" s="3"/>
      <c r="N567" s="3"/>
      <c r="O567" s="3"/>
      <c r="P567" s="3"/>
      <c r="Q567" s="3"/>
      <c r="R567" s="3"/>
      <c r="S567" s="3"/>
      <c r="T567" s="3"/>
      <c r="U567" s="3"/>
      <c r="V567" s="3"/>
    </row>
    <row r="568" ht="12.75" customHeight="1" spans="1:22" x14ac:dyDescent="0.25">
      <c r="A568" s="3"/>
      <c r="B568" s="3"/>
      <c r="C568" s="3"/>
      <c r="D568" s="3"/>
      <c r="E568" s="3"/>
      <c r="F568" s="3"/>
      <c r="G568" s="3"/>
      <c r="H568" s="3"/>
      <c r="I568" s="3"/>
      <c r="J568" s="3"/>
      <c r="K568" s="3"/>
      <c r="L568" s="3"/>
      <c r="M568" s="3"/>
      <c r="N568" s="3"/>
      <c r="O568" s="3"/>
      <c r="P568" s="3"/>
      <c r="Q568" s="3"/>
      <c r="R568" s="3"/>
      <c r="S568" s="3"/>
      <c r="T568" s="3"/>
      <c r="U568" s="3"/>
      <c r="V568" s="3"/>
    </row>
    <row r="569" ht="12.75" customHeight="1" spans="1:22" x14ac:dyDescent="0.25">
      <c r="A569" s="3"/>
      <c r="B569" s="3"/>
      <c r="C569" s="3"/>
      <c r="D569" s="3"/>
      <c r="E569" s="3"/>
      <c r="F569" s="3"/>
      <c r="G569" s="3"/>
      <c r="H569" s="3"/>
      <c r="I569" s="3"/>
      <c r="J569" s="3"/>
      <c r="K569" s="3"/>
      <c r="L569" s="3"/>
      <c r="M569" s="3"/>
      <c r="N569" s="3"/>
      <c r="O569" s="3"/>
      <c r="P569" s="3"/>
      <c r="Q569" s="3"/>
      <c r="R569" s="3"/>
      <c r="S569" s="3"/>
      <c r="T569" s="3"/>
      <c r="U569" s="3"/>
      <c r="V569" s="3"/>
    </row>
    <row r="570" ht="12.75" customHeight="1" spans="1:22" x14ac:dyDescent="0.25">
      <c r="A570" s="3"/>
      <c r="B570" s="3"/>
      <c r="C570" s="3"/>
      <c r="D570" s="3"/>
      <c r="E570" s="3"/>
      <c r="F570" s="3"/>
      <c r="G570" s="3"/>
      <c r="H570" s="3"/>
      <c r="I570" s="3"/>
      <c r="J570" s="3"/>
      <c r="K570" s="3"/>
      <c r="L570" s="3"/>
      <c r="M570" s="3"/>
      <c r="N570" s="3"/>
      <c r="O570" s="3"/>
      <c r="P570" s="3"/>
      <c r="Q570" s="3"/>
      <c r="R570" s="3"/>
      <c r="S570" s="3"/>
      <c r="T570" s="3"/>
      <c r="U570" s="3"/>
      <c r="V570" s="3"/>
    </row>
    <row r="571" ht="12.75" customHeight="1" spans="1:22" x14ac:dyDescent="0.25">
      <c r="A571" s="3"/>
      <c r="B571" s="3"/>
      <c r="C571" s="3"/>
      <c r="D571" s="3"/>
      <c r="E571" s="3"/>
      <c r="F571" s="3"/>
      <c r="G571" s="3"/>
      <c r="H571" s="3"/>
      <c r="I571" s="3"/>
      <c r="J571" s="3"/>
      <c r="K571" s="3"/>
      <c r="L571" s="3"/>
      <c r="M571" s="3"/>
      <c r="N571" s="3"/>
      <c r="O571" s="3"/>
      <c r="P571" s="3"/>
      <c r="Q571" s="3"/>
      <c r="R571" s="3"/>
      <c r="S571" s="3"/>
      <c r="T571" s="3"/>
      <c r="U571" s="3"/>
      <c r="V571" s="3"/>
    </row>
    <row r="572" ht="12.75" customHeight="1" spans="1:22" x14ac:dyDescent="0.25">
      <c r="A572" s="3"/>
      <c r="B572" s="3"/>
      <c r="C572" s="3"/>
      <c r="D572" s="3"/>
      <c r="E572" s="3"/>
      <c r="F572" s="3"/>
      <c r="G572" s="3"/>
      <c r="H572" s="3"/>
      <c r="I572" s="3"/>
      <c r="J572" s="3"/>
      <c r="K572" s="3"/>
      <c r="L572" s="3"/>
      <c r="M572" s="3"/>
      <c r="N572" s="3"/>
      <c r="O572" s="3"/>
      <c r="P572" s="3"/>
      <c r="Q572" s="3"/>
      <c r="R572" s="3"/>
      <c r="S572" s="3"/>
      <c r="T572" s="3"/>
      <c r="U572" s="3"/>
      <c r="V572" s="3"/>
    </row>
    <row r="573" ht="12.75" customHeight="1" spans="1:22" x14ac:dyDescent="0.25">
      <c r="A573" s="3"/>
      <c r="B573" s="3"/>
      <c r="C573" s="3"/>
      <c r="D573" s="3"/>
      <c r="E573" s="3"/>
      <c r="F573" s="3"/>
      <c r="G573" s="3"/>
      <c r="H573" s="3"/>
      <c r="I573" s="3"/>
      <c r="J573" s="3"/>
      <c r="K573" s="3"/>
      <c r="L573" s="3"/>
      <c r="M573" s="3"/>
      <c r="N573" s="3"/>
      <c r="O573" s="3"/>
      <c r="P573" s="3"/>
      <c r="Q573" s="3"/>
      <c r="R573" s="3"/>
      <c r="S573" s="3"/>
      <c r="T573" s="3"/>
      <c r="U573" s="3"/>
      <c r="V573" s="3"/>
    </row>
    <row r="574" ht="12.75" customHeight="1" spans="1:22" x14ac:dyDescent="0.25">
      <c r="A574" s="3"/>
      <c r="B574" s="3"/>
      <c r="C574" s="3"/>
      <c r="D574" s="3"/>
      <c r="E574" s="3"/>
      <c r="F574" s="3"/>
      <c r="G574" s="3"/>
      <c r="H574" s="3"/>
      <c r="I574" s="3"/>
      <c r="J574" s="3"/>
      <c r="K574" s="3"/>
      <c r="L574" s="3"/>
      <c r="M574" s="3"/>
      <c r="N574" s="3"/>
      <c r="O574" s="3"/>
      <c r="P574" s="3"/>
      <c r="Q574" s="3"/>
      <c r="R574" s="3"/>
      <c r="S574" s="3"/>
      <c r="T574" s="3"/>
      <c r="U574" s="3"/>
      <c r="V574" s="3"/>
    </row>
    <row r="575" ht="12.75" customHeight="1" spans="1:22" x14ac:dyDescent="0.25">
      <c r="A575" s="3"/>
      <c r="B575" s="3"/>
      <c r="C575" s="3"/>
      <c r="D575" s="3"/>
      <c r="E575" s="3"/>
      <c r="F575" s="3"/>
      <c r="G575" s="3"/>
      <c r="H575" s="3"/>
      <c r="I575" s="3"/>
      <c r="J575" s="3"/>
      <c r="K575" s="3"/>
      <c r="L575" s="3"/>
      <c r="M575" s="3"/>
      <c r="N575" s="3"/>
      <c r="O575" s="3"/>
      <c r="P575" s="3"/>
      <c r="Q575" s="3"/>
      <c r="R575" s="3"/>
      <c r="S575" s="3"/>
      <c r="T575" s="3"/>
      <c r="U575" s="3"/>
      <c r="V575" s="3"/>
    </row>
    <row r="576" ht="12.75" customHeight="1" spans="1:22" x14ac:dyDescent="0.25">
      <c r="A576" s="3"/>
      <c r="B576" s="3"/>
      <c r="C576" s="3"/>
      <c r="D576" s="3"/>
      <c r="E576" s="3"/>
      <c r="F576" s="3"/>
      <c r="G576" s="3"/>
      <c r="H576" s="3"/>
      <c r="I576" s="3"/>
      <c r="J576" s="3"/>
      <c r="K576" s="3"/>
      <c r="L576" s="3"/>
      <c r="M576" s="3"/>
      <c r="N576" s="3"/>
      <c r="O576" s="3"/>
      <c r="P576" s="3"/>
      <c r="Q576" s="3"/>
      <c r="R576" s="3"/>
      <c r="S576" s="3"/>
      <c r="T576" s="3"/>
      <c r="U576" s="3"/>
      <c r="V576" s="3"/>
    </row>
    <row r="577" ht="12.75" customHeight="1" spans="1:22" x14ac:dyDescent="0.25">
      <c r="A577" s="3"/>
      <c r="B577" s="3"/>
      <c r="C577" s="3"/>
      <c r="D577" s="3"/>
      <c r="E577" s="3"/>
      <c r="F577" s="3"/>
      <c r="G577" s="3"/>
      <c r="H577" s="3"/>
      <c r="I577" s="3"/>
      <c r="J577" s="3"/>
      <c r="K577" s="3"/>
      <c r="L577" s="3"/>
      <c r="M577" s="3"/>
      <c r="N577" s="3"/>
      <c r="O577" s="3"/>
      <c r="P577" s="3"/>
      <c r="Q577" s="3"/>
      <c r="R577" s="3"/>
      <c r="S577" s="3"/>
      <c r="T577" s="3"/>
      <c r="U577" s="3"/>
      <c r="V577" s="3"/>
    </row>
    <row r="578" ht="12.75" customHeight="1" spans="1:22" x14ac:dyDescent="0.25">
      <c r="A578" s="3"/>
      <c r="B578" s="3"/>
      <c r="C578" s="3"/>
      <c r="D578" s="3"/>
      <c r="E578" s="3"/>
      <c r="F578" s="3"/>
      <c r="G578" s="3"/>
      <c r="H578" s="3"/>
      <c r="I578" s="3"/>
      <c r="J578" s="3"/>
      <c r="K578" s="3"/>
      <c r="L578" s="3"/>
      <c r="M578" s="3"/>
      <c r="N578" s="3"/>
      <c r="O578" s="3"/>
      <c r="P578" s="3"/>
      <c r="Q578" s="3"/>
      <c r="R578" s="3"/>
      <c r="S578" s="3"/>
      <c r="T578" s="3"/>
      <c r="U578" s="3"/>
      <c r="V578" s="3"/>
    </row>
    <row r="579" ht="12.75" customHeight="1" spans="1:22" x14ac:dyDescent="0.25">
      <c r="A579" s="3"/>
      <c r="B579" s="3"/>
      <c r="C579" s="3"/>
      <c r="D579" s="3"/>
      <c r="E579" s="3"/>
      <c r="F579" s="3"/>
      <c r="G579" s="3"/>
      <c r="H579" s="3"/>
      <c r="I579" s="3"/>
      <c r="J579" s="3"/>
      <c r="K579" s="3"/>
      <c r="L579" s="3"/>
      <c r="M579" s="3"/>
      <c r="N579" s="3"/>
      <c r="O579" s="3"/>
      <c r="P579" s="3"/>
      <c r="Q579" s="3"/>
      <c r="R579" s="3"/>
      <c r="S579" s="3"/>
      <c r="T579" s="3"/>
      <c r="U579" s="3"/>
      <c r="V579" s="3"/>
    </row>
    <row r="580" ht="12.75" customHeight="1" spans="1:22" x14ac:dyDescent="0.25">
      <c r="A580" s="3"/>
      <c r="B580" s="3"/>
      <c r="C580" s="3"/>
      <c r="D580" s="3"/>
      <c r="E580" s="3"/>
      <c r="F580" s="3"/>
      <c r="G580" s="3"/>
      <c r="H580" s="3"/>
      <c r="I580" s="3"/>
      <c r="J580" s="3"/>
      <c r="K580" s="3"/>
      <c r="L580" s="3"/>
      <c r="M580" s="3"/>
      <c r="N580" s="3"/>
      <c r="O580" s="3"/>
      <c r="P580" s="3"/>
      <c r="Q580" s="3"/>
      <c r="R580" s="3"/>
      <c r="S580" s="3"/>
      <c r="T580" s="3"/>
      <c r="U580" s="3"/>
      <c r="V580" s="3"/>
    </row>
    <row r="581" ht="12.75" customHeight="1" spans="1:22" x14ac:dyDescent="0.25">
      <c r="A581" s="3"/>
      <c r="B581" s="3"/>
      <c r="C581" s="3"/>
      <c r="D581" s="3"/>
      <c r="E581" s="3"/>
      <c r="F581" s="3"/>
      <c r="G581" s="3"/>
      <c r="H581" s="3"/>
      <c r="I581" s="3"/>
      <c r="J581" s="3"/>
      <c r="K581" s="3"/>
      <c r="L581" s="3"/>
      <c r="M581" s="3"/>
      <c r="N581" s="3"/>
      <c r="O581" s="3"/>
      <c r="P581" s="3"/>
      <c r="Q581" s="3"/>
      <c r="R581" s="3"/>
      <c r="S581" s="3"/>
      <c r="T581" s="3"/>
      <c r="U581" s="3"/>
      <c r="V581" s="3"/>
    </row>
    <row r="582" ht="12.75" customHeight="1" spans="1:22" x14ac:dyDescent="0.25">
      <c r="A582" s="3"/>
      <c r="B582" s="3"/>
      <c r="C582" s="3"/>
      <c r="D582" s="3"/>
      <c r="E582" s="3"/>
      <c r="F582" s="3"/>
      <c r="G582" s="3"/>
      <c r="H582" s="3"/>
      <c r="I582" s="3"/>
      <c r="J582" s="3"/>
      <c r="K582" s="3"/>
      <c r="L582" s="3"/>
      <c r="M582" s="3"/>
      <c r="N582" s="3"/>
      <c r="O582" s="3"/>
      <c r="P582" s="3"/>
      <c r="Q582" s="3"/>
      <c r="R582" s="3"/>
      <c r="S582" s="3"/>
      <c r="T582" s="3"/>
      <c r="U582" s="3"/>
      <c r="V582" s="3"/>
    </row>
    <row r="583" ht="12.75" customHeight="1" spans="1:22" x14ac:dyDescent="0.25">
      <c r="A583" s="3"/>
      <c r="B583" s="3"/>
      <c r="C583" s="3"/>
      <c r="D583" s="3"/>
      <c r="E583" s="3"/>
      <c r="F583" s="3"/>
      <c r="G583" s="3"/>
      <c r="H583" s="3"/>
      <c r="I583" s="3"/>
      <c r="J583" s="3"/>
      <c r="K583" s="3"/>
      <c r="L583" s="3"/>
      <c r="M583" s="3"/>
      <c r="N583" s="3"/>
      <c r="O583" s="3"/>
      <c r="P583" s="3"/>
      <c r="Q583" s="3"/>
      <c r="R583" s="3"/>
      <c r="S583" s="3"/>
      <c r="T583" s="3"/>
      <c r="U583" s="3"/>
      <c r="V583" s="3"/>
    </row>
    <row r="584" ht="12.75" customHeight="1" spans="1:22" x14ac:dyDescent="0.25">
      <c r="A584" s="3"/>
      <c r="B584" s="3"/>
      <c r="C584" s="3"/>
      <c r="D584" s="3"/>
      <c r="E584" s="3"/>
      <c r="F584" s="3"/>
      <c r="G584" s="3"/>
      <c r="H584" s="3"/>
      <c r="I584" s="3"/>
      <c r="J584" s="3"/>
      <c r="K584" s="3"/>
      <c r="L584" s="3"/>
      <c r="M584" s="3"/>
      <c r="N584" s="3"/>
      <c r="O584" s="3"/>
      <c r="P584" s="3"/>
      <c r="Q584" s="3"/>
      <c r="R584" s="3"/>
      <c r="S584" s="3"/>
      <c r="T584" s="3"/>
      <c r="U584" s="3"/>
      <c r="V584" s="3"/>
    </row>
    <row r="585" ht="12.75" customHeight="1" spans="1:22" x14ac:dyDescent="0.25">
      <c r="A585" s="3"/>
      <c r="B585" s="3"/>
      <c r="C585" s="3"/>
      <c r="D585" s="3"/>
      <c r="E585" s="3"/>
      <c r="F585" s="3"/>
      <c r="G585" s="3"/>
      <c r="H585" s="3"/>
      <c r="I585" s="3"/>
      <c r="J585" s="3"/>
      <c r="K585" s="3"/>
      <c r="L585" s="3"/>
      <c r="M585" s="3"/>
      <c r="N585" s="3"/>
      <c r="O585" s="3"/>
      <c r="P585" s="3"/>
      <c r="Q585" s="3"/>
      <c r="R585" s="3"/>
      <c r="S585" s="3"/>
      <c r="T585" s="3"/>
      <c r="U585" s="3"/>
      <c r="V585" s="3"/>
    </row>
    <row r="586" ht="12.75" customHeight="1" spans="1:22" x14ac:dyDescent="0.25">
      <c r="A586" s="3"/>
      <c r="B586" s="3"/>
      <c r="C586" s="3"/>
      <c r="D586" s="3"/>
      <c r="E586" s="3"/>
      <c r="F586" s="3"/>
      <c r="G586" s="3"/>
      <c r="H586" s="3"/>
      <c r="I586" s="3"/>
      <c r="J586" s="3"/>
      <c r="K586" s="3"/>
      <c r="L586" s="3"/>
      <c r="M586" s="3"/>
      <c r="N586" s="3"/>
      <c r="O586" s="3"/>
      <c r="P586" s="3"/>
      <c r="Q586" s="3"/>
      <c r="R586" s="3"/>
      <c r="S586" s="3"/>
      <c r="T586" s="3"/>
      <c r="U586" s="3"/>
      <c r="V586" s="3"/>
    </row>
    <row r="587" ht="12.75" customHeight="1" spans="1:22" x14ac:dyDescent="0.25">
      <c r="A587" s="3"/>
      <c r="B587" s="3"/>
      <c r="C587" s="3"/>
      <c r="D587" s="3"/>
      <c r="E587" s="3"/>
      <c r="F587" s="3"/>
      <c r="G587" s="3"/>
      <c r="H587" s="3"/>
      <c r="I587" s="3"/>
      <c r="J587" s="3"/>
      <c r="K587" s="3"/>
      <c r="L587" s="3"/>
      <c r="M587" s="3"/>
      <c r="N587" s="3"/>
      <c r="O587" s="3"/>
      <c r="P587" s="3"/>
      <c r="Q587" s="3"/>
      <c r="R587" s="3"/>
      <c r="S587" s="3"/>
      <c r="T587" s="3"/>
      <c r="U587" s="3"/>
      <c r="V587" s="3"/>
    </row>
    <row r="588" ht="12.75" customHeight="1" spans="1:22" x14ac:dyDescent="0.25">
      <c r="A588" s="3"/>
      <c r="B588" s="3"/>
      <c r="C588" s="3"/>
      <c r="D588" s="3"/>
      <c r="E588" s="3"/>
      <c r="F588" s="3"/>
      <c r="G588" s="3"/>
      <c r="H588" s="3"/>
      <c r="I588" s="3"/>
      <c r="J588" s="3"/>
      <c r="K588" s="3"/>
      <c r="L588" s="3"/>
      <c r="M588" s="3"/>
      <c r="N588" s="3"/>
      <c r="O588" s="3"/>
      <c r="P588" s="3"/>
      <c r="Q588" s="3"/>
      <c r="R588" s="3"/>
      <c r="S588" s="3"/>
      <c r="T588" s="3"/>
      <c r="U588" s="3"/>
      <c r="V588" s="3"/>
    </row>
    <row r="589" ht="12.75" customHeight="1" spans="1:22" x14ac:dyDescent="0.25">
      <c r="A589" s="3"/>
      <c r="B589" s="3"/>
      <c r="C589" s="3"/>
      <c r="D589" s="3"/>
      <c r="E589" s="3"/>
      <c r="F589" s="3"/>
      <c r="G589" s="3"/>
      <c r="H589" s="3"/>
      <c r="I589" s="3"/>
      <c r="J589" s="3"/>
      <c r="K589" s="3"/>
      <c r="L589" s="3"/>
      <c r="M589" s="3"/>
      <c r="N589" s="3"/>
      <c r="O589" s="3"/>
      <c r="P589" s="3"/>
      <c r="Q589" s="3"/>
      <c r="R589" s="3"/>
      <c r="S589" s="3"/>
      <c r="T589" s="3"/>
      <c r="U589" s="3"/>
      <c r="V589" s="3"/>
    </row>
    <row r="590" ht="12.75" customHeight="1" spans="1:22" x14ac:dyDescent="0.25">
      <c r="A590" s="3"/>
      <c r="B590" s="3"/>
      <c r="C590" s="3"/>
      <c r="D590" s="3"/>
      <c r="E590" s="3"/>
      <c r="F590" s="3"/>
      <c r="G590" s="3"/>
      <c r="H590" s="3"/>
      <c r="I590" s="3"/>
      <c r="J590" s="3"/>
      <c r="K590" s="3"/>
      <c r="L590" s="3"/>
      <c r="M590" s="3"/>
      <c r="N590" s="3"/>
      <c r="O590" s="3"/>
      <c r="P590" s="3"/>
      <c r="Q590" s="3"/>
      <c r="R590" s="3"/>
      <c r="S590" s="3"/>
      <c r="T590" s="3"/>
      <c r="U590" s="3"/>
      <c r="V590" s="3"/>
    </row>
    <row r="591" ht="12.75" customHeight="1" spans="1:22" x14ac:dyDescent="0.25">
      <c r="A591" s="3"/>
      <c r="B591" s="3"/>
      <c r="C591" s="3"/>
      <c r="D591" s="3"/>
      <c r="E591" s="3"/>
      <c r="F591" s="3"/>
      <c r="G591" s="3"/>
      <c r="H591" s="3"/>
      <c r="I591" s="3"/>
      <c r="J591" s="3"/>
      <c r="K591" s="3"/>
      <c r="L591" s="3"/>
      <c r="M591" s="3"/>
      <c r="N591" s="3"/>
      <c r="O591" s="3"/>
      <c r="P591" s="3"/>
      <c r="Q591" s="3"/>
      <c r="R591" s="3"/>
      <c r="S591" s="3"/>
      <c r="T591" s="3"/>
      <c r="U591" s="3"/>
      <c r="V591" s="3"/>
    </row>
    <row r="592" ht="12.75" customHeight="1" spans="1:22" x14ac:dyDescent="0.25">
      <c r="A592" s="3"/>
      <c r="B592" s="3"/>
      <c r="C592" s="3"/>
      <c r="D592" s="3"/>
      <c r="E592" s="3"/>
      <c r="F592" s="3"/>
      <c r="G592" s="3"/>
      <c r="H592" s="3"/>
      <c r="I592" s="3"/>
      <c r="J592" s="3"/>
      <c r="K592" s="3"/>
      <c r="L592" s="3"/>
      <c r="M592" s="3"/>
      <c r="N592" s="3"/>
      <c r="O592" s="3"/>
      <c r="P592" s="3"/>
      <c r="Q592" s="3"/>
      <c r="R592" s="3"/>
      <c r="S592" s="3"/>
      <c r="T592" s="3"/>
      <c r="U592" s="3"/>
      <c r="V592" s="3"/>
    </row>
    <row r="593" ht="12.75" customHeight="1" spans="1:22" x14ac:dyDescent="0.25">
      <c r="A593" s="3"/>
      <c r="B593" s="3"/>
      <c r="C593" s="3"/>
      <c r="D593" s="3"/>
      <c r="E593" s="3"/>
      <c r="F593" s="3"/>
      <c r="G593" s="3"/>
      <c r="H593" s="3"/>
      <c r="I593" s="3"/>
      <c r="J593" s="3"/>
      <c r="K593" s="3"/>
      <c r="L593" s="3"/>
      <c r="M593" s="3"/>
      <c r="N593" s="3"/>
      <c r="O593" s="3"/>
      <c r="P593" s="3"/>
      <c r="Q593" s="3"/>
      <c r="R593" s="3"/>
      <c r="S593" s="3"/>
      <c r="T593" s="3"/>
      <c r="U593" s="3"/>
      <c r="V593" s="3"/>
    </row>
    <row r="594" ht="12.75" customHeight="1" spans="1:22" x14ac:dyDescent="0.25">
      <c r="A594" s="3"/>
      <c r="B594" s="3"/>
      <c r="C594" s="3"/>
      <c r="D594" s="3"/>
      <c r="E594" s="3"/>
      <c r="F594" s="3"/>
      <c r="G594" s="3"/>
      <c r="H594" s="3"/>
      <c r="I594" s="3"/>
      <c r="J594" s="3"/>
      <c r="K594" s="3"/>
      <c r="L594" s="3"/>
      <c r="M594" s="3"/>
      <c r="N594" s="3"/>
      <c r="O594" s="3"/>
      <c r="P594" s="3"/>
      <c r="Q594" s="3"/>
      <c r="R594" s="3"/>
      <c r="S594" s="3"/>
      <c r="T594" s="3"/>
      <c r="U594" s="3"/>
      <c r="V594" s="3"/>
    </row>
    <row r="595" ht="12.75" customHeight="1" spans="1:22" x14ac:dyDescent="0.25">
      <c r="A595" s="3"/>
      <c r="B595" s="3"/>
      <c r="C595" s="3"/>
      <c r="D595" s="3"/>
      <c r="E595" s="3"/>
      <c r="F595" s="3"/>
      <c r="G595" s="3"/>
      <c r="H595" s="3"/>
      <c r="I595" s="3"/>
      <c r="J595" s="3"/>
      <c r="K595" s="3"/>
      <c r="L595" s="3"/>
      <c r="M595" s="3"/>
      <c r="N595" s="3"/>
      <c r="O595" s="3"/>
      <c r="P595" s="3"/>
      <c r="Q595" s="3"/>
      <c r="R595" s="3"/>
      <c r="S595" s="3"/>
      <c r="T595" s="3"/>
      <c r="U595" s="3"/>
      <c r="V595" s="3"/>
    </row>
    <row r="596" ht="12.75" customHeight="1" spans="1:22" x14ac:dyDescent="0.25">
      <c r="A596" s="3"/>
      <c r="B596" s="3"/>
      <c r="C596" s="3"/>
      <c r="D596" s="3"/>
      <c r="E596" s="3"/>
      <c r="F596" s="3"/>
      <c r="G596" s="3"/>
      <c r="H596" s="3"/>
      <c r="I596" s="3"/>
      <c r="J596" s="3"/>
      <c r="K596" s="3"/>
      <c r="L596" s="3"/>
      <c r="M596" s="3"/>
      <c r="N596" s="3"/>
      <c r="O596" s="3"/>
      <c r="P596" s="3"/>
      <c r="Q596" s="3"/>
      <c r="R596" s="3"/>
      <c r="S596" s="3"/>
      <c r="T596" s="3"/>
      <c r="U596" s="3"/>
      <c r="V596" s="3"/>
    </row>
    <row r="597" ht="12.75" customHeight="1" spans="1:22" x14ac:dyDescent="0.25">
      <c r="A597" s="3"/>
      <c r="B597" s="3"/>
      <c r="C597" s="3"/>
      <c r="D597" s="3"/>
      <c r="E597" s="3"/>
      <c r="F597" s="3"/>
      <c r="G597" s="3"/>
      <c r="H597" s="3"/>
      <c r="I597" s="3"/>
      <c r="J597" s="3"/>
      <c r="K597" s="3"/>
      <c r="L597" s="3"/>
      <c r="M597" s="3"/>
      <c r="N597" s="3"/>
      <c r="O597" s="3"/>
      <c r="P597" s="3"/>
      <c r="Q597" s="3"/>
      <c r="R597" s="3"/>
      <c r="S597" s="3"/>
      <c r="T597" s="3"/>
      <c r="U597" s="3"/>
      <c r="V597" s="3"/>
    </row>
    <row r="598" ht="12.75" customHeight="1" spans="1:22" x14ac:dyDescent="0.25">
      <c r="A598" s="3"/>
      <c r="B598" s="3"/>
      <c r="C598" s="3"/>
      <c r="D598" s="3"/>
      <c r="E598" s="3"/>
      <c r="F598" s="3"/>
      <c r="G598" s="3"/>
      <c r="H598" s="3"/>
      <c r="I598" s="3"/>
      <c r="J598" s="3"/>
      <c r="K598" s="3"/>
      <c r="L598" s="3"/>
      <c r="M598" s="3"/>
      <c r="N598" s="3"/>
      <c r="O598" s="3"/>
      <c r="P598" s="3"/>
      <c r="Q598" s="3"/>
      <c r="R598" s="3"/>
      <c r="S598" s="3"/>
      <c r="T598" s="3"/>
      <c r="U598" s="3"/>
      <c r="V598" s="3"/>
    </row>
    <row r="599" ht="12.75" customHeight="1" spans="1:22" x14ac:dyDescent="0.25">
      <c r="A599" s="3"/>
      <c r="B599" s="3"/>
      <c r="C599" s="3"/>
      <c r="D599" s="3"/>
      <c r="E599" s="3"/>
      <c r="F599" s="3"/>
      <c r="G599" s="3"/>
      <c r="H599" s="3"/>
      <c r="I599" s="3"/>
      <c r="J599" s="3"/>
      <c r="K599" s="3"/>
      <c r="L599" s="3"/>
      <c r="M599" s="3"/>
      <c r="N599" s="3"/>
      <c r="O599" s="3"/>
      <c r="P599" s="3"/>
      <c r="Q599" s="3"/>
      <c r="R599" s="3"/>
      <c r="S599" s="3"/>
      <c r="T599" s="3"/>
      <c r="U599" s="3"/>
      <c r="V599" s="3"/>
    </row>
    <row r="600" ht="12.75" customHeight="1" spans="1:22" x14ac:dyDescent="0.25">
      <c r="A600" s="3"/>
      <c r="B600" s="3"/>
      <c r="C600" s="3"/>
      <c r="D600" s="3"/>
      <c r="E600" s="3"/>
      <c r="F600" s="3"/>
      <c r="G600" s="3"/>
      <c r="H600" s="3"/>
      <c r="I600" s="3"/>
      <c r="J600" s="3"/>
      <c r="K600" s="3"/>
      <c r="L600" s="3"/>
      <c r="M600" s="3"/>
      <c r="N600" s="3"/>
      <c r="O600" s="3"/>
      <c r="P600" s="3"/>
      <c r="Q600" s="3"/>
      <c r="R600" s="3"/>
      <c r="S600" s="3"/>
      <c r="T600" s="3"/>
      <c r="U600" s="3"/>
      <c r="V600" s="3"/>
    </row>
    <row r="601" ht="12.75" customHeight="1" spans="1:22" x14ac:dyDescent="0.25">
      <c r="A601" s="3"/>
      <c r="B601" s="3"/>
      <c r="C601" s="3"/>
      <c r="D601" s="3"/>
      <c r="E601" s="3"/>
      <c r="F601" s="3"/>
      <c r="G601" s="3"/>
      <c r="H601" s="3"/>
      <c r="I601" s="3"/>
      <c r="J601" s="3"/>
      <c r="K601" s="3"/>
      <c r="L601" s="3"/>
      <c r="M601" s="3"/>
      <c r="N601" s="3"/>
      <c r="O601" s="3"/>
      <c r="P601" s="3"/>
      <c r="Q601" s="3"/>
      <c r="R601" s="3"/>
      <c r="S601" s="3"/>
      <c r="T601" s="3"/>
      <c r="U601" s="3"/>
      <c r="V601" s="3"/>
    </row>
    <row r="602" ht="12.75" customHeight="1" spans="1:22" x14ac:dyDescent="0.25">
      <c r="A602" s="3"/>
      <c r="B602" s="3"/>
      <c r="C602" s="3"/>
      <c r="D602" s="3"/>
      <c r="E602" s="3"/>
      <c r="F602" s="3"/>
      <c r="G602" s="3"/>
      <c r="H602" s="3"/>
      <c r="I602" s="3"/>
      <c r="J602" s="3"/>
      <c r="K602" s="3"/>
      <c r="L602" s="3"/>
      <c r="M602" s="3"/>
      <c r="N602" s="3"/>
      <c r="O602" s="3"/>
      <c r="P602" s="3"/>
      <c r="Q602" s="3"/>
      <c r="R602" s="3"/>
      <c r="S602" s="3"/>
      <c r="T602" s="3"/>
      <c r="U602" s="3"/>
      <c r="V602" s="3"/>
    </row>
    <row r="603" ht="12.75" customHeight="1" spans="1:22" x14ac:dyDescent="0.25">
      <c r="A603" s="3"/>
      <c r="B603" s="3"/>
      <c r="C603" s="3"/>
      <c r="D603" s="3"/>
      <c r="E603" s="3"/>
      <c r="F603" s="3"/>
      <c r="G603" s="3"/>
      <c r="H603" s="3"/>
      <c r="I603" s="3"/>
      <c r="J603" s="3"/>
      <c r="K603" s="3"/>
      <c r="L603" s="3"/>
      <c r="M603" s="3"/>
      <c r="N603" s="3"/>
      <c r="O603" s="3"/>
      <c r="P603" s="3"/>
      <c r="Q603" s="3"/>
      <c r="R603" s="3"/>
      <c r="S603" s="3"/>
      <c r="T603" s="3"/>
      <c r="U603" s="3"/>
      <c r="V603" s="3"/>
    </row>
    <row r="604" ht="12.75" customHeight="1" spans="1:22" x14ac:dyDescent="0.25">
      <c r="A604" s="3"/>
      <c r="B604" s="3"/>
      <c r="C604" s="3"/>
      <c r="D604" s="3"/>
      <c r="E604" s="3"/>
      <c r="F604" s="3"/>
      <c r="G604" s="3"/>
      <c r="H604" s="3"/>
      <c r="I604" s="3"/>
      <c r="J604" s="3"/>
      <c r="K604" s="3"/>
      <c r="L604" s="3"/>
      <c r="M604" s="3"/>
      <c r="N604" s="3"/>
      <c r="O604" s="3"/>
      <c r="P604" s="3"/>
      <c r="Q604" s="3"/>
      <c r="R604" s="3"/>
      <c r="S604" s="3"/>
      <c r="T604" s="3"/>
      <c r="U604" s="3"/>
      <c r="V604" s="3"/>
    </row>
    <row r="605" ht="12.75" customHeight="1" spans="1:22" x14ac:dyDescent="0.25">
      <c r="A605" s="3"/>
      <c r="B605" s="3"/>
      <c r="C605" s="3"/>
      <c r="D605" s="3"/>
      <c r="E605" s="3"/>
      <c r="F605" s="3"/>
      <c r="G605" s="3"/>
      <c r="H605" s="3"/>
      <c r="I605" s="3"/>
      <c r="J605" s="3"/>
      <c r="K605" s="3"/>
      <c r="L605" s="3"/>
      <c r="M605" s="3"/>
      <c r="N605" s="3"/>
      <c r="O605" s="3"/>
      <c r="P605" s="3"/>
      <c r="Q605" s="3"/>
      <c r="R605" s="3"/>
      <c r="S605" s="3"/>
      <c r="T605" s="3"/>
      <c r="U605" s="3"/>
      <c r="V605" s="3"/>
    </row>
    <row r="606" ht="12.75" customHeight="1" spans="1:22" x14ac:dyDescent="0.25">
      <c r="A606" s="3"/>
      <c r="B606" s="3"/>
      <c r="C606" s="3"/>
      <c r="D606" s="3"/>
      <c r="E606" s="3"/>
      <c r="F606" s="3"/>
      <c r="G606" s="3"/>
      <c r="H606" s="3"/>
      <c r="I606" s="3"/>
      <c r="J606" s="3"/>
      <c r="K606" s="3"/>
      <c r="L606" s="3"/>
      <c r="M606" s="3"/>
      <c r="N606" s="3"/>
      <c r="O606" s="3"/>
      <c r="P606" s="3"/>
      <c r="Q606" s="3"/>
      <c r="R606" s="3"/>
      <c r="S606" s="3"/>
      <c r="T606" s="3"/>
      <c r="U606" s="3"/>
      <c r="V606" s="3"/>
    </row>
    <row r="607" ht="12.75" customHeight="1" spans="1:22" x14ac:dyDescent="0.25">
      <c r="A607" s="3"/>
      <c r="B607" s="3"/>
      <c r="C607" s="3"/>
      <c r="D607" s="3"/>
      <c r="E607" s="3"/>
      <c r="F607" s="3"/>
      <c r="G607" s="3"/>
      <c r="H607" s="3"/>
      <c r="I607" s="3"/>
      <c r="J607" s="3"/>
      <c r="K607" s="3"/>
      <c r="L607" s="3"/>
      <c r="M607" s="3"/>
      <c r="N607" s="3"/>
      <c r="O607" s="3"/>
      <c r="P607" s="3"/>
      <c r="Q607" s="3"/>
      <c r="R607" s="3"/>
      <c r="S607" s="3"/>
      <c r="T607" s="3"/>
      <c r="U607" s="3"/>
      <c r="V607" s="3"/>
    </row>
    <row r="608" ht="12.75" customHeight="1" spans="1:22" x14ac:dyDescent="0.25">
      <c r="A608" s="3"/>
      <c r="B608" s="3"/>
      <c r="C608" s="3"/>
      <c r="D608" s="3"/>
      <c r="E608" s="3"/>
      <c r="F608" s="3"/>
      <c r="G608" s="3"/>
      <c r="H608" s="3"/>
      <c r="I608" s="3"/>
      <c r="J608" s="3"/>
      <c r="K608" s="3"/>
      <c r="L608" s="3"/>
      <c r="M608" s="3"/>
      <c r="N608" s="3"/>
      <c r="O608" s="3"/>
      <c r="P608" s="3"/>
      <c r="Q608" s="3"/>
      <c r="R608" s="3"/>
      <c r="S608" s="3"/>
      <c r="T608" s="3"/>
      <c r="U608" s="3"/>
      <c r="V608" s="3"/>
    </row>
    <row r="609" ht="12.75" customHeight="1" spans="1:22" x14ac:dyDescent="0.25">
      <c r="A609" s="3"/>
      <c r="B609" s="3"/>
      <c r="C609" s="3"/>
      <c r="D609" s="3"/>
      <c r="E609" s="3"/>
      <c r="F609" s="3"/>
      <c r="G609" s="3"/>
      <c r="H609" s="3"/>
      <c r="I609" s="3"/>
      <c r="J609" s="3"/>
      <c r="K609" s="3"/>
      <c r="L609" s="3"/>
      <c r="M609" s="3"/>
      <c r="N609" s="3"/>
      <c r="O609" s="3"/>
      <c r="P609" s="3"/>
      <c r="Q609" s="3"/>
      <c r="R609" s="3"/>
      <c r="S609" s="3"/>
      <c r="T609" s="3"/>
      <c r="U609" s="3"/>
      <c r="V609" s="3"/>
    </row>
    <row r="610" ht="12.75" customHeight="1" spans="1:22" x14ac:dyDescent="0.25">
      <c r="A610" s="3"/>
      <c r="B610" s="3"/>
      <c r="C610" s="3"/>
      <c r="D610" s="3"/>
      <c r="E610" s="3"/>
      <c r="F610" s="3"/>
      <c r="G610" s="3"/>
      <c r="H610" s="3"/>
      <c r="I610" s="3"/>
      <c r="J610" s="3"/>
      <c r="K610" s="3"/>
      <c r="L610" s="3"/>
      <c r="M610" s="3"/>
      <c r="N610" s="3"/>
      <c r="O610" s="3"/>
      <c r="P610" s="3"/>
      <c r="Q610" s="3"/>
      <c r="R610" s="3"/>
      <c r="S610" s="3"/>
      <c r="T610" s="3"/>
      <c r="U610" s="3"/>
      <c r="V610" s="3"/>
    </row>
    <row r="611" ht="12.75" customHeight="1" spans="1:22" x14ac:dyDescent="0.25">
      <c r="A611" s="3"/>
      <c r="B611" s="3"/>
      <c r="C611" s="3"/>
      <c r="D611" s="3"/>
      <c r="E611" s="3"/>
      <c r="F611" s="3"/>
      <c r="G611" s="3"/>
      <c r="H611" s="3"/>
      <c r="I611" s="3"/>
      <c r="J611" s="3"/>
      <c r="K611" s="3"/>
      <c r="L611" s="3"/>
      <c r="M611" s="3"/>
      <c r="N611" s="3"/>
      <c r="O611" s="3"/>
      <c r="P611" s="3"/>
      <c r="Q611" s="3"/>
      <c r="R611" s="3"/>
      <c r="S611" s="3"/>
      <c r="T611" s="3"/>
      <c r="U611" s="3"/>
      <c r="V611" s="3"/>
    </row>
    <row r="612" ht="12.75" customHeight="1" spans="1:22" x14ac:dyDescent="0.25">
      <c r="A612" s="3"/>
      <c r="B612" s="3"/>
      <c r="C612" s="3"/>
      <c r="D612" s="3"/>
      <c r="E612" s="3"/>
      <c r="F612" s="3"/>
      <c r="G612" s="3"/>
      <c r="H612" s="3"/>
      <c r="I612" s="3"/>
      <c r="J612" s="3"/>
      <c r="K612" s="3"/>
      <c r="L612" s="3"/>
      <c r="M612" s="3"/>
      <c r="N612" s="3"/>
      <c r="O612" s="3"/>
      <c r="P612" s="3"/>
      <c r="Q612" s="3"/>
      <c r="R612" s="3"/>
      <c r="S612" s="3"/>
      <c r="T612" s="3"/>
      <c r="U612" s="3"/>
      <c r="V612" s="3"/>
    </row>
    <row r="613" ht="12.75" customHeight="1" spans="1:22" x14ac:dyDescent="0.25">
      <c r="A613" s="3"/>
      <c r="B613" s="3"/>
      <c r="C613" s="3"/>
      <c r="D613" s="3"/>
      <c r="E613" s="3"/>
      <c r="F613" s="3"/>
      <c r="G613" s="3"/>
      <c r="H613" s="3"/>
      <c r="I613" s="3"/>
      <c r="J613" s="3"/>
      <c r="K613" s="3"/>
      <c r="L613" s="3"/>
      <c r="M613" s="3"/>
      <c r="N613" s="3"/>
      <c r="O613" s="3"/>
      <c r="P613" s="3"/>
      <c r="Q613" s="3"/>
      <c r="R613" s="3"/>
      <c r="S613" s="3"/>
      <c r="T613" s="3"/>
      <c r="U613" s="3"/>
      <c r="V613" s="3"/>
    </row>
    <row r="614" ht="12.75" customHeight="1" spans="1:22" x14ac:dyDescent="0.25">
      <c r="A614" s="3"/>
      <c r="B614" s="3"/>
      <c r="C614" s="3"/>
      <c r="D614" s="3"/>
      <c r="E614" s="3"/>
      <c r="F614" s="3"/>
      <c r="G614" s="3"/>
      <c r="H614" s="3"/>
      <c r="I614" s="3"/>
      <c r="J614" s="3"/>
      <c r="K614" s="3"/>
      <c r="L614" s="3"/>
      <c r="M614" s="3"/>
      <c r="N614" s="3"/>
      <c r="O614" s="3"/>
      <c r="P614" s="3"/>
      <c r="Q614" s="3"/>
      <c r="R614" s="3"/>
      <c r="S614" s="3"/>
      <c r="T614" s="3"/>
      <c r="U614" s="3"/>
      <c r="V614" s="3"/>
    </row>
    <row r="615" ht="12.75" customHeight="1" spans="1:22" x14ac:dyDescent="0.25">
      <c r="A615" s="3"/>
      <c r="B615" s="3"/>
      <c r="C615" s="3"/>
      <c r="D615" s="3"/>
      <c r="E615" s="3"/>
      <c r="F615" s="3"/>
      <c r="G615" s="3"/>
      <c r="H615" s="3"/>
      <c r="I615" s="3"/>
      <c r="J615" s="3"/>
      <c r="K615" s="3"/>
      <c r="L615" s="3"/>
      <c r="M615" s="3"/>
      <c r="N615" s="3"/>
      <c r="O615" s="3"/>
      <c r="P615" s="3"/>
      <c r="Q615" s="3"/>
      <c r="R615" s="3"/>
      <c r="S615" s="3"/>
      <c r="T615" s="3"/>
      <c r="U615" s="3"/>
      <c r="V615" s="3"/>
    </row>
    <row r="616" ht="12.75" customHeight="1" spans="1:22" x14ac:dyDescent="0.25">
      <c r="A616" s="3"/>
      <c r="B616" s="3"/>
      <c r="C616" s="3"/>
      <c r="D616" s="3"/>
      <c r="E616" s="3"/>
      <c r="F616" s="3"/>
      <c r="G616" s="3"/>
      <c r="H616" s="3"/>
      <c r="I616" s="3"/>
      <c r="J616" s="3"/>
      <c r="K616" s="3"/>
      <c r="L616" s="3"/>
      <c r="M616" s="3"/>
      <c r="N616" s="3"/>
      <c r="O616" s="3"/>
      <c r="P616" s="3"/>
      <c r="Q616" s="3"/>
      <c r="R616" s="3"/>
      <c r="S616" s="3"/>
      <c r="T616" s="3"/>
      <c r="U616" s="3"/>
      <c r="V616" s="3"/>
    </row>
    <row r="617" ht="12.75" customHeight="1" spans="1:22" x14ac:dyDescent="0.25">
      <c r="A617" s="3"/>
      <c r="B617" s="3"/>
      <c r="C617" s="3"/>
      <c r="D617" s="3"/>
      <c r="E617" s="3"/>
      <c r="F617" s="3"/>
      <c r="G617" s="3"/>
      <c r="H617" s="3"/>
      <c r="I617" s="3"/>
      <c r="J617" s="3"/>
      <c r="K617" s="3"/>
      <c r="L617" s="3"/>
      <c r="M617" s="3"/>
      <c r="N617" s="3"/>
      <c r="O617" s="3"/>
      <c r="P617" s="3"/>
      <c r="Q617" s="3"/>
      <c r="R617" s="3"/>
      <c r="S617" s="3"/>
      <c r="T617" s="3"/>
      <c r="U617" s="3"/>
      <c r="V617" s="3"/>
    </row>
    <row r="618" ht="12.75" customHeight="1" spans="1:22" x14ac:dyDescent="0.25">
      <c r="A618" s="3"/>
      <c r="B618" s="3"/>
      <c r="C618" s="3"/>
      <c r="D618" s="3"/>
      <c r="E618" s="3"/>
      <c r="F618" s="3"/>
      <c r="G618" s="3"/>
      <c r="H618" s="3"/>
      <c r="I618" s="3"/>
      <c r="J618" s="3"/>
      <c r="K618" s="3"/>
      <c r="L618" s="3"/>
      <c r="M618" s="3"/>
      <c r="N618" s="3"/>
      <c r="O618" s="3"/>
      <c r="P618" s="3"/>
      <c r="Q618" s="3"/>
      <c r="R618" s="3"/>
      <c r="S618" s="3"/>
      <c r="T618" s="3"/>
      <c r="U618" s="3"/>
      <c r="V618" s="3"/>
    </row>
    <row r="619" ht="12.75" customHeight="1" spans="1:22" x14ac:dyDescent="0.25">
      <c r="A619" s="3"/>
      <c r="B619" s="3"/>
      <c r="C619" s="3"/>
      <c r="D619" s="3"/>
      <c r="E619" s="3"/>
      <c r="F619" s="3"/>
      <c r="G619" s="3"/>
      <c r="H619" s="3"/>
      <c r="I619" s="3"/>
      <c r="J619" s="3"/>
      <c r="K619" s="3"/>
      <c r="L619" s="3"/>
      <c r="M619" s="3"/>
      <c r="N619" s="3"/>
      <c r="O619" s="3"/>
      <c r="P619" s="3"/>
      <c r="Q619" s="3"/>
      <c r="R619" s="3"/>
      <c r="S619" s="3"/>
      <c r="T619" s="3"/>
      <c r="U619" s="3"/>
      <c r="V619" s="3"/>
    </row>
    <row r="620" ht="12.75" customHeight="1" spans="1:22" x14ac:dyDescent="0.25">
      <c r="A620" s="3"/>
      <c r="B620" s="3"/>
      <c r="C620" s="3"/>
      <c r="D620" s="3"/>
      <c r="E620" s="3"/>
      <c r="F620" s="3"/>
      <c r="G620" s="3"/>
      <c r="H620" s="3"/>
      <c r="I620" s="3"/>
      <c r="J620" s="3"/>
      <c r="K620" s="3"/>
      <c r="L620" s="3"/>
      <c r="M620" s="3"/>
      <c r="N620" s="3"/>
      <c r="O620" s="3"/>
      <c r="P620" s="3"/>
      <c r="Q620" s="3"/>
      <c r="R620" s="3"/>
      <c r="S620" s="3"/>
      <c r="T620" s="3"/>
      <c r="U620" s="3"/>
      <c r="V620" s="3"/>
    </row>
    <row r="621" ht="12.75" customHeight="1" spans="1:22" x14ac:dyDescent="0.25">
      <c r="A621" s="3"/>
      <c r="B621" s="3"/>
      <c r="C621" s="3"/>
      <c r="D621" s="3"/>
      <c r="E621" s="3"/>
      <c r="F621" s="3"/>
      <c r="G621" s="3"/>
      <c r="H621" s="3"/>
      <c r="I621" s="3"/>
      <c r="J621" s="3"/>
      <c r="K621" s="3"/>
      <c r="L621" s="3"/>
      <c r="M621" s="3"/>
      <c r="N621" s="3"/>
      <c r="O621" s="3"/>
      <c r="P621" s="3"/>
      <c r="Q621" s="3"/>
      <c r="R621" s="3"/>
      <c r="S621" s="3"/>
      <c r="T621" s="3"/>
      <c r="U621" s="3"/>
      <c r="V621" s="3"/>
    </row>
    <row r="622" ht="12.75" customHeight="1" spans="1:22" x14ac:dyDescent="0.25">
      <c r="A622" s="3"/>
      <c r="B622" s="3"/>
      <c r="C622" s="3"/>
      <c r="D622" s="3"/>
      <c r="E622" s="3"/>
      <c r="F622" s="3"/>
      <c r="G622" s="3"/>
      <c r="H622" s="3"/>
      <c r="I622" s="3"/>
      <c r="J622" s="3"/>
      <c r="K622" s="3"/>
      <c r="L622" s="3"/>
      <c r="M622" s="3"/>
      <c r="N622" s="3"/>
      <c r="O622" s="3"/>
      <c r="P622" s="3"/>
      <c r="Q622" s="3"/>
      <c r="R622" s="3"/>
      <c r="S622" s="3"/>
      <c r="T622" s="3"/>
      <c r="U622" s="3"/>
      <c r="V622" s="3"/>
    </row>
    <row r="623" ht="12.75" customHeight="1" spans="1:22" x14ac:dyDescent="0.25">
      <c r="A623" s="3"/>
      <c r="B623" s="3"/>
      <c r="C623" s="3"/>
      <c r="D623" s="3"/>
      <c r="E623" s="3"/>
      <c r="F623" s="3"/>
      <c r="G623" s="3"/>
      <c r="H623" s="3"/>
      <c r="I623" s="3"/>
      <c r="J623" s="3"/>
      <c r="K623" s="3"/>
      <c r="L623" s="3"/>
      <c r="M623" s="3"/>
      <c r="N623" s="3"/>
      <c r="O623" s="3"/>
      <c r="P623" s="3"/>
      <c r="Q623" s="3"/>
      <c r="R623" s="3"/>
      <c r="S623" s="3"/>
      <c r="T623" s="3"/>
      <c r="U623" s="3"/>
      <c r="V623" s="3"/>
    </row>
    <row r="624" ht="12.75" customHeight="1" spans="1:22" x14ac:dyDescent="0.25">
      <c r="A624" s="3"/>
      <c r="B624" s="3"/>
      <c r="C624" s="3"/>
      <c r="D624" s="3"/>
      <c r="E624" s="3"/>
      <c r="F624" s="3"/>
      <c r="G624" s="3"/>
      <c r="H624" s="3"/>
      <c r="I624" s="3"/>
      <c r="J624" s="3"/>
      <c r="K624" s="3"/>
      <c r="L624" s="3"/>
      <c r="M624" s="3"/>
      <c r="N624" s="3"/>
      <c r="O624" s="3"/>
      <c r="P624" s="3"/>
      <c r="Q624" s="3"/>
      <c r="R624" s="3"/>
      <c r="S624" s="3"/>
      <c r="T624" s="3"/>
      <c r="U624" s="3"/>
      <c r="V624" s="3"/>
    </row>
    <row r="625" ht="12.75" customHeight="1" spans="1:22" x14ac:dyDescent="0.25">
      <c r="A625" s="3"/>
      <c r="B625" s="3"/>
      <c r="C625" s="3"/>
      <c r="D625" s="3"/>
      <c r="E625" s="3"/>
      <c r="F625" s="3"/>
      <c r="G625" s="3"/>
      <c r="H625" s="3"/>
      <c r="I625" s="3"/>
      <c r="J625" s="3"/>
      <c r="K625" s="3"/>
      <c r="L625" s="3"/>
      <c r="M625" s="3"/>
      <c r="N625" s="3"/>
      <c r="O625" s="3"/>
      <c r="P625" s="3"/>
      <c r="Q625" s="3"/>
      <c r="R625" s="3"/>
      <c r="S625" s="3"/>
      <c r="T625" s="3"/>
      <c r="U625" s="3"/>
      <c r="V625" s="3"/>
    </row>
    <row r="626" ht="12.75" customHeight="1" spans="1:22" x14ac:dyDescent="0.25">
      <c r="A626" s="3"/>
      <c r="B626" s="3"/>
      <c r="C626" s="3"/>
      <c r="D626" s="3"/>
      <c r="E626" s="3"/>
      <c r="F626" s="3"/>
      <c r="G626" s="3"/>
      <c r="H626" s="3"/>
      <c r="I626" s="3"/>
      <c r="J626" s="3"/>
      <c r="K626" s="3"/>
      <c r="L626" s="3"/>
      <c r="M626" s="3"/>
      <c r="N626" s="3"/>
      <c r="O626" s="3"/>
      <c r="P626" s="3"/>
      <c r="Q626" s="3"/>
      <c r="R626" s="3"/>
      <c r="S626" s="3"/>
      <c r="T626" s="3"/>
      <c r="U626" s="3"/>
      <c r="V626" s="3"/>
    </row>
    <row r="627" ht="12.75" customHeight="1" spans="1:22" x14ac:dyDescent="0.25">
      <c r="A627" s="3"/>
      <c r="B627" s="3"/>
      <c r="C627" s="3"/>
      <c r="D627" s="3"/>
      <c r="E627" s="3"/>
      <c r="F627" s="3"/>
      <c r="G627" s="3"/>
      <c r="H627" s="3"/>
      <c r="I627" s="3"/>
      <c r="J627" s="3"/>
      <c r="K627" s="3"/>
      <c r="L627" s="3"/>
      <c r="M627" s="3"/>
      <c r="N627" s="3"/>
      <c r="O627" s="3"/>
      <c r="P627" s="3"/>
      <c r="Q627" s="3"/>
      <c r="R627" s="3"/>
      <c r="S627" s="3"/>
      <c r="T627" s="3"/>
      <c r="U627" s="3"/>
      <c r="V627" s="3"/>
    </row>
    <row r="628" ht="12.75" customHeight="1" spans="1:22" x14ac:dyDescent="0.25">
      <c r="A628" s="3"/>
      <c r="B628" s="3"/>
      <c r="C628" s="3"/>
      <c r="D628" s="3"/>
      <c r="E628" s="3"/>
      <c r="F628" s="3"/>
      <c r="G628" s="3"/>
      <c r="H628" s="3"/>
      <c r="I628" s="3"/>
      <c r="J628" s="3"/>
      <c r="K628" s="3"/>
      <c r="L628" s="3"/>
      <c r="M628" s="3"/>
      <c r="N628" s="3"/>
      <c r="O628" s="3"/>
      <c r="P628" s="3"/>
      <c r="Q628" s="3"/>
      <c r="R628" s="3"/>
      <c r="S628" s="3"/>
      <c r="T628" s="3"/>
      <c r="U628" s="3"/>
      <c r="V628" s="3"/>
    </row>
    <row r="629" ht="12.75" customHeight="1" spans="1:22" x14ac:dyDescent="0.25">
      <c r="A629" s="3"/>
      <c r="B629" s="3"/>
      <c r="C629" s="3"/>
      <c r="D629" s="3"/>
      <c r="E629" s="3"/>
      <c r="F629" s="3"/>
      <c r="G629" s="3"/>
      <c r="H629" s="3"/>
      <c r="I629" s="3"/>
      <c r="J629" s="3"/>
      <c r="K629" s="3"/>
      <c r="L629" s="3"/>
      <c r="M629" s="3"/>
      <c r="N629" s="3"/>
      <c r="O629" s="3"/>
      <c r="P629" s="3"/>
      <c r="Q629" s="3"/>
      <c r="R629" s="3"/>
      <c r="S629" s="3"/>
      <c r="T629" s="3"/>
      <c r="U629" s="3"/>
      <c r="V629" s="3"/>
    </row>
    <row r="630" ht="12.75" customHeight="1" spans="1:22" x14ac:dyDescent="0.25">
      <c r="A630" s="3"/>
      <c r="B630" s="3"/>
      <c r="C630" s="3"/>
      <c r="D630" s="3"/>
      <c r="E630" s="3"/>
      <c r="F630" s="3"/>
      <c r="G630" s="3"/>
      <c r="H630" s="3"/>
      <c r="I630" s="3"/>
      <c r="J630" s="3"/>
      <c r="K630" s="3"/>
      <c r="L630" s="3"/>
      <c r="M630" s="3"/>
      <c r="N630" s="3"/>
      <c r="O630" s="3"/>
      <c r="P630" s="3"/>
      <c r="Q630" s="3"/>
      <c r="R630" s="3"/>
      <c r="S630" s="3"/>
      <c r="T630" s="3"/>
      <c r="U630" s="3"/>
      <c r="V630" s="3"/>
    </row>
    <row r="631" ht="12.75" customHeight="1" spans="1:22" x14ac:dyDescent="0.25">
      <c r="A631" s="3"/>
      <c r="B631" s="3"/>
      <c r="C631" s="3"/>
      <c r="D631" s="3"/>
      <c r="E631" s="3"/>
      <c r="F631" s="3"/>
      <c r="G631" s="3"/>
      <c r="H631" s="3"/>
      <c r="I631" s="3"/>
      <c r="J631" s="3"/>
      <c r="K631" s="3"/>
      <c r="L631" s="3"/>
      <c r="M631" s="3"/>
      <c r="N631" s="3"/>
      <c r="O631" s="3"/>
      <c r="P631" s="3"/>
      <c r="Q631" s="3"/>
      <c r="R631" s="3"/>
      <c r="S631" s="3"/>
      <c r="T631" s="3"/>
      <c r="U631" s="3"/>
      <c r="V631" s="3"/>
    </row>
    <row r="632" ht="12.75" customHeight="1" spans="1:22" x14ac:dyDescent="0.25">
      <c r="A632" s="3"/>
      <c r="B632" s="3"/>
      <c r="C632" s="3"/>
      <c r="D632" s="3"/>
      <c r="E632" s="3"/>
      <c r="F632" s="3"/>
      <c r="G632" s="3"/>
      <c r="H632" s="3"/>
      <c r="I632" s="3"/>
      <c r="J632" s="3"/>
      <c r="K632" s="3"/>
      <c r="L632" s="3"/>
      <c r="M632" s="3"/>
      <c r="N632" s="3"/>
      <c r="O632" s="3"/>
      <c r="P632" s="3"/>
      <c r="Q632" s="3"/>
      <c r="R632" s="3"/>
      <c r="S632" s="3"/>
      <c r="T632" s="3"/>
      <c r="U632" s="3"/>
      <c r="V632" s="3"/>
    </row>
    <row r="633" ht="12.75" customHeight="1" spans="1:22" x14ac:dyDescent="0.25">
      <c r="A633" s="3"/>
      <c r="B633" s="3"/>
      <c r="C633" s="3"/>
      <c r="D633" s="3"/>
      <c r="E633" s="3"/>
      <c r="F633" s="3"/>
      <c r="G633" s="3"/>
      <c r="H633" s="3"/>
      <c r="I633" s="3"/>
      <c r="J633" s="3"/>
      <c r="K633" s="3"/>
      <c r="L633" s="3"/>
      <c r="M633" s="3"/>
      <c r="N633" s="3"/>
      <c r="O633" s="3"/>
      <c r="P633" s="3"/>
      <c r="Q633" s="3"/>
      <c r="R633" s="3"/>
      <c r="S633" s="3"/>
      <c r="T633" s="3"/>
      <c r="U633" s="3"/>
      <c r="V633" s="3"/>
    </row>
    <row r="634" ht="12.75" customHeight="1" spans="1:22" x14ac:dyDescent="0.25">
      <c r="A634" s="3"/>
      <c r="B634" s="3"/>
      <c r="C634" s="3"/>
      <c r="D634" s="3"/>
      <c r="E634" s="3"/>
      <c r="F634" s="3"/>
      <c r="G634" s="3"/>
      <c r="H634" s="3"/>
      <c r="I634" s="3"/>
      <c r="J634" s="3"/>
      <c r="K634" s="3"/>
      <c r="L634" s="3"/>
      <c r="M634" s="3"/>
      <c r="N634" s="3"/>
      <c r="O634" s="3"/>
      <c r="P634" s="3"/>
      <c r="Q634" s="3"/>
      <c r="R634" s="3"/>
      <c r="S634" s="3"/>
      <c r="T634" s="3"/>
      <c r="U634" s="3"/>
      <c r="V634" s="3"/>
    </row>
    <row r="635" ht="12.75" customHeight="1" spans="1:22" x14ac:dyDescent="0.25">
      <c r="A635" s="3"/>
      <c r="B635" s="3"/>
      <c r="C635" s="3"/>
      <c r="D635" s="3"/>
      <c r="E635" s="3"/>
      <c r="F635" s="3"/>
      <c r="G635" s="3"/>
      <c r="H635" s="3"/>
      <c r="I635" s="3"/>
      <c r="J635" s="3"/>
      <c r="K635" s="3"/>
      <c r="L635" s="3"/>
      <c r="M635" s="3"/>
      <c r="N635" s="3"/>
      <c r="O635" s="3"/>
      <c r="P635" s="3"/>
      <c r="Q635" s="3"/>
      <c r="R635" s="3"/>
      <c r="S635" s="3"/>
      <c r="T635" s="3"/>
      <c r="U635" s="3"/>
      <c r="V635" s="3"/>
    </row>
    <row r="636" ht="12.75" customHeight="1" spans="1:22" x14ac:dyDescent="0.25">
      <c r="A636" s="3"/>
      <c r="B636" s="3"/>
      <c r="C636" s="3"/>
      <c r="D636" s="3"/>
      <c r="E636" s="3"/>
      <c r="F636" s="3"/>
      <c r="G636" s="3"/>
      <c r="H636" s="3"/>
      <c r="I636" s="3"/>
      <c r="J636" s="3"/>
      <c r="K636" s="3"/>
      <c r="L636" s="3"/>
      <c r="M636" s="3"/>
      <c r="N636" s="3"/>
      <c r="O636" s="3"/>
      <c r="P636" s="3"/>
      <c r="Q636" s="3"/>
      <c r="R636" s="3"/>
      <c r="S636" s="3"/>
      <c r="T636" s="3"/>
      <c r="U636" s="3"/>
      <c r="V636" s="3"/>
    </row>
    <row r="637" ht="12.75" customHeight="1" spans="1:22" x14ac:dyDescent="0.25">
      <c r="A637" s="3"/>
      <c r="B637" s="3"/>
      <c r="C637" s="3"/>
      <c r="D637" s="3"/>
      <c r="E637" s="3"/>
      <c r="F637" s="3"/>
      <c r="G637" s="3"/>
      <c r="H637" s="3"/>
      <c r="I637" s="3"/>
      <c r="J637" s="3"/>
      <c r="K637" s="3"/>
      <c r="L637" s="3"/>
      <c r="M637" s="3"/>
      <c r="N637" s="3"/>
      <c r="O637" s="3"/>
      <c r="P637" s="3"/>
      <c r="Q637" s="3"/>
      <c r="R637" s="3"/>
      <c r="S637" s="3"/>
      <c r="T637" s="3"/>
      <c r="U637" s="3"/>
      <c r="V637" s="3"/>
    </row>
    <row r="638" ht="12.75" customHeight="1" spans="1:22" x14ac:dyDescent="0.25">
      <c r="A638" s="3"/>
      <c r="B638" s="3"/>
      <c r="C638" s="3"/>
      <c r="D638" s="3"/>
      <c r="E638" s="3"/>
      <c r="F638" s="3"/>
      <c r="G638" s="3"/>
      <c r="H638" s="3"/>
      <c r="I638" s="3"/>
      <c r="J638" s="3"/>
      <c r="K638" s="3"/>
      <c r="L638" s="3"/>
      <c r="M638" s="3"/>
      <c r="N638" s="3"/>
      <c r="O638" s="3"/>
      <c r="P638" s="3"/>
      <c r="Q638" s="3"/>
      <c r="R638" s="3"/>
      <c r="S638" s="3"/>
      <c r="T638" s="3"/>
      <c r="U638" s="3"/>
      <c r="V638" s="3"/>
    </row>
    <row r="639" ht="12.75" customHeight="1" spans="1:22" x14ac:dyDescent="0.25">
      <c r="A639" s="3"/>
      <c r="B639" s="3"/>
      <c r="C639" s="3"/>
      <c r="D639" s="3"/>
      <c r="E639" s="3"/>
      <c r="F639" s="3"/>
      <c r="G639" s="3"/>
      <c r="H639" s="3"/>
      <c r="I639" s="3"/>
      <c r="J639" s="3"/>
      <c r="K639" s="3"/>
      <c r="L639" s="3"/>
      <c r="M639" s="3"/>
      <c r="N639" s="3"/>
      <c r="O639" s="3"/>
      <c r="P639" s="3"/>
      <c r="Q639" s="3"/>
      <c r="R639" s="3"/>
      <c r="S639" s="3"/>
      <c r="T639" s="3"/>
      <c r="U639" s="3"/>
      <c r="V639" s="3"/>
    </row>
    <row r="640" ht="12.75" customHeight="1" spans="1:22" x14ac:dyDescent="0.25">
      <c r="A640" s="3"/>
      <c r="B640" s="3"/>
      <c r="C640" s="3"/>
      <c r="D640" s="3"/>
      <c r="E640" s="3"/>
      <c r="F640" s="3"/>
      <c r="G640" s="3"/>
      <c r="H640" s="3"/>
      <c r="I640" s="3"/>
      <c r="J640" s="3"/>
      <c r="K640" s="3"/>
      <c r="L640" s="3"/>
      <c r="M640" s="3"/>
      <c r="N640" s="3"/>
      <c r="O640" s="3"/>
      <c r="P640" s="3"/>
      <c r="Q640" s="3"/>
      <c r="R640" s="3"/>
      <c r="S640" s="3"/>
      <c r="T640" s="3"/>
      <c r="U640" s="3"/>
      <c r="V640" s="3"/>
    </row>
    <row r="641" ht="12.75" customHeight="1" spans="1:22" x14ac:dyDescent="0.25">
      <c r="A641" s="3"/>
      <c r="B641" s="3"/>
      <c r="C641" s="3"/>
      <c r="D641" s="3"/>
      <c r="E641" s="3"/>
      <c r="F641" s="3"/>
      <c r="G641" s="3"/>
      <c r="H641" s="3"/>
      <c r="I641" s="3"/>
      <c r="J641" s="3"/>
      <c r="K641" s="3"/>
      <c r="L641" s="3"/>
      <c r="M641" s="3"/>
      <c r="N641" s="3"/>
      <c r="O641" s="3"/>
      <c r="P641" s="3"/>
      <c r="Q641" s="3"/>
      <c r="R641" s="3"/>
      <c r="S641" s="3"/>
      <c r="T641" s="3"/>
      <c r="U641" s="3"/>
      <c r="V641" s="3"/>
    </row>
    <row r="642" ht="12.75" customHeight="1" spans="1:22" x14ac:dyDescent="0.25">
      <c r="A642" s="3"/>
      <c r="B642" s="3"/>
      <c r="C642" s="3"/>
      <c r="D642" s="3"/>
      <c r="E642" s="3"/>
      <c r="F642" s="3"/>
      <c r="G642" s="3"/>
      <c r="H642" s="3"/>
      <c r="I642" s="3"/>
      <c r="J642" s="3"/>
      <c r="K642" s="3"/>
      <c r="L642" s="3"/>
      <c r="M642" s="3"/>
      <c r="N642" s="3"/>
      <c r="O642" s="3"/>
      <c r="P642" s="3"/>
      <c r="Q642" s="3"/>
      <c r="R642" s="3"/>
      <c r="S642" s="3"/>
      <c r="T642" s="3"/>
      <c r="U642" s="3"/>
      <c r="V642" s="3"/>
    </row>
    <row r="643" ht="12.75" customHeight="1" spans="1:22" x14ac:dyDescent="0.25">
      <c r="A643" s="3"/>
      <c r="B643" s="3"/>
      <c r="C643" s="3"/>
      <c r="D643" s="3"/>
      <c r="E643" s="3"/>
      <c r="F643" s="3"/>
      <c r="G643" s="3"/>
      <c r="H643" s="3"/>
      <c r="I643" s="3"/>
      <c r="J643" s="3"/>
      <c r="K643" s="3"/>
      <c r="L643" s="3"/>
      <c r="M643" s="3"/>
      <c r="N643" s="3"/>
      <c r="O643" s="3"/>
      <c r="P643" s="3"/>
      <c r="Q643" s="3"/>
      <c r="R643" s="3"/>
      <c r="S643" s="3"/>
      <c r="T643" s="3"/>
      <c r="U643" s="3"/>
      <c r="V643" s="3"/>
    </row>
    <row r="644" ht="12.75" customHeight="1" spans="1:22" x14ac:dyDescent="0.25">
      <c r="A644" s="3"/>
      <c r="B644" s="3"/>
      <c r="C644" s="3"/>
      <c r="D644" s="3"/>
      <c r="E644" s="3"/>
      <c r="F644" s="3"/>
      <c r="G644" s="3"/>
      <c r="H644" s="3"/>
      <c r="I644" s="3"/>
      <c r="J644" s="3"/>
      <c r="K644" s="3"/>
      <c r="L644" s="3"/>
      <c r="M644" s="3"/>
      <c r="N644" s="3"/>
      <c r="O644" s="3"/>
      <c r="P644" s="3"/>
      <c r="Q644" s="3"/>
      <c r="R644" s="3"/>
      <c r="S644" s="3"/>
      <c r="T644" s="3"/>
      <c r="U644" s="3"/>
      <c r="V644" s="3"/>
    </row>
    <row r="645" ht="12.75" customHeight="1" spans="1:22" x14ac:dyDescent="0.25">
      <c r="A645" s="3"/>
      <c r="B645" s="3"/>
      <c r="C645" s="3"/>
      <c r="D645" s="3"/>
      <c r="E645" s="3"/>
      <c r="F645" s="3"/>
      <c r="G645" s="3"/>
      <c r="H645" s="3"/>
      <c r="I645" s="3"/>
      <c r="J645" s="3"/>
      <c r="K645" s="3"/>
      <c r="L645" s="3"/>
      <c r="M645" s="3"/>
      <c r="N645" s="3"/>
      <c r="O645" s="3"/>
      <c r="P645" s="3"/>
      <c r="Q645" s="3"/>
      <c r="R645" s="3"/>
      <c r="S645" s="3"/>
      <c r="T645" s="3"/>
      <c r="U645" s="3"/>
      <c r="V645" s="3"/>
    </row>
    <row r="646" ht="12.75" customHeight="1" spans="1:22" x14ac:dyDescent="0.25">
      <c r="A646" s="3"/>
      <c r="B646" s="3"/>
      <c r="C646" s="3"/>
      <c r="D646" s="3"/>
      <c r="E646" s="3"/>
      <c r="F646" s="3"/>
      <c r="G646" s="3"/>
      <c r="H646" s="3"/>
      <c r="I646" s="3"/>
      <c r="J646" s="3"/>
      <c r="K646" s="3"/>
      <c r="L646" s="3"/>
      <c r="M646" s="3"/>
      <c r="N646" s="3"/>
      <c r="O646" s="3"/>
      <c r="P646" s="3"/>
      <c r="Q646" s="3"/>
      <c r="R646" s="3"/>
      <c r="S646" s="3"/>
      <c r="T646" s="3"/>
      <c r="U646" s="3"/>
      <c r="V646" s="3"/>
    </row>
    <row r="647" ht="12.75" customHeight="1" spans="1:22" x14ac:dyDescent="0.25">
      <c r="A647" s="3"/>
      <c r="B647" s="3"/>
      <c r="C647" s="3"/>
      <c r="D647" s="3"/>
      <c r="E647" s="3"/>
      <c r="F647" s="3"/>
      <c r="G647" s="3"/>
      <c r="H647" s="3"/>
      <c r="I647" s="3"/>
      <c r="J647" s="3"/>
      <c r="K647" s="3"/>
      <c r="L647" s="3"/>
      <c r="M647" s="3"/>
      <c r="N647" s="3"/>
      <c r="O647" s="3"/>
      <c r="P647" s="3"/>
      <c r="Q647" s="3"/>
      <c r="R647" s="3"/>
      <c r="S647" s="3"/>
      <c r="T647" s="3"/>
      <c r="U647" s="3"/>
      <c r="V647" s="3"/>
    </row>
    <row r="648" ht="12.75" customHeight="1" spans="1:22" x14ac:dyDescent="0.25">
      <c r="A648" s="3"/>
      <c r="B648" s="3"/>
      <c r="C648" s="3"/>
      <c r="D648" s="3"/>
      <c r="E648" s="3"/>
      <c r="F648" s="3"/>
      <c r="G648" s="3"/>
      <c r="H648" s="3"/>
      <c r="I648" s="3"/>
      <c r="J648" s="3"/>
      <c r="K648" s="3"/>
      <c r="L648" s="3"/>
      <c r="M648" s="3"/>
      <c r="N648" s="3"/>
      <c r="O648" s="3"/>
      <c r="P648" s="3"/>
      <c r="Q648" s="3"/>
      <c r="R648" s="3"/>
      <c r="S648" s="3"/>
      <c r="T648" s="3"/>
      <c r="U648" s="3"/>
      <c r="V648" s="3"/>
    </row>
    <row r="649" ht="12.75" customHeight="1" spans="1:22" x14ac:dyDescent="0.25">
      <c r="A649" s="3"/>
      <c r="B649" s="3"/>
      <c r="C649" s="3"/>
      <c r="D649" s="3"/>
      <c r="E649" s="3"/>
      <c r="F649" s="3"/>
      <c r="G649" s="3"/>
      <c r="H649" s="3"/>
      <c r="I649" s="3"/>
      <c r="J649" s="3"/>
      <c r="K649" s="3"/>
      <c r="L649" s="3"/>
      <c r="M649" s="3"/>
      <c r="N649" s="3"/>
      <c r="O649" s="3"/>
      <c r="P649" s="3"/>
      <c r="Q649" s="3"/>
      <c r="R649" s="3"/>
      <c r="S649" s="3"/>
      <c r="T649" s="3"/>
      <c r="U649" s="3"/>
      <c r="V649" s="3"/>
    </row>
    <row r="650" ht="12.75" customHeight="1" spans="1:22" x14ac:dyDescent="0.25">
      <c r="A650" s="3"/>
      <c r="B650" s="3"/>
      <c r="C650" s="3"/>
      <c r="D650" s="3"/>
      <c r="E650" s="3"/>
      <c r="F650" s="3"/>
      <c r="G650" s="3"/>
      <c r="H650" s="3"/>
      <c r="I650" s="3"/>
      <c r="J650" s="3"/>
      <c r="K650" s="3"/>
      <c r="L650" s="3"/>
      <c r="M650" s="3"/>
      <c r="N650" s="3"/>
      <c r="O650" s="3"/>
      <c r="P650" s="3"/>
      <c r="Q650" s="3"/>
      <c r="R650" s="3"/>
      <c r="S650" s="3"/>
      <c r="T650" s="3"/>
      <c r="U650" s="3"/>
      <c r="V650" s="3"/>
    </row>
    <row r="651" ht="12.75" customHeight="1" spans="1:22" x14ac:dyDescent="0.25">
      <c r="A651" s="3"/>
      <c r="B651" s="3"/>
      <c r="C651" s="3"/>
      <c r="D651" s="3"/>
      <c r="E651" s="3"/>
      <c r="F651" s="3"/>
      <c r="G651" s="3"/>
      <c r="H651" s="3"/>
      <c r="I651" s="3"/>
      <c r="J651" s="3"/>
      <c r="K651" s="3"/>
      <c r="L651" s="3"/>
      <c r="M651" s="3"/>
      <c r="N651" s="3"/>
      <c r="O651" s="3"/>
      <c r="P651" s="3"/>
      <c r="Q651" s="3"/>
      <c r="R651" s="3"/>
      <c r="S651" s="3"/>
      <c r="T651" s="3"/>
      <c r="U651" s="3"/>
      <c r="V651" s="3"/>
    </row>
    <row r="652" ht="12.75" customHeight="1" spans="1:22" x14ac:dyDescent="0.25">
      <c r="A652" s="3"/>
      <c r="B652" s="3"/>
      <c r="C652" s="3"/>
      <c r="D652" s="3"/>
      <c r="E652" s="3"/>
      <c r="F652" s="3"/>
      <c r="G652" s="3"/>
      <c r="H652" s="3"/>
      <c r="I652" s="3"/>
      <c r="J652" s="3"/>
      <c r="K652" s="3"/>
      <c r="L652" s="3"/>
      <c r="M652" s="3"/>
      <c r="N652" s="3"/>
      <c r="O652" s="3"/>
      <c r="P652" s="3"/>
      <c r="Q652" s="3"/>
      <c r="R652" s="3"/>
      <c r="S652" s="3"/>
      <c r="T652" s="3"/>
      <c r="U652" s="3"/>
      <c r="V652" s="3"/>
    </row>
    <row r="653" ht="12.75" customHeight="1" spans="1:22" x14ac:dyDescent="0.25">
      <c r="A653" s="3"/>
      <c r="B653" s="3"/>
      <c r="C653" s="3"/>
      <c r="D653" s="3"/>
      <c r="E653" s="3"/>
      <c r="F653" s="3"/>
      <c r="G653" s="3"/>
      <c r="H653" s="3"/>
      <c r="I653" s="3"/>
      <c r="J653" s="3"/>
      <c r="K653" s="3"/>
      <c r="L653" s="3"/>
      <c r="M653" s="3"/>
      <c r="N653" s="3"/>
      <c r="O653" s="3"/>
      <c r="P653" s="3"/>
      <c r="Q653" s="3"/>
      <c r="R653" s="3"/>
      <c r="S653" s="3"/>
      <c r="T653" s="3"/>
      <c r="U653" s="3"/>
      <c r="V653" s="3"/>
    </row>
    <row r="654" ht="12.75" customHeight="1" spans="1:22" x14ac:dyDescent="0.25">
      <c r="A654" s="3"/>
      <c r="B654" s="3"/>
      <c r="C654" s="3"/>
      <c r="D654" s="3"/>
      <c r="E654" s="3"/>
      <c r="F654" s="3"/>
      <c r="G654" s="3"/>
      <c r="H654" s="3"/>
      <c r="I654" s="3"/>
      <c r="J654" s="3"/>
      <c r="K654" s="3"/>
      <c r="L654" s="3"/>
      <c r="M654" s="3"/>
      <c r="N654" s="3"/>
      <c r="O654" s="3"/>
      <c r="P654" s="3"/>
      <c r="Q654" s="3"/>
      <c r="R654" s="3"/>
      <c r="S654" s="3"/>
      <c r="T654" s="3"/>
      <c r="U654" s="3"/>
      <c r="V654" s="3"/>
    </row>
    <row r="655" ht="12.75" customHeight="1" spans="1:22" x14ac:dyDescent="0.25">
      <c r="A655" s="3"/>
      <c r="B655" s="3"/>
      <c r="C655" s="3"/>
      <c r="D655" s="3"/>
      <c r="E655" s="3"/>
      <c r="F655" s="3"/>
      <c r="G655" s="3"/>
      <c r="H655" s="3"/>
      <c r="I655" s="3"/>
      <c r="J655" s="3"/>
      <c r="K655" s="3"/>
      <c r="L655" s="3"/>
      <c r="M655" s="3"/>
      <c r="N655" s="3"/>
      <c r="O655" s="3"/>
      <c r="P655" s="3"/>
      <c r="Q655" s="3"/>
      <c r="R655" s="3"/>
      <c r="S655" s="3"/>
      <c r="T655" s="3"/>
      <c r="U655" s="3"/>
      <c r="V655" s="3"/>
    </row>
    <row r="656" ht="12.75" customHeight="1" spans="1:22" x14ac:dyDescent="0.25">
      <c r="A656" s="3"/>
      <c r="B656" s="3"/>
      <c r="C656" s="3"/>
      <c r="D656" s="3"/>
      <c r="E656" s="3"/>
      <c r="F656" s="3"/>
      <c r="G656" s="3"/>
      <c r="H656" s="3"/>
      <c r="I656" s="3"/>
      <c r="J656" s="3"/>
      <c r="K656" s="3"/>
      <c r="L656" s="3"/>
      <c r="M656" s="3"/>
      <c r="N656" s="3"/>
      <c r="O656" s="3"/>
      <c r="P656" s="3"/>
      <c r="Q656" s="3"/>
      <c r="R656" s="3"/>
      <c r="S656" s="3"/>
      <c r="T656" s="3"/>
      <c r="U656" s="3"/>
      <c r="V656" s="3"/>
    </row>
    <row r="657" ht="12.75" customHeight="1" spans="1:22" x14ac:dyDescent="0.25">
      <c r="A657" s="3"/>
      <c r="B657" s="3"/>
      <c r="C657" s="3"/>
      <c r="D657" s="3"/>
      <c r="E657" s="3"/>
      <c r="F657" s="3"/>
      <c r="G657" s="3"/>
      <c r="H657" s="3"/>
      <c r="I657" s="3"/>
      <c r="J657" s="3"/>
      <c r="K657" s="3"/>
      <c r="L657" s="3"/>
      <c r="M657" s="3"/>
      <c r="N657" s="3"/>
      <c r="O657" s="3"/>
      <c r="P657" s="3"/>
      <c r="Q657" s="3"/>
      <c r="R657" s="3"/>
      <c r="S657" s="3"/>
      <c r="T657" s="3"/>
      <c r="U657" s="3"/>
      <c r="V657" s="3"/>
    </row>
    <row r="658" ht="12.75" customHeight="1" spans="1:22" x14ac:dyDescent="0.25">
      <c r="A658" s="3"/>
      <c r="B658" s="3"/>
      <c r="C658" s="3"/>
      <c r="D658" s="3"/>
      <c r="E658" s="3"/>
      <c r="F658" s="3"/>
      <c r="G658" s="3"/>
      <c r="H658" s="3"/>
      <c r="I658" s="3"/>
      <c r="J658" s="3"/>
      <c r="K658" s="3"/>
      <c r="L658" s="3"/>
      <c r="M658" s="3"/>
      <c r="N658" s="3"/>
      <c r="O658" s="3"/>
      <c r="P658" s="3"/>
      <c r="Q658" s="3"/>
      <c r="R658" s="3"/>
      <c r="S658" s="3"/>
      <c r="T658" s="3"/>
      <c r="U658" s="3"/>
      <c r="V658" s="3"/>
    </row>
    <row r="659" ht="12.75" customHeight="1" spans="1:22" x14ac:dyDescent="0.25">
      <c r="A659" s="3"/>
      <c r="B659" s="3"/>
      <c r="C659" s="3"/>
      <c r="D659" s="3"/>
      <c r="E659" s="3"/>
      <c r="F659" s="3"/>
      <c r="G659" s="3"/>
      <c r="H659" s="3"/>
      <c r="I659" s="3"/>
      <c r="J659" s="3"/>
      <c r="K659" s="3"/>
      <c r="L659" s="3"/>
      <c r="M659" s="3"/>
      <c r="N659" s="3"/>
      <c r="O659" s="3"/>
      <c r="P659" s="3"/>
      <c r="Q659" s="3"/>
      <c r="R659" s="3"/>
      <c r="S659" s="3"/>
      <c r="T659" s="3"/>
      <c r="U659" s="3"/>
      <c r="V659" s="3"/>
    </row>
    <row r="660" ht="12.75" customHeight="1" spans="1:22" x14ac:dyDescent="0.25">
      <c r="A660" s="3"/>
      <c r="B660" s="3"/>
      <c r="C660" s="3"/>
      <c r="D660" s="3"/>
      <c r="E660" s="3"/>
      <c r="F660" s="3"/>
      <c r="G660" s="3"/>
      <c r="H660" s="3"/>
      <c r="I660" s="3"/>
      <c r="J660" s="3"/>
      <c r="K660" s="3"/>
      <c r="L660" s="3"/>
      <c r="M660" s="3"/>
      <c r="N660" s="3"/>
      <c r="O660" s="3"/>
      <c r="P660" s="3"/>
      <c r="Q660" s="3"/>
      <c r="R660" s="3"/>
      <c r="S660" s="3"/>
      <c r="T660" s="3"/>
      <c r="U660" s="3"/>
      <c r="V660" s="3"/>
    </row>
    <row r="661" ht="12.75" customHeight="1" spans="1:22" x14ac:dyDescent="0.25">
      <c r="A661" s="3"/>
      <c r="B661" s="3"/>
      <c r="C661" s="3"/>
      <c r="D661" s="3"/>
      <c r="E661" s="3"/>
      <c r="F661" s="3"/>
      <c r="G661" s="3"/>
      <c r="H661" s="3"/>
      <c r="I661" s="3"/>
      <c r="J661" s="3"/>
      <c r="K661" s="3"/>
      <c r="L661" s="3"/>
      <c r="M661" s="3"/>
      <c r="N661" s="3"/>
      <c r="O661" s="3"/>
      <c r="P661" s="3"/>
      <c r="Q661" s="3"/>
      <c r="R661" s="3"/>
      <c r="S661" s="3"/>
      <c r="T661" s="3"/>
      <c r="U661" s="3"/>
      <c r="V661" s="3"/>
    </row>
    <row r="662" ht="12.75" customHeight="1" spans="1:22" x14ac:dyDescent="0.25">
      <c r="A662" s="3"/>
      <c r="B662" s="3"/>
      <c r="C662" s="3"/>
      <c r="D662" s="3"/>
      <c r="E662" s="3"/>
      <c r="F662" s="3"/>
      <c r="G662" s="3"/>
      <c r="H662" s="3"/>
      <c r="I662" s="3"/>
      <c r="J662" s="3"/>
      <c r="K662" s="3"/>
      <c r="L662" s="3"/>
      <c r="M662" s="3"/>
      <c r="N662" s="3"/>
      <c r="O662" s="3"/>
      <c r="P662" s="3"/>
      <c r="Q662" s="3"/>
      <c r="R662" s="3"/>
      <c r="S662" s="3"/>
      <c r="T662" s="3"/>
      <c r="U662" s="3"/>
      <c r="V662" s="3"/>
    </row>
    <row r="663" ht="12.75" customHeight="1" spans="1:22" x14ac:dyDescent="0.25">
      <c r="A663" s="3"/>
      <c r="B663" s="3"/>
      <c r="C663" s="3"/>
      <c r="D663" s="3"/>
      <c r="E663" s="3"/>
      <c r="F663" s="3"/>
      <c r="G663" s="3"/>
      <c r="H663" s="3"/>
      <c r="I663" s="3"/>
      <c r="J663" s="3"/>
      <c r="K663" s="3"/>
      <c r="L663" s="3"/>
      <c r="M663" s="3"/>
      <c r="N663" s="3"/>
      <c r="O663" s="3"/>
      <c r="P663" s="3"/>
      <c r="Q663" s="3"/>
      <c r="R663" s="3"/>
      <c r="S663" s="3"/>
      <c r="T663" s="3"/>
      <c r="U663" s="3"/>
      <c r="V663" s="3"/>
    </row>
    <row r="664" ht="12.75" customHeight="1" spans="1:22" x14ac:dyDescent="0.25">
      <c r="A664" s="3"/>
      <c r="B664" s="3"/>
      <c r="C664" s="3"/>
      <c r="D664" s="3"/>
      <c r="E664" s="3"/>
      <c r="F664" s="3"/>
      <c r="G664" s="3"/>
      <c r="H664" s="3"/>
      <c r="I664" s="3"/>
      <c r="J664" s="3"/>
      <c r="K664" s="3"/>
      <c r="L664" s="3"/>
      <c r="M664" s="3"/>
      <c r="N664" s="3"/>
      <c r="O664" s="3"/>
      <c r="P664" s="3"/>
      <c r="Q664" s="3"/>
      <c r="R664" s="3"/>
      <c r="S664" s="3"/>
      <c r="T664" s="3"/>
      <c r="U664" s="3"/>
      <c r="V664" s="3"/>
    </row>
    <row r="665" ht="12.75" customHeight="1" spans="1:22" x14ac:dyDescent="0.25">
      <c r="A665" s="3"/>
      <c r="B665" s="3"/>
      <c r="C665" s="3"/>
      <c r="D665" s="3"/>
      <c r="E665" s="3"/>
      <c r="F665" s="3"/>
      <c r="G665" s="3"/>
      <c r="H665" s="3"/>
      <c r="I665" s="3"/>
      <c r="J665" s="3"/>
      <c r="K665" s="3"/>
      <c r="L665" s="3"/>
      <c r="M665" s="3"/>
      <c r="N665" s="3"/>
      <c r="O665" s="3"/>
      <c r="P665" s="3"/>
      <c r="Q665" s="3"/>
      <c r="R665" s="3"/>
      <c r="S665" s="3"/>
      <c r="T665" s="3"/>
      <c r="U665" s="3"/>
      <c r="V665" s="3"/>
    </row>
    <row r="666" ht="12.75" customHeight="1" spans="1:22" x14ac:dyDescent="0.25">
      <c r="A666" s="3"/>
      <c r="B666" s="3"/>
      <c r="C666" s="3"/>
      <c r="D666" s="3"/>
      <c r="E666" s="3"/>
      <c r="F666" s="3"/>
      <c r="G666" s="3"/>
      <c r="H666" s="3"/>
      <c r="I666" s="3"/>
      <c r="J666" s="3"/>
      <c r="K666" s="3"/>
      <c r="L666" s="3"/>
      <c r="M666" s="3"/>
      <c r="N666" s="3"/>
      <c r="O666" s="3"/>
      <c r="P666" s="3"/>
      <c r="Q666" s="3"/>
      <c r="R666" s="3"/>
      <c r="S666" s="3"/>
      <c r="T666" s="3"/>
      <c r="U666" s="3"/>
      <c r="V666" s="3"/>
    </row>
    <row r="667" ht="12.75" customHeight="1" spans="1:22" x14ac:dyDescent="0.25">
      <c r="A667" s="3"/>
      <c r="B667" s="3"/>
      <c r="C667" s="3"/>
      <c r="D667" s="3"/>
      <c r="E667" s="3"/>
      <c r="F667" s="3"/>
      <c r="G667" s="3"/>
      <c r="H667" s="3"/>
      <c r="I667" s="3"/>
      <c r="J667" s="3"/>
      <c r="K667" s="3"/>
      <c r="L667" s="3"/>
      <c r="M667" s="3"/>
      <c r="N667" s="3"/>
      <c r="O667" s="3"/>
      <c r="P667" s="3"/>
      <c r="Q667" s="3"/>
      <c r="R667" s="3"/>
      <c r="S667" s="3"/>
      <c r="T667" s="3"/>
      <c r="U667" s="3"/>
      <c r="V667" s="3"/>
    </row>
    <row r="668" ht="12.75" customHeight="1" spans="1:22" x14ac:dyDescent="0.25">
      <c r="A668" s="3"/>
      <c r="B668" s="3"/>
      <c r="C668" s="3"/>
      <c r="D668" s="3"/>
      <c r="E668" s="3"/>
      <c r="F668" s="3"/>
      <c r="G668" s="3"/>
      <c r="H668" s="3"/>
      <c r="I668" s="3"/>
      <c r="J668" s="3"/>
      <c r="K668" s="3"/>
      <c r="L668" s="3"/>
      <c r="M668" s="3"/>
      <c r="N668" s="3"/>
      <c r="O668" s="3"/>
      <c r="P668" s="3"/>
      <c r="Q668" s="3"/>
      <c r="R668" s="3"/>
      <c r="S668" s="3"/>
      <c r="T668" s="3"/>
      <c r="U668" s="3"/>
      <c r="V668" s="3"/>
    </row>
    <row r="669" ht="12.75" customHeight="1" spans="1:22" x14ac:dyDescent="0.25">
      <c r="A669" s="3"/>
      <c r="B669" s="3"/>
      <c r="C669" s="3"/>
      <c r="D669" s="3"/>
      <c r="E669" s="3"/>
      <c r="F669" s="3"/>
      <c r="G669" s="3"/>
      <c r="H669" s="3"/>
      <c r="I669" s="3"/>
      <c r="J669" s="3"/>
      <c r="K669" s="3"/>
      <c r="L669" s="3"/>
      <c r="M669" s="3"/>
      <c r="N669" s="3"/>
      <c r="O669" s="3"/>
      <c r="P669" s="3"/>
      <c r="Q669" s="3"/>
      <c r="R669" s="3"/>
      <c r="S669" s="3"/>
      <c r="T669" s="3"/>
      <c r="U669" s="3"/>
      <c r="V669" s="3"/>
    </row>
    <row r="670" ht="12.75" customHeight="1" spans="1:22" x14ac:dyDescent="0.25">
      <c r="A670" s="3"/>
      <c r="B670" s="3"/>
      <c r="C670" s="3"/>
      <c r="D670" s="3"/>
      <c r="E670" s="3"/>
      <c r="F670" s="3"/>
      <c r="G670" s="3"/>
      <c r="H670" s="3"/>
      <c r="I670" s="3"/>
      <c r="J670" s="3"/>
      <c r="K670" s="3"/>
      <c r="L670" s="3"/>
      <c r="M670" s="3"/>
      <c r="N670" s="3"/>
      <c r="O670" s="3"/>
      <c r="P670" s="3"/>
      <c r="Q670" s="3"/>
      <c r="R670" s="3"/>
      <c r="S670" s="3"/>
      <c r="T670" s="3"/>
      <c r="U670" s="3"/>
      <c r="V670" s="3"/>
    </row>
    <row r="671" ht="12.75" customHeight="1" spans="1:22" x14ac:dyDescent="0.25">
      <c r="A671" s="3"/>
      <c r="B671" s="3"/>
      <c r="C671" s="3"/>
      <c r="D671" s="3"/>
      <c r="E671" s="3"/>
      <c r="F671" s="3"/>
      <c r="G671" s="3"/>
      <c r="H671" s="3"/>
      <c r="I671" s="3"/>
      <c r="J671" s="3"/>
      <c r="K671" s="3"/>
      <c r="L671" s="3"/>
      <c r="M671" s="3"/>
      <c r="N671" s="3"/>
      <c r="O671" s="3"/>
      <c r="P671" s="3"/>
      <c r="Q671" s="3"/>
      <c r="R671" s="3"/>
      <c r="S671" s="3"/>
      <c r="T671" s="3"/>
      <c r="U671" s="3"/>
      <c r="V671" s="3"/>
    </row>
    <row r="672" ht="12.75" customHeight="1" spans="1:22" x14ac:dyDescent="0.25">
      <c r="A672" s="3"/>
      <c r="B672" s="3"/>
      <c r="C672" s="3"/>
      <c r="D672" s="3"/>
      <c r="E672" s="3"/>
      <c r="F672" s="3"/>
      <c r="G672" s="3"/>
      <c r="H672" s="3"/>
      <c r="I672" s="3"/>
      <c r="J672" s="3"/>
      <c r="K672" s="3"/>
      <c r="L672" s="3"/>
      <c r="M672" s="3"/>
      <c r="N672" s="3"/>
      <c r="O672" s="3"/>
      <c r="P672" s="3"/>
      <c r="Q672" s="3"/>
      <c r="R672" s="3"/>
      <c r="S672" s="3"/>
      <c r="T672" s="3"/>
      <c r="U672" s="3"/>
      <c r="V672" s="3"/>
    </row>
    <row r="673" ht="12.75" customHeight="1" spans="1:22" x14ac:dyDescent="0.25">
      <c r="A673" s="3"/>
      <c r="B673" s="3"/>
      <c r="C673" s="3"/>
      <c r="D673" s="3"/>
      <c r="E673" s="3"/>
      <c r="F673" s="3"/>
      <c r="G673" s="3"/>
      <c r="H673" s="3"/>
      <c r="I673" s="3"/>
      <c r="J673" s="3"/>
      <c r="K673" s="3"/>
      <c r="L673" s="3"/>
      <c r="M673" s="3"/>
      <c r="N673" s="3"/>
      <c r="O673" s="3"/>
      <c r="P673" s="3"/>
      <c r="Q673" s="3"/>
      <c r="R673" s="3"/>
      <c r="S673" s="3"/>
      <c r="T673" s="3"/>
      <c r="U673" s="3"/>
      <c r="V673" s="3"/>
    </row>
    <row r="674" ht="12.75" customHeight="1" spans="1:22" x14ac:dyDescent="0.25">
      <c r="A674" s="3"/>
      <c r="B674" s="3"/>
      <c r="C674" s="3"/>
      <c r="D674" s="3"/>
      <c r="E674" s="3"/>
      <c r="F674" s="3"/>
      <c r="G674" s="3"/>
      <c r="H674" s="3"/>
      <c r="I674" s="3"/>
      <c r="J674" s="3"/>
      <c r="K674" s="3"/>
      <c r="L674" s="3"/>
      <c r="M674" s="3"/>
      <c r="N674" s="3"/>
      <c r="O674" s="3"/>
      <c r="P674" s="3"/>
      <c r="Q674" s="3"/>
      <c r="R674" s="3"/>
      <c r="S674" s="3"/>
      <c r="T674" s="3"/>
      <c r="U674" s="3"/>
      <c r="V674" s="3"/>
    </row>
    <row r="675" ht="12.75" customHeight="1" spans="1:22" x14ac:dyDescent="0.25">
      <c r="A675" s="3"/>
      <c r="B675" s="3"/>
      <c r="C675" s="3"/>
      <c r="D675" s="3"/>
      <c r="E675" s="3"/>
      <c r="F675" s="3"/>
      <c r="G675" s="3"/>
      <c r="H675" s="3"/>
      <c r="I675" s="3"/>
      <c r="J675" s="3"/>
      <c r="K675" s="3"/>
      <c r="L675" s="3"/>
      <c r="M675" s="3"/>
      <c r="N675" s="3"/>
      <c r="O675" s="3"/>
      <c r="P675" s="3"/>
      <c r="Q675" s="3"/>
      <c r="R675" s="3"/>
      <c r="S675" s="3"/>
      <c r="T675" s="3"/>
      <c r="U675" s="3"/>
      <c r="V675" s="3"/>
    </row>
    <row r="676" ht="12.75" customHeight="1" spans="1:22" x14ac:dyDescent="0.25">
      <c r="A676" s="3"/>
      <c r="B676" s="3"/>
      <c r="C676" s="3"/>
      <c r="D676" s="3"/>
      <c r="E676" s="3"/>
      <c r="F676" s="3"/>
      <c r="G676" s="3"/>
      <c r="H676" s="3"/>
      <c r="I676" s="3"/>
      <c r="J676" s="3"/>
      <c r="K676" s="3"/>
      <c r="L676" s="3"/>
      <c r="M676" s="3"/>
      <c r="N676" s="3"/>
      <c r="O676" s="3"/>
      <c r="P676" s="3"/>
      <c r="Q676" s="3"/>
      <c r="R676" s="3"/>
      <c r="S676" s="3"/>
      <c r="T676" s="3"/>
      <c r="U676" s="3"/>
      <c r="V676" s="3"/>
    </row>
    <row r="677" ht="12.75" customHeight="1" spans="1:22" x14ac:dyDescent="0.25">
      <c r="A677" s="3"/>
      <c r="B677" s="3"/>
      <c r="C677" s="3"/>
      <c r="D677" s="3"/>
      <c r="E677" s="3"/>
      <c r="F677" s="3"/>
      <c r="G677" s="3"/>
      <c r="H677" s="3"/>
      <c r="I677" s="3"/>
      <c r="J677" s="3"/>
      <c r="K677" s="3"/>
      <c r="L677" s="3"/>
      <c r="M677" s="3"/>
      <c r="N677" s="3"/>
      <c r="O677" s="3"/>
      <c r="P677" s="3"/>
      <c r="Q677" s="3"/>
      <c r="R677" s="3"/>
      <c r="S677" s="3"/>
      <c r="T677" s="3"/>
      <c r="U677" s="3"/>
      <c r="V677" s="3"/>
    </row>
    <row r="678" ht="12.75" customHeight="1" spans="1:22" x14ac:dyDescent="0.25">
      <c r="A678" s="3"/>
      <c r="B678" s="3"/>
      <c r="C678" s="3"/>
      <c r="D678" s="3"/>
      <c r="E678" s="3"/>
      <c r="F678" s="3"/>
      <c r="G678" s="3"/>
      <c r="H678" s="3"/>
      <c r="I678" s="3"/>
      <c r="J678" s="3"/>
      <c r="K678" s="3"/>
      <c r="L678" s="3"/>
      <c r="M678" s="3"/>
      <c r="N678" s="3"/>
      <c r="O678" s="3"/>
      <c r="P678" s="3"/>
      <c r="Q678" s="3"/>
      <c r="R678" s="3"/>
      <c r="S678" s="3"/>
      <c r="T678" s="3"/>
      <c r="U678" s="3"/>
      <c r="V678" s="3"/>
    </row>
    <row r="679" ht="12.75" customHeight="1" spans="1:22" x14ac:dyDescent="0.25">
      <c r="A679" s="3"/>
      <c r="B679" s="3"/>
      <c r="C679" s="3"/>
      <c r="D679" s="3"/>
      <c r="E679" s="3"/>
      <c r="F679" s="3"/>
      <c r="G679" s="3"/>
      <c r="H679" s="3"/>
      <c r="I679" s="3"/>
      <c r="J679" s="3"/>
      <c r="K679" s="3"/>
      <c r="L679" s="3"/>
      <c r="M679" s="3"/>
      <c r="N679" s="3"/>
      <c r="O679" s="3"/>
      <c r="P679" s="3"/>
      <c r="Q679" s="3"/>
      <c r="R679" s="3"/>
      <c r="S679" s="3"/>
      <c r="T679" s="3"/>
      <c r="U679" s="3"/>
      <c r="V679" s="3"/>
    </row>
    <row r="680" ht="12.75" customHeight="1" spans="1:22" x14ac:dyDescent="0.25">
      <c r="A680" s="3"/>
      <c r="B680" s="3"/>
      <c r="C680" s="3"/>
      <c r="D680" s="3"/>
      <c r="E680" s="3"/>
      <c r="F680" s="3"/>
      <c r="G680" s="3"/>
      <c r="H680" s="3"/>
      <c r="I680" s="3"/>
      <c r="J680" s="3"/>
      <c r="K680" s="3"/>
      <c r="L680" s="3"/>
      <c r="M680" s="3"/>
      <c r="N680" s="3"/>
      <c r="O680" s="3"/>
      <c r="P680" s="3"/>
      <c r="Q680" s="3"/>
      <c r="R680" s="3"/>
      <c r="S680" s="3"/>
      <c r="T680" s="3"/>
      <c r="U680" s="3"/>
      <c r="V680" s="3"/>
    </row>
    <row r="681" ht="12.75" customHeight="1" spans="1:22" x14ac:dyDescent="0.25">
      <c r="A681" s="3"/>
      <c r="B681" s="3"/>
      <c r="C681" s="3"/>
      <c r="D681" s="3"/>
      <c r="E681" s="3"/>
      <c r="F681" s="3"/>
      <c r="G681" s="3"/>
      <c r="H681" s="3"/>
      <c r="I681" s="3"/>
      <c r="J681" s="3"/>
      <c r="K681" s="3"/>
      <c r="L681" s="3"/>
      <c r="M681" s="3"/>
      <c r="N681" s="3"/>
      <c r="O681" s="3"/>
      <c r="P681" s="3"/>
      <c r="Q681" s="3"/>
      <c r="R681" s="3"/>
      <c r="S681" s="3"/>
      <c r="T681" s="3"/>
      <c r="U681" s="3"/>
      <c r="V681" s="3"/>
    </row>
    <row r="682" ht="12.75" customHeight="1" spans="1:22" x14ac:dyDescent="0.25">
      <c r="A682" s="3"/>
      <c r="B682" s="3"/>
      <c r="C682" s="3"/>
      <c r="D682" s="3"/>
      <c r="E682" s="3"/>
      <c r="F682" s="3"/>
      <c r="G682" s="3"/>
      <c r="H682" s="3"/>
      <c r="I682" s="3"/>
      <c r="J682" s="3"/>
      <c r="K682" s="3"/>
      <c r="L682" s="3"/>
      <c r="M682" s="3"/>
      <c r="N682" s="3"/>
      <c r="O682" s="3"/>
      <c r="P682" s="3"/>
      <c r="Q682" s="3"/>
      <c r="R682" s="3"/>
      <c r="S682" s="3"/>
      <c r="T682" s="3"/>
      <c r="U682" s="3"/>
      <c r="V682" s="3"/>
    </row>
    <row r="683" ht="12.75" customHeight="1" spans="1:22" x14ac:dyDescent="0.25">
      <c r="A683" s="3"/>
      <c r="B683" s="3"/>
      <c r="C683" s="3"/>
      <c r="D683" s="3"/>
      <c r="E683" s="3"/>
      <c r="F683" s="3"/>
      <c r="G683" s="3"/>
      <c r="H683" s="3"/>
      <c r="I683" s="3"/>
      <c r="J683" s="3"/>
      <c r="K683" s="3"/>
      <c r="L683" s="3"/>
      <c r="M683" s="3"/>
      <c r="N683" s="3"/>
      <c r="O683" s="3"/>
      <c r="P683" s="3"/>
      <c r="Q683" s="3"/>
      <c r="R683" s="3"/>
      <c r="S683" s="3"/>
      <c r="T683" s="3"/>
      <c r="U683" s="3"/>
      <c r="V683" s="3"/>
    </row>
    <row r="684" ht="12.75" customHeight="1" spans="1:22" x14ac:dyDescent="0.25">
      <c r="A684" s="3"/>
      <c r="B684" s="3"/>
      <c r="C684" s="3"/>
      <c r="D684" s="3"/>
      <c r="E684" s="3"/>
      <c r="F684" s="3"/>
      <c r="G684" s="3"/>
      <c r="H684" s="3"/>
      <c r="I684" s="3"/>
      <c r="J684" s="3"/>
      <c r="K684" s="3"/>
      <c r="L684" s="3"/>
      <c r="M684" s="3"/>
      <c r="N684" s="3"/>
      <c r="O684" s="3"/>
      <c r="P684" s="3"/>
      <c r="Q684" s="3"/>
      <c r="R684" s="3"/>
      <c r="S684" s="3"/>
      <c r="T684" s="3"/>
      <c r="U684" s="3"/>
      <c r="V684" s="3"/>
    </row>
    <row r="685" ht="12.75" customHeight="1" spans="1:22" x14ac:dyDescent="0.25">
      <c r="A685" s="3"/>
      <c r="B685" s="3"/>
      <c r="C685" s="3"/>
      <c r="D685" s="3"/>
      <c r="E685" s="3"/>
      <c r="F685" s="3"/>
      <c r="G685" s="3"/>
      <c r="H685" s="3"/>
      <c r="I685" s="3"/>
      <c r="J685" s="3"/>
      <c r="K685" s="3"/>
      <c r="L685" s="3"/>
      <c r="M685" s="3"/>
      <c r="N685" s="3"/>
      <c r="O685" s="3"/>
      <c r="P685" s="3"/>
      <c r="Q685" s="3"/>
      <c r="R685" s="3"/>
      <c r="S685" s="3"/>
      <c r="T685" s="3"/>
      <c r="U685" s="3"/>
      <c r="V685" s="3"/>
    </row>
    <row r="686" ht="12.75" customHeight="1" spans="1:22" x14ac:dyDescent="0.25">
      <c r="A686" s="3"/>
      <c r="B686" s="3"/>
      <c r="C686" s="3"/>
      <c r="D686" s="3"/>
      <c r="E686" s="3"/>
      <c r="F686" s="3"/>
      <c r="G686" s="3"/>
      <c r="H686" s="3"/>
      <c r="I686" s="3"/>
      <c r="J686" s="3"/>
      <c r="K686" s="3"/>
      <c r="L686" s="3"/>
      <c r="M686" s="3"/>
      <c r="N686" s="3"/>
      <c r="O686" s="3"/>
      <c r="P686" s="3"/>
      <c r="Q686" s="3"/>
      <c r="R686" s="3"/>
      <c r="S686" s="3"/>
      <c r="T686" s="3"/>
      <c r="U686" s="3"/>
      <c r="V686" s="3"/>
    </row>
    <row r="687" ht="12.75" customHeight="1" spans="1:22" x14ac:dyDescent="0.25">
      <c r="A687" s="3"/>
      <c r="B687" s="3"/>
      <c r="C687" s="3"/>
      <c r="D687" s="3"/>
      <c r="E687" s="3"/>
      <c r="F687" s="3"/>
      <c r="G687" s="3"/>
      <c r="H687" s="3"/>
      <c r="I687" s="3"/>
      <c r="J687" s="3"/>
      <c r="K687" s="3"/>
      <c r="L687" s="3"/>
      <c r="M687" s="3"/>
      <c r="N687" s="3"/>
      <c r="O687" s="3"/>
      <c r="P687" s="3"/>
      <c r="Q687" s="3"/>
      <c r="R687" s="3"/>
      <c r="S687" s="3"/>
      <c r="T687" s="3"/>
      <c r="U687" s="3"/>
      <c r="V687" s="3"/>
    </row>
    <row r="688" ht="12.75" customHeight="1" spans="1:22" x14ac:dyDescent="0.25">
      <c r="A688" s="3"/>
      <c r="B688" s="3"/>
      <c r="C688" s="3"/>
      <c r="D688" s="3"/>
      <c r="E688" s="3"/>
      <c r="F688" s="3"/>
      <c r="G688" s="3"/>
      <c r="H688" s="3"/>
      <c r="I688" s="3"/>
      <c r="J688" s="3"/>
      <c r="K688" s="3"/>
      <c r="L688" s="3"/>
      <c r="M688" s="3"/>
      <c r="N688" s="3"/>
      <c r="O688" s="3"/>
      <c r="P688" s="3"/>
      <c r="Q688" s="3"/>
      <c r="R688" s="3"/>
      <c r="S688" s="3"/>
      <c r="T688" s="3"/>
      <c r="U688" s="3"/>
      <c r="V688" s="3"/>
    </row>
    <row r="689" ht="12.75" customHeight="1" spans="1:22" x14ac:dyDescent="0.25">
      <c r="A689" s="3"/>
      <c r="B689" s="3"/>
      <c r="C689" s="3"/>
      <c r="D689" s="3"/>
      <c r="E689" s="3"/>
      <c r="F689" s="3"/>
      <c r="G689" s="3"/>
      <c r="H689" s="3"/>
      <c r="I689" s="3"/>
      <c r="J689" s="3"/>
      <c r="K689" s="3"/>
      <c r="L689" s="3"/>
      <c r="M689" s="3"/>
      <c r="N689" s="3"/>
      <c r="O689" s="3"/>
      <c r="P689" s="3"/>
      <c r="Q689" s="3"/>
      <c r="R689" s="3"/>
      <c r="S689" s="3"/>
      <c r="T689" s="3"/>
      <c r="U689" s="3"/>
      <c r="V689" s="3"/>
    </row>
    <row r="690" ht="12.75" customHeight="1" spans="1:22" x14ac:dyDescent="0.25">
      <c r="A690" s="3"/>
      <c r="B690" s="3"/>
      <c r="C690" s="3"/>
      <c r="D690" s="3"/>
      <c r="E690" s="3"/>
      <c r="F690" s="3"/>
      <c r="G690" s="3"/>
      <c r="H690" s="3"/>
      <c r="I690" s="3"/>
      <c r="J690" s="3"/>
      <c r="K690" s="3"/>
      <c r="L690" s="3"/>
      <c r="M690" s="3"/>
      <c r="N690" s="3"/>
      <c r="O690" s="3"/>
      <c r="P690" s="3"/>
      <c r="Q690" s="3"/>
      <c r="R690" s="3"/>
      <c r="S690" s="3"/>
      <c r="T690" s="3"/>
      <c r="U690" s="3"/>
      <c r="V690" s="3"/>
    </row>
    <row r="691" ht="12.75" customHeight="1" spans="1:22" x14ac:dyDescent="0.25">
      <c r="A691" s="3"/>
      <c r="B691" s="3"/>
      <c r="C691" s="3"/>
      <c r="D691" s="3"/>
      <c r="E691" s="3"/>
      <c r="F691" s="3"/>
      <c r="G691" s="3"/>
      <c r="H691" s="3"/>
      <c r="I691" s="3"/>
      <c r="J691" s="3"/>
      <c r="K691" s="3"/>
      <c r="L691" s="3"/>
      <c r="M691" s="3"/>
      <c r="N691" s="3"/>
      <c r="O691" s="3"/>
      <c r="P691" s="3"/>
      <c r="Q691" s="3"/>
      <c r="R691" s="3"/>
      <c r="S691" s="3"/>
      <c r="T691" s="3"/>
      <c r="U691" s="3"/>
      <c r="V691" s="3"/>
    </row>
    <row r="692" ht="12.75" customHeight="1" spans="1:22" x14ac:dyDescent="0.25">
      <c r="A692" s="3"/>
      <c r="B692" s="3"/>
      <c r="C692" s="3"/>
      <c r="D692" s="3"/>
      <c r="E692" s="3"/>
      <c r="F692" s="3"/>
      <c r="G692" s="3"/>
      <c r="H692" s="3"/>
      <c r="I692" s="3"/>
      <c r="J692" s="3"/>
      <c r="K692" s="3"/>
      <c r="L692" s="3"/>
      <c r="M692" s="3"/>
      <c r="N692" s="3"/>
      <c r="O692" s="3"/>
      <c r="P692" s="3"/>
      <c r="Q692" s="3"/>
      <c r="R692" s="3"/>
      <c r="S692" s="3"/>
      <c r="T692" s="3"/>
      <c r="U692" s="3"/>
      <c r="V692" s="3"/>
    </row>
    <row r="693" ht="12.75" customHeight="1" spans="1:22" x14ac:dyDescent="0.25">
      <c r="A693" s="3"/>
      <c r="B693" s="3"/>
      <c r="C693" s="3"/>
      <c r="D693" s="3"/>
      <c r="E693" s="3"/>
      <c r="F693" s="3"/>
      <c r="G693" s="3"/>
      <c r="H693" s="3"/>
      <c r="I693" s="3"/>
      <c r="J693" s="3"/>
      <c r="K693" s="3"/>
      <c r="L693" s="3"/>
      <c r="M693" s="3"/>
      <c r="N693" s="3"/>
      <c r="O693" s="3"/>
      <c r="P693" s="3"/>
      <c r="Q693" s="3"/>
      <c r="R693" s="3"/>
      <c r="S693" s="3"/>
      <c r="T693" s="3"/>
      <c r="U693" s="3"/>
      <c r="V693" s="3"/>
    </row>
    <row r="694" ht="12.75" customHeight="1" spans="1:22" x14ac:dyDescent="0.25">
      <c r="A694" s="3"/>
      <c r="B694" s="3"/>
      <c r="C694" s="3"/>
      <c r="D694" s="3"/>
      <c r="E694" s="3"/>
      <c r="F694" s="3"/>
      <c r="G694" s="3"/>
      <c r="H694" s="3"/>
      <c r="I694" s="3"/>
      <c r="J694" s="3"/>
      <c r="K694" s="3"/>
      <c r="L694" s="3"/>
      <c r="M694" s="3"/>
      <c r="N694" s="3"/>
      <c r="O694" s="3"/>
      <c r="P694" s="3"/>
      <c r="Q694" s="3"/>
      <c r="R694" s="3"/>
      <c r="S694" s="3"/>
      <c r="T694" s="3"/>
      <c r="U694" s="3"/>
      <c r="V694" s="3"/>
    </row>
    <row r="695" ht="12.75" customHeight="1" spans="1:22" x14ac:dyDescent="0.25">
      <c r="A695" s="3"/>
      <c r="B695" s="3"/>
      <c r="C695" s="3"/>
      <c r="D695" s="3"/>
      <c r="E695" s="3"/>
      <c r="F695" s="3"/>
      <c r="G695" s="3"/>
      <c r="H695" s="3"/>
      <c r="I695" s="3"/>
      <c r="J695" s="3"/>
      <c r="K695" s="3"/>
      <c r="L695" s="3"/>
      <c r="M695" s="3"/>
      <c r="N695" s="3"/>
      <c r="O695" s="3"/>
      <c r="P695" s="3"/>
      <c r="Q695" s="3"/>
      <c r="R695" s="3"/>
      <c r="S695" s="3"/>
      <c r="T695" s="3"/>
      <c r="U695" s="3"/>
      <c r="V695" s="3"/>
    </row>
    <row r="696" ht="12.75" customHeight="1" spans="1:22" x14ac:dyDescent="0.25">
      <c r="A696" s="3"/>
      <c r="B696" s="3"/>
      <c r="C696" s="3"/>
      <c r="D696" s="3"/>
      <c r="E696" s="3"/>
      <c r="F696" s="3"/>
      <c r="G696" s="3"/>
      <c r="H696" s="3"/>
      <c r="I696" s="3"/>
      <c r="J696" s="3"/>
      <c r="K696" s="3"/>
      <c r="L696" s="3"/>
      <c r="M696" s="3"/>
      <c r="N696" s="3"/>
      <c r="O696" s="3"/>
      <c r="P696" s="3"/>
      <c r="Q696" s="3"/>
      <c r="R696" s="3"/>
      <c r="S696" s="3"/>
      <c r="T696" s="3"/>
      <c r="U696" s="3"/>
      <c r="V696" s="3"/>
    </row>
    <row r="697" ht="12.75" customHeight="1" spans="1:22" x14ac:dyDescent="0.25">
      <c r="A697" s="3"/>
      <c r="B697" s="3"/>
      <c r="C697" s="3"/>
      <c r="D697" s="3"/>
      <c r="E697" s="3"/>
      <c r="F697" s="3"/>
      <c r="G697" s="3"/>
      <c r="H697" s="3"/>
      <c r="I697" s="3"/>
      <c r="J697" s="3"/>
      <c r="K697" s="3"/>
      <c r="L697" s="3"/>
      <c r="M697" s="3"/>
      <c r="N697" s="3"/>
      <c r="O697" s="3"/>
      <c r="P697" s="3"/>
      <c r="Q697" s="3"/>
      <c r="R697" s="3"/>
      <c r="S697" s="3"/>
      <c r="T697" s="3"/>
      <c r="U697" s="3"/>
      <c r="V697" s="3"/>
    </row>
    <row r="698" ht="12.75" customHeight="1" spans="1:22" x14ac:dyDescent="0.25">
      <c r="A698" s="3"/>
      <c r="B698" s="3"/>
      <c r="C698" s="3"/>
      <c r="D698" s="3"/>
      <c r="E698" s="3"/>
      <c r="F698" s="3"/>
      <c r="G698" s="3"/>
      <c r="H698" s="3"/>
      <c r="I698" s="3"/>
      <c r="J698" s="3"/>
      <c r="K698" s="3"/>
      <c r="L698" s="3"/>
      <c r="M698" s="3"/>
      <c r="N698" s="3"/>
      <c r="O698" s="3"/>
      <c r="P698" s="3"/>
      <c r="Q698" s="3"/>
      <c r="R698" s="3"/>
      <c r="S698" s="3"/>
      <c r="T698" s="3"/>
      <c r="U698" s="3"/>
      <c r="V698" s="3"/>
    </row>
    <row r="699" ht="12.75" customHeight="1" spans="1:22" x14ac:dyDescent="0.25">
      <c r="A699" s="3"/>
      <c r="B699" s="3"/>
      <c r="C699" s="3"/>
      <c r="D699" s="3"/>
      <c r="E699" s="3"/>
      <c r="F699" s="3"/>
      <c r="G699" s="3"/>
      <c r="H699" s="3"/>
      <c r="I699" s="3"/>
      <c r="J699" s="3"/>
      <c r="K699" s="3"/>
      <c r="L699" s="3"/>
      <c r="M699" s="3"/>
      <c r="N699" s="3"/>
      <c r="O699" s="3"/>
      <c r="P699" s="3"/>
      <c r="Q699" s="3"/>
      <c r="R699" s="3"/>
      <c r="S699" s="3"/>
      <c r="T699" s="3"/>
      <c r="U699" s="3"/>
      <c r="V699" s="3"/>
    </row>
    <row r="700" ht="12.75" customHeight="1" spans="1:22" x14ac:dyDescent="0.25">
      <c r="A700" s="3"/>
      <c r="B700" s="3"/>
      <c r="C700" s="3"/>
      <c r="D700" s="3"/>
      <c r="E700" s="3"/>
      <c r="F700" s="3"/>
      <c r="G700" s="3"/>
      <c r="H700" s="3"/>
      <c r="I700" s="3"/>
      <c r="J700" s="3"/>
      <c r="K700" s="3"/>
      <c r="L700" s="3"/>
      <c r="M700" s="3"/>
      <c r="N700" s="3"/>
      <c r="O700" s="3"/>
      <c r="P700" s="3"/>
      <c r="Q700" s="3"/>
      <c r="R700" s="3"/>
      <c r="S700" s="3"/>
      <c r="T700" s="3"/>
      <c r="U700" s="3"/>
      <c r="V700" s="3"/>
    </row>
    <row r="701" ht="12.75" customHeight="1" spans="1:22" x14ac:dyDescent="0.25">
      <c r="A701" s="3"/>
      <c r="B701" s="3"/>
      <c r="C701" s="3"/>
      <c r="D701" s="3"/>
      <c r="E701" s="3"/>
      <c r="F701" s="3"/>
      <c r="G701" s="3"/>
      <c r="H701" s="3"/>
      <c r="I701" s="3"/>
      <c r="J701" s="3"/>
      <c r="K701" s="3"/>
      <c r="L701" s="3"/>
      <c r="M701" s="3"/>
      <c r="N701" s="3"/>
      <c r="O701" s="3"/>
      <c r="P701" s="3"/>
      <c r="Q701" s="3"/>
      <c r="R701" s="3"/>
      <c r="S701" s="3"/>
      <c r="T701" s="3"/>
      <c r="U701" s="3"/>
      <c r="V701" s="3"/>
    </row>
    <row r="702" ht="12.75" customHeight="1" spans="1:22" x14ac:dyDescent="0.25">
      <c r="A702" s="3"/>
      <c r="B702" s="3"/>
      <c r="C702" s="3"/>
      <c r="D702" s="3"/>
      <c r="E702" s="3"/>
      <c r="F702" s="3"/>
      <c r="G702" s="3"/>
      <c r="H702" s="3"/>
      <c r="I702" s="3"/>
      <c r="J702" s="3"/>
      <c r="K702" s="3"/>
      <c r="L702" s="3"/>
      <c r="M702" s="3"/>
      <c r="N702" s="3"/>
      <c r="O702" s="3"/>
      <c r="P702" s="3"/>
      <c r="Q702" s="3"/>
      <c r="R702" s="3"/>
      <c r="S702" s="3"/>
      <c r="T702" s="3"/>
      <c r="U702" s="3"/>
      <c r="V702" s="3"/>
    </row>
    <row r="703" ht="12.75" customHeight="1" spans="1:22" x14ac:dyDescent="0.25">
      <c r="A703" s="3"/>
      <c r="B703" s="3"/>
      <c r="C703" s="3"/>
      <c r="D703" s="3"/>
      <c r="E703" s="3"/>
      <c r="F703" s="3"/>
      <c r="G703" s="3"/>
      <c r="H703" s="3"/>
      <c r="I703" s="3"/>
      <c r="J703" s="3"/>
      <c r="K703" s="3"/>
      <c r="L703" s="3"/>
      <c r="M703" s="3"/>
      <c r="N703" s="3"/>
      <c r="O703" s="3"/>
      <c r="P703" s="3"/>
      <c r="Q703" s="3"/>
      <c r="R703" s="3"/>
      <c r="S703" s="3"/>
      <c r="T703" s="3"/>
      <c r="U703" s="3"/>
      <c r="V703" s="3"/>
    </row>
    <row r="704" ht="12.75" customHeight="1" spans="1:22" x14ac:dyDescent="0.25">
      <c r="A704" s="3"/>
      <c r="B704" s="3"/>
      <c r="C704" s="3"/>
      <c r="D704" s="3"/>
      <c r="E704" s="3"/>
      <c r="F704" s="3"/>
      <c r="G704" s="3"/>
      <c r="H704" s="3"/>
      <c r="I704" s="3"/>
      <c r="J704" s="3"/>
      <c r="K704" s="3"/>
      <c r="L704" s="3"/>
      <c r="M704" s="3"/>
      <c r="N704" s="3"/>
      <c r="O704" s="3"/>
      <c r="P704" s="3"/>
      <c r="Q704" s="3"/>
      <c r="R704" s="3"/>
      <c r="S704" s="3"/>
      <c r="T704" s="3"/>
      <c r="U704" s="3"/>
      <c r="V704" s="3"/>
    </row>
    <row r="705" ht="12.75" customHeight="1" spans="1:22" x14ac:dyDescent="0.25">
      <c r="A705" s="3"/>
      <c r="B705" s="3"/>
      <c r="C705" s="3"/>
      <c r="D705" s="3"/>
      <c r="E705" s="3"/>
      <c r="F705" s="3"/>
      <c r="G705" s="3"/>
      <c r="H705" s="3"/>
      <c r="I705" s="3"/>
      <c r="J705" s="3"/>
      <c r="K705" s="3"/>
      <c r="L705" s="3"/>
      <c r="M705" s="3"/>
      <c r="N705" s="3"/>
      <c r="O705" s="3"/>
      <c r="P705" s="3"/>
      <c r="Q705" s="3"/>
      <c r="R705" s="3"/>
      <c r="S705" s="3"/>
      <c r="T705" s="3"/>
      <c r="U705" s="3"/>
      <c r="V705" s="3"/>
    </row>
    <row r="706" ht="12.75" customHeight="1" spans="1:22" x14ac:dyDescent="0.25">
      <c r="A706" s="3"/>
      <c r="B706" s="3"/>
      <c r="C706" s="3"/>
      <c r="D706" s="3"/>
      <c r="E706" s="3"/>
      <c r="F706" s="3"/>
      <c r="G706" s="3"/>
      <c r="H706" s="3"/>
      <c r="I706" s="3"/>
      <c r="J706" s="3"/>
      <c r="K706" s="3"/>
      <c r="L706" s="3"/>
      <c r="M706" s="3"/>
      <c r="N706" s="3"/>
      <c r="O706" s="3"/>
      <c r="P706" s="3"/>
      <c r="Q706" s="3"/>
      <c r="R706" s="3"/>
      <c r="S706" s="3"/>
      <c r="T706" s="3"/>
      <c r="U706" s="3"/>
      <c r="V706" s="3"/>
    </row>
    <row r="707" ht="12.75" customHeight="1" spans="1:22" x14ac:dyDescent="0.25">
      <c r="A707" s="3"/>
      <c r="B707" s="3"/>
      <c r="C707" s="3"/>
      <c r="D707" s="3"/>
      <c r="E707" s="3"/>
      <c r="F707" s="3"/>
      <c r="G707" s="3"/>
      <c r="H707" s="3"/>
      <c r="I707" s="3"/>
      <c r="J707" s="3"/>
      <c r="K707" s="3"/>
      <c r="L707" s="3"/>
      <c r="M707" s="3"/>
      <c r="N707" s="3"/>
      <c r="O707" s="3"/>
      <c r="P707" s="3"/>
      <c r="Q707" s="3"/>
      <c r="R707" s="3"/>
      <c r="S707" s="3"/>
      <c r="T707" s="3"/>
      <c r="U707" s="3"/>
      <c r="V707" s="3"/>
    </row>
    <row r="708" ht="12.75" customHeight="1" spans="1:22" x14ac:dyDescent="0.25">
      <c r="A708" s="3"/>
      <c r="B708" s="3"/>
      <c r="C708" s="3"/>
      <c r="D708" s="3"/>
      <c r="E708" s="3"/>
      <c r="F708" s="3"/>
      <c r="G708" s="3"/>
      <c r="H708" s="3"/>
      <c r="I708" s="3"/>
      <c r="J708" s="3"/>
      <c r="K708" s="3"/>
      <c r="L708" s="3"/>
      <c r="M708" s="3"/>
      <c r="N708" s="3"/>
      <c r="O708" s="3"/>
      <c r="P708" s="3"/>
      <c r="Q708" s="3"/>
      <c r="R708" s="3"/>
      <c r="S708" s="3"/>
      <c r="T708" s="3"/>
      <c r="U708" s="3"/>
      <c r="V708" s="3"/>
    </row>
    <row r="709" ht="12.75" customHeight="1" spans="1:22" x14ac:dyDescent="0.25">
      <c r="A709" s="3"/>
      <c r="B709" s="3"/>
      <c r="C709" s="3"/>
      <c r="D709" s="3"/>
      <c r="E709" s="3"/>
      <c r="F709" s="3"/>
      <c r="G709" s="3"/>
      <c r="H709" s="3"/>
      <c r="I709" s="3"/>
      <c r="J709" s="3"/>
      <c r="K709" s="3"/>
      <c r="L709" s="3"/>
      <c r="M709" s="3"/>
      <c r="N709" s="3"/>
      <c r="O709" s="3"/>
      <c r="P709" s="3"/>
      <c r="Q709" s="3"/>
      <c r="R709" s="3"/>
      <c r="S709" s="3"/>
      <c r="T709" s="3"/>
      <c r="U709" s="3"/>
      <c r="V709" s="3"/>
    </row>
    <row r="710" ht="12.75" customHeight="1" spans="1:22" x14ac:dyDescent="0.25">
      <c r="A710" s="3"/>
      <c r="B710" s="3"/>
      <c r="C710" s="3"/>
      <c r="D710" s="3"/>
      <c r="E710" s="3"/>
      <c r="F710" s="3"/>
      <c r="G710" s="3"/>
      <c r="H710" s="3"/>
      <c r="I710" s="3"/>
      <c r="J710" s="3"/>
      <c r="K710" s="3"/>
      <c r="L710" s="3"/>
      <c r="M710" s="3"/>
      <c r="N710" s="3"/>
      <c r="O710" s="3"/>
      <c r="P710" s="3"/>
      <c r="Q710" s="3"/>
      <c r="R710" s="3"/>
      <c r="S710" s="3"/>
      <c r="T710" s="3"/>
      <c r="U710" s="3"/>
      <c r="V710" s="3"/>
    </row>
    <row r="711" ht="12.75" customHeight="1" spans="1:22" x14ac:dyDescent="0.25">
      <c r="A711" s="3"/>
      <c r="B711" s="3"/>
      <c r="C711" s="3"/>
      <c r="D711" s="3"/>
      <c r="E711" s="3"/>
      <c r="F711" s="3"/>
      <c r="G711" s="3"/>
      <c r="H711" s="3"/>
      <c r="I711" s="3"/>
      <c r="J711" s="3"/>
      <c r="K711" s="3"/>
      <c r="L711" s="3"/>
      <c r="M711" s="3"/>
      <c r="N711" s="3"/>
      <c r="O711" s="3"/>
      <c r="P711" s="3"/>
      <c r="Q711" s="3"/>
      <c r="R711" s="3"/>
      <c r="S711" s="3"/>
      <c r="T711" s="3"/>
      <c r="U711" s="3"/>
      <c r="V711" s="3"/>
    </row>
    <row r="712" ht="12.75" customHeight="1" spans="1:22" x14ac:dyDescent="0.25">
      <c r="A712" s="3"/>
      <c r="B712" s="3"/>
      <c r="C712" s="3"/>
      <c r="D712" s="3"/>
      <c r="E712" s="3"/>
      <c r="F712" s="3"/>
      <c r="G712" s="3"/>
      <c r="H712" s="3"/>
      <c r="I712" s="3"/>
      <c r="J712" s="3"/>
      <c r="K712" s="3"/>
      <c r="L712" s="3"/>
      <c r="M712" s="3"/>
      <c r="N712" s="3"/>
      <c r="O712" s="3"/>
      <c r="P712" s="3"/>
      <c r="Q712" s="3"/>
      <c r="R712" s="3"/>
      <c r="S712" s="3"/>
      <c r="T712" s="3"/>
      <c r="U712" s="3"/>
      <c r="V712" s="3"/>
    </row>
    <row r="713" ht="12.75" customHeight="1" spans="1:22" x14ac:dyDescent="0.25">
      <c r="A713" s="3"/>
      <c r="B713" s="3"/>
      <c r="C713" s="3"/>
      <c r="D713" s="3"/>
      <c r="E713" s="3"/>
      <c r="F713" s="3"/>
      <c r="G713" s="3"/>
      <c r="H713" s="3"/>
      <c r="I713" s="3"/>
      <c r="J713" s="3"/>
      <c r="K713" s="3"/>
      <c r="L713" s="3"/>
      <c r="M713" s="3"/>
      <c r="N713" s="3"/>
      <c r="O713" s="3"/>
      <c r="P713" s="3"/>
      <c r="Q713" s="3"/>
      <c r="R713" s="3"/>
      <c r="S713" s="3"/>
      <c r="T713" s="3"/>
      <c r="U713" s="3"/>
      <c r="V713" s="3"/>
    </row>
    <row r="714" ht="12.75" customHeight="1" spans="1:22" x14ac:dyDescent="0.25">
      <c r="A714" s="3"/>
      <c r="B714" s="3"/>
      <c r="C714" s="3"/>
      <c r="D714" s="3"/>
      <c r="E714" s="3"/>
      <c r="F714" s="3"/>
      <c r="G714" s="3"/>
      <c r="H714" s="3"/>
      <c r="I714" s="3"/>
      <c r="J714" s="3"/>
      <c r="K714" s="3"/>
      <c r="L714" s="3"/>
      <c r="M714" s="3"/>
      <c r="N714" s="3"/>
      <c r="O714" s="3"/>
      <c r="P714" s="3"/>
      <c r="Q714" s="3"/>
      <c r="R714" s="3"/>
      <c r="S714" s="3"/>
      <c r="T714" s="3"/>
      <c r="U714" s="3"/>
      <c r="V714" s="3"/>
    </row>
    <row r="715" ht="12.75" customHeight="1" spans="1:22" x14ac:dyDescent="0.25">
      <c r="A715" s="3"/>
      <c r="B715" s="3"/>
      <c r="C715" s="3"/>
      <c r="D715" s="3"/>
      <c r="E715" s="3"/>
      <c r="F715" s="3"/>
      <c r="G715" s="3"/>
      <c r="H715" s="3"/>
      <c r="I715" s="3"/>
      <c r="J715" s="3"/>
      <c r="K715" s="3"/>
      <c r="L715" s="3"/>
      <c r="M715" s="3"/>
      <c r="N715" s="3"/>
      <c r="O715" s="3"/>
      <c r="P715" s="3"/>
      <c r="Q715" s="3"/>
      <c r="R715" s="3"/>
      <c r="S715" s="3"/>
      <c r="T715" s="3"/>
      <c r="U715" s="3"/>
      <c r="V715" s="3"/>
    </row>
    <row r="716" ht="12.75" customHeight="1" spans="1:22" x14ac:dyDescent="0.25">
      <c r="A716" s="3"/>
      <c r="B716" s="3"/>
      <c r="C716" s="3"/>
      <c r="D716" s="3"/>
      <c r="E716" s="3"/>
      <c r="F716" s="3"/>
      <c r="G716" s="3"/>
      <c r="H716" s="3"/>
      <c r="I716" s="3"/>
      <c r="J716" s="3"/>
      <c r="K716" s="3"/>
      <c r="L716" s="3"/>
      <c r="M716" s="3"/>
      <c r="N716" s="3"/>
      <c r="O716" s="3"/>
      <c r="P716" s="3"/>
      <c r="Q716" s="3"/>
      <c r="R716" s="3"/>
      <c r="S716" s="3"/>
      <c r="T716" s="3"/>
      <c r="U716" s="3"/>
      <c r="V716" s="3"/>
    </row>
    <row r="717" ht="12.75" customHeight="1" spans="1:22" x14ac:dyDescent="0.25">
      <c r="A717" s="3"/>
      <c r="B717" s="3"/>
      <c r="C717" s="3"/>
      <c r="D717" s="3"/>
      <c r="E717" s="3"/>
      <c r="F717" s="3"/>
      <c r="G717" s="3"/>
      <c r="H717" s="3"/>
      <c r="I717" s="3"/>
      <c r="J717" s="3"/>
      <c r="K717" s="3"/>
      <c r="L717" s="3"/>
      <c r="M717" s="3"/>
      <c r="N717" s="3"/>
      <c r="O717" s="3"/>
      <c r="P717" s="3"/>
      <c r="Q717" s="3"/>
      <c r="R717" s="3"/>
      <c r="S717" s="3"/>
      <c r="T717" s="3"/>
      <c r="U717" s="3"/>
      <c r="V717" s="3"/>
    </row>
    <row r="718" ht="12.75" customHeight="1" spans="1:22" x14ac:dyDescent="0.25">
      <c r="A718" s="3"/>
      <c r="B718" s="3"/>
      <c r="C718" s="3"/>
      <c r="D718" s="3"/>
      <c r="E718" s="3"/>
      <c r="F718" s="3"/>
      <c r="G718" s="3"/>
      <c r="H718" s="3"/>
      <c r="I718" s="3"/>
      <c r="J718" s="3"/>
      <c r="K718" s="3"/>
      <c r="L718" s="3"/>
      <c r="M718" s="3"/>
      <c r="N718" s="3"/>
      <c r="O718" s="3"/>
      <c r="P718" s="3"/>
      <c r="Q718" s="3"/>
      <c r="R718" s="3"/>
      <c r="S718" s="3"/>
      <c r="T718" s="3"/>
      <c r="U718" s="3"/>
      <c r="V718" s="3"/>
    </row>
    <row r="719" ht="12.75" customHeight="1" spans="1:22" x14ac:dyDescent="0.25">
      <c r="A719" s="3"/>
      <c r="B719" s="3"/>
      <c r="C719" s="3"/>
      <c r="D719" s="3"/>
      <c r="E719" s="3"/>
      <c r="F719" s="3"/>
      <c r="G719" s="3"/>
      <c r="H719" s="3"/>
      <c r="I719" s="3"/>
      <c r="J719" s="3"/>
      <c r="K719" s="3"/>
      <c r="L719" s="3"/>
      <c r="M719" s="3"/>
      <c r="N719" s="3"/>
      <c r="O719" s="3"/>
      <c r="P719" s="3"/>
      <c r="Q719" s="3"/>
      <c r="R719" s="3"/>
      <c r="S719" s="3"/>
      <c r="T719" s="3"/>
      <c r="U719" s="3"/>
      <c r="V719" s="3"/>
    </row>
    <row r="720" ht="12.75" customHeight="1" spans="1:22" x14ac:dyDescent="0.25">
      <c r="A720" s="3"/>
      <c r="B720" s="3"/>
      <c r="C720" s="3"/>
      <c r="D720" s="3"/>
      <c r="E720" s="3"/>
      <c r="F720" s="3"/>
      <c r="G720" s="3"/>
      <c r="H720" s="3"/>
      <c r="I720" s="3"/>
      <c r="J720" s="3"/>
      <c r="K720" s="3"/>
      <c r="L720" s="3"/>
      <c r="M720" s="3"/>
      <c r="N720" s="3"/>
      <c r="O720" s="3"/>
      <c r="P720" s="3"/>
      <c r="Q720" s="3"/>
      <c r="R720" s="3"/>
      <c r="S720" s="3"/>
      <c r="T720" s="3"/>
      <c r="U720" s="3"/>
      <c r="V720" s="3"/>
    </row>
    <row r="721" ht="12.75" customHeight="1" spans="1:22" x14ac:dyDescent="0.25">
      <c r="A721" s="3"/>
      <c r="B721" s="3"/>
      <c r="C721" s="3"/>
      <c r="D721" s="3"/>
      <c r="E721" s="3"/>
      <c r="F721" s="3"/>
      <c r="G721" s="3"/>
      <c r="H721" s="3"/>
      <c r="I721" s="3"/>
      <c r="J721" s="3"/>
      <c r="K721" s="3"/>
      <c r="L721" s="3"/>
      <c r="M721" s="3"/>
      <c r="N721" s="3"/>
      <c r="O721" s="3"/>
      <c r="P721" s="3"/>
      <c r="Q721" s="3"/>
      <c r="R721" s="3"/>
      <c r="S721" s="3"/>
      <c r="T721" s="3"/>
      <c r="U721" s="3"/>
      <c r="V721" s="3"/>
    </row>
    <row r="722" ht="12.75" customHeight="1" spans="1:22" x14ac:dyDescent="0.25">
      <c r="A722" s="3"/>
      <c r="B722" s="3"/>
      <c r="C722" s="3"/>
      <c r="D722" s="3"/>
      <c r="E722" s="3"/>
      <c r="F722" s="3"/>
      <c r="G722" s="3"/>
      <c r="H722" s="3"/>
      <c r="I722" s="3"/>
      <c r="J722" s="3"/>
      <c r="K722" s="3"/>
      <c r="L722" s="3"/>
      <c r="M722" s="3"/>
      <c r="N722" s="3"/>
      <c r="O722" s="3"/>
      <c r="P722" s="3"/>
      <c r="Q722" s="3"/>
      <c r="R722" s="3"/>
      <c r="S722" s="3"/>
      <c r="T722" s="3"/>
      <c r="U722" s="3"/>
      <c r="V722" s="3"/>
    </row>
    <row r="723" ht="12.75" customHeight="1" spans="1:22" x14ac:dyDescent="0.25">
      <c r="A723" s="3"/>
      <c r="B723" s="3"/>
      <c r="C723" s="3"/>
      <c r="D723" s="3"/>
      <c r="E723" s="3"/>
      <c r="F723" s="3"/>
      <c r="G723" s="3"/>
      <c r="H723" s="3"/>
      <c r="I723" s="3"/>
      <c r="J723" s="3"/>
      <c r="K723" s="3"/>
      <c r="L723" s="3"/>
      <c r="M723" s="3"/>
      <c r="N723" s="3"/>
      <c r="O723" s="3"/>
      <c r="P723" s="3"/>
      <c r="Q723" s="3"/>
      <c r="R723" s="3"/>
      <c r="S723" s="3"/>
      <c r="T723" s="3"/>
      <c r="U723" s="3"/>
      <c r="V723" s="3"/>
    </row>
    <row r="724" ht="12.75" customHeight="1" spans="1:22" x14ac:dyDescent="0.25">
      <c r="A724" s="3"/>
      <c r="B724" s="3"/>
      <c r="C724" s="3"/>
      <c r="D724" s="3"/>
      <c r="E724" s="3"/>
      <c r="F724" s="3"/>
      <c r="G724" s="3"/>
      <c r="H724" s="3"/>
      <c r="I724" s="3"/>
      <c r="J724" s="3"/>
      <c r="K724" s="3"/>
      <c r="L724" s="3"/>
      <c r="M724" s="3"/>
      <c r="N724" s="3"/>
      <c r="O724" s="3"/>
      <c r="P724" s="3"/>
      <c r="Q724" s="3"/>
      <c r="R724" s="3"/>
      <c r="S724" s="3"/>
      <c r="T724" s="3"/>
      <c r="U724" s="3"/>
      <c r="V724" s="3"/>
    </row>
    <row r="725" ht="12.75" customHeight="1" spans="1:22" x14ac:dyDescent="0.25">
      <c r="A725" s="3"/>
      <c r="B725" s="3"/>
      <c r="C725" s="3"/>
      <c r="D725" s="3"/>
      <c r="E725" s="3"/>
      <c r="F725" s="3"/>
      <c r="G725" s="3"/>
      <c r="H725" s="3"/>
      <c r="I725" s="3"/>
      <c r="J725" s="3"/>
      <c r="K725" s="3"/>
      <c r="L725" s="3"/>
      <c r="M725" s="3"/>
      <c r="N725" s="3"/>
      <c r="O725" s="3"/>
      <c r="P725" s="3"/>
      <c r="Q725" s="3"/>
      <c r="R725" s="3"/>
      <c r="S725" s="3"/>
      <c r="T725" s="3"/>
      <c r="U725" s="3"/>
      <c r="V725" s="3"/>
    </row>
    <row r="726" ht="12.75" customHeight="1" spans="1:22" x14ac:dyDescent="0.25">
      <c r="A726" s="3"/>
      <c r="B726" s="3"/>
      <c r="C726" s="3"/>
      <c r="D726" s="3"/>
      <c r="E726" s="3"/>
      <c r="F726" s="3"/>
      <c r="G726" s="3"/>
      <c r="H726" s="3"/>
      <c r="I726" s="3"/>
      <c r="J726" s="3"/>
      <c r="K726" s="3"/>
      <c r="L726" s="3"/>
      <c r="M726" s="3"/>
      <c r="N726" s="3"/>
      <c r="O726" s="3"/>
      <c r="P726" s="3"/>
      <c r="Q726" s="3"/>
      <c r="R726" s="3"/>
      <c r="S726" s="3"/>
      <c r="T726" s="3"/>
      <c r="U726" s="3"/>
      <c r="V726" s="3"/>
    </row>
    <row r="727" ht="12.75" customHeight="1" spans="1:22" x14ac:dyDescent="0.25">
      <c r="A727" s="3"/>
      <c r="B727" s="3"/>
      <c r="C727" s="3"/>
      <c r="D727" s="3"/>
      <c r="E727" s="3"/>
      <c r="F727" s="3"/>
      <c r="G727" s="3"/>
      <c r="H727" s="3"/>
      <c r="I727" s="3"/>
      <c r="J727" s="3"/>
      <c r="K727" s="3"/>
      <c r="L727" s="3"/>
      <c r="M727" s="3"/>
      <c r="N727" s="3"/>
      <c r="O727" s="3"/>
      <c r="P727" s="3"/>
      <c r="Q727" s="3"/>
      <c r="R727" s="3"/>
      <c r="S727" s="3"/>
      <c r="T727" s="3"/>
      <c r="U727" s="3"/>
      <c r="V727" s="3"/>
    </row>
    <row r="728" ht="12.75" customHeight="1" spans="1:22" x14ac:dyDescent="0.25">
      <c r="A728" s="3"/>
      <c r="B728" s="3"/>
      <c r="C728" s="3"/>
      <c r="D728" s="3"/>
      <c r="E728" s="3"/>
      <c r="F728" s="3"/>
      <c r="G728" s="3"/>
      <c r="H728" s="3"/>
      <c r="I728" s="3"/>
      <c r="J728" s="3"/>
      <c r="K728" s="3"/>
      <c r="L728" s="3"/>
      <c r="M728" s="3"/>
      <c r="N728" s="3"/>
      <c r="O728" s="3"/>
      <c r="P728" s="3"/>
      <c r="Q728" s="3"/>
      <c r="R728" s="3"/>
      <c r="S728" s="3"/>
      <c r="T728" s="3"/>
      <c r="U728" s="3"/>
      <c r="V728" s="3"/>
    </row>
    <row r="729" ht="12.75" customHeight="1" spans="1:22" x14ac:dyDescent="0.25">
      <c r="A729" s="3"/>
      <c r="B729" s="3"/>
      <c r="C729" s="3"/>
      <c r="D729" s="3"/>
      <c r="E729" s="3"/>
      <c r="F729" s="3"/>
      <c r="G729" s="3"/>
      <c r="H729" s="3"/>
      <c r="I729" s="3"/>
      <c r="J729" s="3"/>
      <c r="K729" s="3"/>
      <c r="L729" s="3"/>
      <c r="M729" s="3"/>
      <c r="N729" s="3"/>
      <c r="O729" s="3"/>
      <c r="P729" s="3"/>
      <c r="Q729" s="3"/>
      <c r="R729" s="3"/>
      <c r="S729" s="3"/>
      <c r="T729" s="3"/>
      <c r="U729" s="3"/>
      <c r="V729" s="3"/>
    </row>
    <row r="730" ht="12.75" customHeight="1" spans="1:22" x14ac:dyDescent="0.25">
      <c r="A730" s="3"/>
      <c r="B730" s="3"/>
      <c r="C730" s="3"/>
      <c r="D730" s="3"/>
      <c r="E730" s="3"/>
      <c r="F730" s="3"/>
      <c r="G730" s="3"/>
      <c r="H730" s="3"/>
      <c r="I730" s="3"/>
      <c r="J730" s="3"/>
      <c r="K730" s="3"/>
      <c r="L730" s="3"/>
      <c r="M730" s="3"/>
      <c r="N730" s="3"/>
      <c r="O730" s="3"/>
      <c r="P730" s="3"/>
      <c r="Q730" s="3"/>
      <c r="R730" s="3"/>
      <c r="S730" s="3"/>
      <c r="T730" s="3"/>
      <c r="U730" s="3"/>
      <c r="V730" s="3"/>
    </row>
    <row r="731" ht="12.75" customHeight="1" spans="1:22" x14ac:dyDescent="0.25">
      <c r="A731" s="3"/>
      <c r="B731" s="3"/>
      <c r="C731" s="3"/>
      <c r="D731" s="3"/>
      <c r="E731" s="3"/>
      <c r="F731" s="3"/>
      <c r="G731" s="3"/>
      <c r="H731" s="3"/>
      <c r="I731" s="3"/>
      <c r="J731" s="3"/>
      <c r="K731" s="3"/>
      <c r="L731" s="3"/>
      <c r="M731" s="3"/>
      <c r="N731" s="3"/>
      <c r="O731" s="3"/>
      <c r="P731" s="3"/>
      <c r="Q731" s="3"/>
      <c r="R731" s="3"/>
      <c r="S731" s="3"/>
      <c r="T731" s="3"/>
      <c r="U731" s="3"/>
      <c r="V731" s="3"/>
    </row>
    <row r="732" ht="12.75" customHeight="1" spans="1:22" x14ac:dyDescent="0.25">
      <c r="A732" s="3"/>
      <c r="B732" s="3"/>
      <c r="C732" s="3"/>
      <c r="D732" s="3"/>
      <c r="E732" s="3"/>
      <c r="F732" s="3"/>
      <c r="G732" s="3"/>
      <c r="H732" s="3"/>
      <c r="I732" s="3"/>
      <c r="J732" s="3"/>
      <c r="K732" s="3"/>
      <c r="L732" s="3"/>
      <c r="M732" s="3"/>
      <c r="N732" s="3"/>
      <c r="O732" s="3"/>
      <c r="P732" s="3"/>
      <c r="Q732" s="3"/>
      <c r="R732" s="3"/>
      <c r="S732" s="3"/>
      <c r="T732" s="3"/>
      <c r="U732" s="3"/>
      <c r="V732" s="3"/>
    </row>
    <row r="733" ht="12.75" customHeight="1" spans="1:22" x14ac:dyDescent="0.25">
      <c r="A733" s="3"/>
      <c r="B733" s="3"/>
      <c r="C733" s="3"/>
      <c r="D733" s="3"/>
      <c r="E733" s="3"/>
      <c r="F733" s="3"/>
      <c r="G733" s="3"/>
      <c r="H733" s="3"/>
      <c r="I733" s="3"/>
      <c r="J733" s="3"/>
      <c r="K733" s="3"/>
      <c r="L733" s="3"/>
      <c r="M733" s="3"/>
      <c r="N733" s="3"/>
      <c r="O733" s="3"/>
      <c r="P733" s="3"/>
      <c r="Q733" s="3"/>
      <c r="R733" s="3"/>
      <c r="S733" s="3"/>
      <c r="T733" s="3"/>
      <c r="U733" s="3"/>
      <c r="V733" s="3"/>
    </row>
    <row r="734" ht="12.75" customHeight="1" spans="1:22" x14ac:dyDescent="0.25">
      <c r="A734" s="3"/>
      <c r="B734" s="3"/>
      <c r="C734" s="3"/>
      <c r="D734" s="3"/>
      <c r="E734" s="3"/>
      <c r="F734" s="3"/>
      <c r="G734" s="3"/>
      <c r="H734" s="3"/>
      <c r="I734" s="3"/>
      <c r="J734" s="3"/>
      <c r="K734" s="3"/>
      <c r="L734" s="3"/>
      <c r="M734" s="3"/>
      <c r="N734" s="3"/>
      <c r="O734" s="3"/>
      <c r="P734" s="3"/>
      <c r="Q734" s="3"/>
      <c r="R734" s="3"/>
      <c r="S734" s="3"/>
      <c r="T734" s="3"/>
      <c r="U734" s="3"/>
      <c r="V734" s="3"/>
    </row>
    <row r="735" ht="12.75" customHeight="1" spans="1:22" x14ac:dyDescent="0.25">
      <c r="A735" s="3"/>
      <c r="B735" s="3"/>
      <c r="C735" s="3"/>
      <c r="D735" s="3"/>
      <c r="E735" s="3"/>
      <c r="F735" s="3"/>
      <c r="G735" s="3"/>
      <c r="H735" s="3"/>
      <c r="I735" s="3"/>
      <c r="J735" s="3"/>
      <c r="K735" s="3"/>
      <c r="L735" s="3"/>
      <c r="M735" s="3"/>
      <c r="N735" s="3"/>
      <c r="O735" s="3"/>
      <c r="P735" s="3"/>
      <c r="Q735" s="3"/>
      <c r="R735" s="3"/>
      <c r="S735" s="3"/>
      <c r="T735" s="3"/>
      <c r="U735" s="3"/>
      <c r="V735" s="3"/>
    </row>
    <row r="736" ht="12.75" customHeight="1" spans="1:22" x14ac:dyDescent="0.25">
      <c r="A736" s="3"/>
      <c r="B736" s="3"/>
      <c r="C736" s="3"/>
      <c r="D736" s="3"/>
      <c r="E736" s="3"/>
      <c r="F736" s="3"/>
      <c r="G736" s="3"/>
      <c r="H736" s="3"/>
      <c r="I736" s="3"/>
      <c r="J736" s="3"/>
      <c r="K736" s="3"/>
      <c r="L736" s="3"/>
      <c r="M736" s="3"/>
      <c r="N736" s="3"/>
      <c r="O736" s="3"/>
      <c r="P736" s="3"/>
      <c r="Q736" s="3"/>
      <c r="R736" s="3"/>
      <c r="S736" s="3"/>
      <c r="T736" s="3"/>
      <c r="U736" s="3"/>
      <c r="V736" s="3"/>
    </row>
    <row r="737" ht="12.75" customHeight="1" spans="1:22" x14ac:dyDescent="0.25">
      <c r="A737" s="3"/>
      <c r="B737" s="3"/>
      <c r="C737" s="3"/>
      <c r="D737" s="3"/>
      <c r="E737" s="3"/>
      <c r="F737" s="3"/>
      <c r="G737" s="3"/>
      <c r="H737" s="3"/>
      <c r="I737" s="3"/>
      <c r="J737" s="3"/>
      <c r="K737" s="3"/>
      <c r="L737" s="3"/>
      <c r="M737" s="3"/>
      <c r="N737" s="3"/>
      <c r="O737" s="3"/>
      <c r="P737" s="3"/>
      <c r="Q737" s="3"/>
      <c r="R737" s="3"/>
      <c r="S737" s="3"/>
      <c r="T737" s="3"/>
      <c r="U737" s="3"/>
      <c r="V737" s="3"/>
    </row>
    <row r="738" ht="12.75" customHeight="1" spans="1:22" x14ac:dyDescent="0.25">
      <c r="A738" s="3"/>
      <c r="B738" s="3"/>
      <c r="C738" s="3"/>
      <c r="D738" s="3"/>
      <c r="E738" s="3"/>
      <c r="F738" s="3"/>
      <c r="G738" s="3"/>
      <c r="H738" s="3"/>
      <c r="I738" s="3"/>
      <c r="J738" s="3"/>
      <c r="K738" s="3"/>
      <c r="L738" s="3"/>
      <c r="M738" s="3"/>
      <c r="N738" s="3"/>
      <c r="O738" s="3"/>
      <c r="P738" s="3"/>
      <c r="Q738" s="3"/>
      <c r="R738" s="3"/>
      <c r="S738" s="3"/>
      <c r="T738" s="3"/>
      <c r="U738" s="3"/>
      <c r="V738" s="3"/>
    </row>
    <row r="739" ht="12.75" customHeight="1" spans="1:22" x14ac:dyDescent="0.25">
      <c r="A739" s="3"/>
      <c r="B739" s="3"/>
      <c r="C739" s="3"/>
      <c r="D739" s="3"/>
      <c r="E739" s="3"/>
      <c r="F739" s="3"/>
      <c r="G739" s="3"/>
      <c r="H739" s="3"/>
      <c r="I739" s="3"/>
      <c r="J739" s="3"/>
      <c r="K739" s="3"/>
      <c r="L739" s="3"/>
      <c r="M739" s="3"/>
      <c r="N739" s="3"/>
      <c r="O739" s="3"/>
      <c r="P739" s="3"/>
      <c r="Q739" s="3"/>
      <c r="R739" s="3"/>
      <c r="S739" s="3"/>
      <c r="T739" s="3"/>
      <c r="U739" s="3"/>
      <c r="V739" s="3"/>
    </row>
    <row r="740" ht="12.75" customHeight="1" spans="1:22" x14ac:dyDescent="0.25">
      <c r="A740" s="3"/>
      <c r="B740" s="3"/>
      <c r="C740" s="3"/>
      <c r="D740" s="3"/>
      <c r="E740" s="3"/>
      <c r="F740" s="3"/>
      <c r="G740" s="3"/>
      <c r="H740" s="3"/>
      <c r="I740" s="3"/>
      <c r="J740" s="3"/>
      <c r="K740" s="3"/>
      <c r="L740" s="3"/>
      <c r="M740" s="3"/>
      <c r="N740" s="3"/>
      <c r="O740" s="3"/>
      <c r="P740" s="3"/>
      <c r="Q740" s="3"/>
      <c r="R740" s="3"/>
      <c r="S740" s="3"/>
      <c r="T740" s="3"/>
      <c r="U740" s="3"/>
      <c r="V740" s="3"/>
    </row>
    <row r="741" ht="12.75" customHeight="1" spans="1:22" x14ac:dyDescent="0.25">
      <c r="A741" s="3"/>
      <c r="B741" s="3"/>
      <c r="C741" s="3"/>
      <c r="D741" s="3"/>
      <c r="E741" s="3"/>
      <c r="F741" s="3"/>
      <c r="G741" s="3"/>
      <c r="H741" s="3"/>
      <c r="I741" s="3"/>
      <c r="J741" s="3"/>
      <c r="K741" s="3"/>
      <c r="L741" s="3"/>
      <c r="M741" s="3"/>
      <c r="N741" s="3"/>
      <c r="O741" s="3"/>
      <c r="P741" s="3"/>
      <c r="Q741" s="3"/>
      <c r="R741" s="3"/>
      <c r="S741" s="3"/>
      <c r="T741" s="3"/>
      <c r="U741" s="3"/>
      <c r="V741" s="3"/>
    </row>
    <row r="742" ht="12.75" customHeight="1" spans="1:22" x14ac:dyDescent="0.25">
      <c r="A742" s="3"/>
      <c r="B742" s="3"/>
      <c r="C742" s="3"/>
      <c r="D742" s="3"/>
      <c r="E742" s="3"/>
      <c r="F742" s="3"/>
      <c r="G742" s="3"/>
      <c r="H742" s="3"/>
      <c r="I742" s="3"/>
      <c r="J742" s="3"/>
      <c r="K742" s="3"/>
      <c r="L742" s="3"/>
      <c r="M742" s="3"/>
      <c r="N742" s="3"/>
      <c r="O742" s="3"/>
      <c r="P742" s="3"/>
      <c r="Q742" s="3"/>
      <c r="R742" s="3"/>
      <c r="S742" s="3"/>
      <c r="T742" s="3"/>
      <c r="U742" s="3"/>
      <c r="V742" s="3"/>
    </row>
    <row r="743" ht="12.75" customHeight="1" spans="1:22" x14ac:dyDescent="0.25">
      <c r="A743" s="3"/>
      <c r="B743" s="3"/>
      <c r="C743" s="3"/>
      <c r="D743" s="3"/>
      <c r="E743" s="3"/>
      <c r="F743" s="3"/>
      <c r="G743" s="3"/>
      <c r="H743" s="3"/>
      <c r="I743" s="3"/>
      <c r="J743" s="3"/>
      <c r="K743" s="3"/>
      <c r="L743" s="3"/>
      <c r="M743" s="3"/>
      <c r="N743" s="3"/>
      <c r="O743" s="3"/>
      <c r="P743" s="3"/>
      <c r="Q743" s="3"/>
      <c r="R743" s="3"/>
      <c r="S743" s="3"/>
      <c r="T743" s="3"/>
      <c r="U743" s="3"/>
      <c r="V743" s="3"/>
    </row>
    <row r="744" ht="12.75" customHeight="1" spans="1:22" x14ac:dyDescent="0.25">
      <c r="A744" s="3"/>
      <c r="B744" s="3"/>
      <c r="C744" s="3"/>
      <c r="D744" s="3"/>
      <c r="E744" s="3"/>
      <c r="F744" s="3"/>
      <c r="G744" s="3"/>
      <c r="H744" s="3"/>
      <c r="I744" s="3"/>
      <c r="J744" s="3"/>
      <c r="K744" s="3"/>
      <c r="L744" s="3"/>
      <c r="M744" s="3"/>
      <c r="N744" s="3"/>
      <c r="O744" s="3"/>
      <c r="P744" s="3"/>
      <c r="Q744" s="3"/>
      <c r="R744" s="3"/>
      <c r="S744" s="3"/>
      <c r="T744" s="3"/>
      <c r="U744" s="3"/>
      <c r="V744" s="3"/>
    </row>
    <row r="745" ht="12.75" customHeight="1" spans="1:22" x14ac:dyDescent="0.25">
      <c r="A745" s="3"/>
      <c r="B745" s="3"/>
      <c r="C745" s="3"/>
      <c r="D745" s="3"/>
      <c r="E745" s="3"/>
      <c r="F745" s="3"/>
      <c r="G745" s="3"/>
      <c r="H745" s="3"/>
      <c r="I745" s="3"/>
      <c r="J745" s="3"/>
      <c r="K745" s="3"/>
      <c r="L745" s="3"/>
      <c r="M745" s="3"/>
      <c r="N745" s="3"/>
      <c r="O745" s="3"/>
      <c r="P745" s="3"/>
      <c r="Q745" s="3"/>
      <c r="R745" s="3"/>
      <c r="S745" s="3"/>
      <c r="T745" s="3"/>
      <c r="U745" s="3"/>
      <c r="V745" s="3"/>
    </row>
    <row r="746" ht="12.75" customHeight="1" spans="1:22" x14ac:dyDescent="0.25">
      <c r="A746" s="3"/>
      <c r="B746" s="3"/>
      <c r="C746" s="3"/>
      <c r="D746" s="3"/>
      <c r="E746" s="3"/>
      <c r="F746" s="3"/>
      <c r="G746" s="3"/>
      <c r="H746" s="3"/>
      <c r="I746" s="3"/>
      <c r="J746" s="3"/>
      <c r="K746" s="3"/>
      <c r="L746" s="3"/>
      <c r="M746" s="3"/>
      <c r="N746" s="3"/>
      <c r="O746" s="3"/>
      <c r="P746" s="3"/>
      <c r="Q746" s="3"/>
      <c r="R746" s="3"/>
      <c r="S746" s="3"/>
      <c r="T746" s="3"/>
      <c r="U746" s="3"/>
      <c r="V746" s="3"/>
    </row>
    <row r="747" ht="12.75" customHeight="1" spans="1:22" x14ac:dyDescent="0.25">
      <c r="A747" s="3"/>
      <c r="B747" s="3"/>
      <c r="C747" s="3"/>
      <c r="D747" s="3"/>
      <c r="E747" s="3"/>
      <c r="F747" s="3"/>
      <c r="G747" s="3"/>
      <c r="H747" s="3"/>
      <c r="I747" s="3"/>
      <c r="J747" s="3"/>
      <c r="K747" s="3"/>
      <c r="L747" s="3"/>
      <c r="M747" s="3"/>
      <c r="N747" s="3"/>
      <c r="O747" s="3"/>
      <c r="P747" s="3"/>
      <c r="Q747" s="3"/>
      <c r="R747" s="3"/>
      <c r="S747" s="3"/>
      <c r="T747" s="3"/>
      <c r="U747" s="3"/>
      <c r="V747" s="3"/>
    </row>
    <row r="748" ht="12.75" customHeight="1" spans="1:22" x14ac:dyDescent="0.25">
      <c r="A748" s="3"/>
      <c r="B748" s="3"/>
      <c r="C748" s="3"/>
      <c r="D748" s="3"/>
      <c r="E748" s="3"/>
      <c r="F748" s="3"/>
      <c r="G748" s="3"/>
      <c r="H748" s="3"/>
      <c r="I748" s="3"/>
      <c r="J748" s="3"/>
      <c r="K748" s="3"/>
      <c r="L748" s="3"/>
      <c r="M748" s="3"/>
      <c r="N748" s="3"/>
      <c r="O748" s="3"/>
      <c r="P748" s="3"/>
      <c r="Q748" s="3"/>
      <c r="R748" s="3"/>
      <c r="S748" s="3"/>
      <c r="T748" s="3"/>
      <c r="U748" s="3"/>
      <c r="V748" s="3"/>
    </row>
    <row r="749" ht="12.75" customHeight="1" spans="1:22" x14ac:dyDescent="0.25">
      <c r="A749" s="3"/>
      <c r="B749" s="3"/>
      <c r="C749" s="3"/>
      <c r="D749" s="3"/>
      <c r="E749" s="3"/>
      <c r="F749" s="3"/>
      <c r="G749" s="3"/>
      <c r="H749" s="3"/>
      <c r="I749" s="3"/>
      <c r="J749" s="3"/>
      <c r="K749" s="3"/>
      <c r="L749" s="3"/>
      <c r="M749" s="3"/>
      <c r="N749" s="3"/>
      <c r="O749" s="3"/>
      <c r="P749" s="3"/>
      <c r="Q749" s="3"/>
      <c r="R749" s="3"/>
      <c r="S749" s="3"/>
      <c r="T749" s="3"/>
      <c r="U749" s="3"/>
      <c r="V749" s="3"/>
    </row>
    <row r="750" ht="12.75" customHeight="1" spans="1:22" x14ac:dyDescent="0.25">
      <c r="A750" s="3"/>
      <c r="B750" s="3"/>
      <c r="C750" s="3"/>
      <c r="D750" s="3"/>
      <c r="E750" s="3"/>
      <c r="F750" s="3"/>
      <c r="G750" s="3"/>
      <c r="H750" s="3"/>
      <c r="I750" s="3"/>
      <c r="J750" s="3"/>
      <c r="K750" s="3"/>
      <c r="L750" s="3"/>
      <c r="M750" s="3"/>
      <c r="N750" s="3"/>
      <c r="O750" s="3"/>
      <c r="P750" s="3"/>
      <c r="Q750" s="3"/>
      <c r="R750" s="3"/>
      <c r="S750" s="3"/>
      <c r="T750" s="3"/>
      <c r="U750" s="3"/>
      <c r="V750" s="3"/>
    </row>
    <row r="751" ht="12.75" customHeight="1" spans="1:22" x14ac:dyDescent="0.25">
      <c r="A751" s="3"/>
      <c r="B751" s="3"/>
      <c r="C751" s="3"/>
      <c r="D751" s="3"/>
      <c r="E751" s="3"/>
      <c r="F751" s="3"/>
      <c r="G751" s="3"/>
      <c r="H751" s="3"/>
      <c r="I751" s="3"/>
      <c r="J751" s="3"/>
      <c r="K751" s="3"/>
      <c r="L751" s="3"/>
      <c r="M751" s="3"/>
      <c r="N751" s="3"/>
      <c r="O751" s="3"/>
      <c r="P751" s="3"/>
      <c r="Q751" s="3"/>
      <c r="R751" s="3"/>
      <c r="S751" s="3"/>
      <c r="T751" s="3"/>
      <c r="U751" s="3"/>
      <c r="V751" s="3"/>
    </row>
    <row r="752" ht="12.75" customHeight="1" spans="1:22" x14ac:dyDescent="0.25">
      <c r="A752" s="3"/>
      <c r="B752" s="3"/>
      <c r="C752" s="3"/>
      <c r="D752" s="3"/>
      <c r="E752" s="3"/>
      <c r="F752" s="3"/>
      <c r="G752" s="3"/>
      <c r="H752" s="3"/>
      <c r="I752" s="3"/>
      <c r="J752" s="3"/>
      <c r="K752" s="3"/>
      <c r="L752" s="3"/>
      <c r="M752" s="3"/>
      <c r="N752" s="3"/>
      <c r="O752" s="3"/>
      <c r="P752" s="3"/>
      <c r="Q752" s="3"/>
      <c r="R752" s="3"/>
      <c r="S752" s="3"/>
      <c r="T752" s="3"/>
      <c r="U752" s="3"/>
      <c r="V752" s="3"/>
    </row>
    <row r="753" ht="12.75" customHeight="1" spans="1:22" x14ac:dyDescent="0.25">
      <c r="A753" s="3"/>
      <c r="B753" s="3"/>
      <c r="C753" s="3"/>
      <c r="D753" s="3"/>
      <c r="E753" s="3"/>
      <c r="F753" s="3"/>
      <c r="G753" s="3"/>
      <c r="H753" s="3"/>
      <c r="I753" s="3"/>
      <c r="J753" s="3"/>
      <c r="K753" s="3"/>
      <c r="L753" s="3"/>
      <c r="M753" s="3"/>
      <c r="N753" s="3"/>
      <c r="O753" s="3"/>
      <c r="P753" s="3"/>
      <c r="Q753" s="3"/>
      <c r="R753" s="3"/>
      <c r="S753" s="3"/>
      <c r="T753" s="3"/>
      <c r="U753" s="3"/>
      <c r="V753" s="3"/>
    </row>
    <row r="754" ht="12.75" customHeight="1" spans="1:22" x14ac:dyDescent="0.25">
      <c r="A754" s="3"/>
      <c r="B754" s="3"/>
      <c r="C754" s="3"/>
      <c r="D754" s="3"/>
      <c r="E754" s="3"/>
      <c r="F754" s="3"/>
      <c r="G754" s="3"/>
      <c r="H754" s="3"/>
      <c r="I754" s="3"/>
      <c r="J754" s="3"/>
      <c r="K754" s="3"/>
      <c r="L754" s="3"/>
      <c r="M754" s="3"/>
      <c r="N754" s="3"/>
      <c r="O754" s="3"/>
      <c r="P754" s="3"/>
      <c r="Q754" s="3"/>
      <c r="R754" s="3"/>
      <c r="S754" s="3"/>
      <c r="T754" s="3"/>
      <c r="U754" s="3"/>
      <c r="V754" s="3"/>
    </row>
    <row r="755" ht="12.75" customHeight="1" spans="1:22" x14ac:dyDescent="0.25">
      <c r="A755" s="3"/>
      <c r="B755" s="3"/>
      <c r="C755" s="3"/>
      <c r="D755" s="3"/>
      <c r="E755" s="3"/>
      <c r="F755" s="3"/>
      <c r="G755" s="3"/>
      <c r="H755" s="3"/>
      <c r="I755" s="3"/>
      <c r="J755" s="3"/>
      <c r="K755" s="3"/>
      <c r="L755" s="3"/>
      <c r="M755" s="3"/>
      <c r="N755" s="3"/>
      <c r="O755" s="3"/>
      <c r="P755" s="3"/>
      <c r="Q755" s="3"/>
      <c r="R755" s="3"/>
      <c r="S755" s="3"/>
      <c r="T755" s="3"/>
      <c r="U755" s="3"/>
      <c r="V755" s="3"/>
    </row>
    <row r="756" ht="12.75" customHeight="1" spans="1:22" x14ac:dyDescent="0.25">
      <c r="A756" s="3"/>
      <c r="B756" s="3"/>
      <c r="C756" s="3"/>
      <c r="D756" s="3"/>
      <c r="E756" s="3"/>
      <c r="F756" s="3"/>
      <c r="G756" s="3"/>
      <c r="H756" s="3"/>
      <c r="I756" s="3"/>
      <c r="J756" s="3"/>
      <c r="K756" s="3"/>
      <c r="L756" s="3"/>
      <c r="M756" s="3"/>
      <c r="N756" s="3"/>
      <c r="O756" s="3"/>
      <c r="P756" s="3"/>
      <c r="Q756" s="3"/>
      <c r="R756" s="3"/>
      <c r="S756" s="3"/>
      <c r="T756" s="3"/>
      <c r="U756" s="3"/>
      <c r="V756" s="3"/>
    </row>
    <row r="757" ht="12.75" customHeight="1" spans="1:22" x14ac:dyDescent="0.25">
      <c r="A757" s="3"/>
      <c r="B757" s="3"/>
      <c r="C757" s="3"/>
      <c r="D757" s="3"/>
      <c r="E757" s="3"/>
      <c r="F757" s="3"/>
      <c r="G757" s="3"/>
      <c r="H757" s="3"/>
      <c r="I757" s="3"/>
      <c r="J757" s="3"/>
      <c r="K757" s="3"/>
      <c r="L757" s="3"/>
      <c r="M757" s="3"/>
      <c r="N757" s="3"/>
      <c r="O757" s="3"/>
      <c r="P757" s="3"/>
      <c r="Q757" s="3"/>
      <c r="R757" s="3"/>
      <c r="S757" s="3"/>
      <c r="T757" s="3"/>
      <c r="U757" s="3"/>
      <c r="V757" s="3"/>
    </row>
    <row r="758" ht="12.75" customHeight="1" spans="1:22" x14ac:dyDescent="0.25">
      <c r="A758" s="3"/>
      <c r="B758" s="3"/>
      <c r="C758" s="3"/>
      <c r="D758" s="3"/>
      <c r="E758" s="3"/>
      <c r="F758" s="3"/>
      <c r="G758" s="3"/>
      <c r="H758" s="3"/>
      <c r="I758" s="3"/>
      <c r="J758" s="3"/>
      <c r="K758" s="3"/>
      <c r="L758" s="3"/>
      <c r="M758" s="3"/>
      <c r="N758" s="3"/>
      <c r="O758" s="3"/>
      <c r="P758" s="3"/>
      <c r="Q758" s="3"/>
      <c r="R758" s="3"/>
      <c r="S758" s="3"/>
      <c r="T758" s="3"/>
      <c r="U758" s="3"/>
      <c r="V758" s="3"/>
    </row>
    <row r="759" ht="12.75" customHeight="1" spans="1:22" x14ac:dyDescent="0.25">
      <c r="A759" s="3"/>
      <c r="B759" s="3"/>
      <c r="C759" s="3"/>
      <c r="D759" s="3"/>
      <c r="E759" s="3"/>
      <c r="F759" s="3"/>
      <c r="G759" s="3"/>
      <c r="H759" s="3"/>
      <c r="I759" s="3"/>
      <c r="J759" s="3"/>
      <c r="K759" s="3"/>
      <c r="L759" s="3"/>
      <c r="M759" s="3"/>
      <c r="N759" s="3"/>
      <c r="O759" s="3"/>
      <c r="P759" s="3"/>
      <c r="Q759" s="3"/>
      <c r="R759" s="3"/>
      <c r="S759" s="3"/>
      <c r="T759" s="3"/>
      <c r="U759" s="3"/>
      <c r="V759" s="3"/>
    </row>
    <row r="760" ht="12.75" customHeight="1" spans="1:22" x14ac:dyDescent="0.25">
      <c r="A760" s="3"/>
      <c r="B760" s="3"/>
      <c r="C760" s="3"/>
      <c r="D760" s="3"/>
      <c r="E760" s="3"/>
      <c r="F760" s="3"/>
      <c r="G760" s="3"/>
      <c r="H760" s="3"/>
      <c r="I760" s="3"/>
      <c r="J760" s="3"/>
      <c r="K760" s="3"/>
      <c r="L760" s="3"/>
      <c r="M760" s="3"/>
      <c r="N760" s="3"/>
      <c r="O760" s="3"/>
      <c r="P760" s="3"/>
      <c r="Q760" s="3"/>
      <c r="R760" s="3"/>
      <c r="S760" s="3"/>
      <c r="T760" s="3"/>
      <c r="U760" s="3"/>
      <c r="V760" s="3"/>
    </row>
    <row r="761" ht="12.75" customHeight="1" spans="1:22" x14ac:dyDescent="0.25">
      <c r="A761" s="3"/>
      <c r="B761" s="3"/>
      <c r="C761" s="3"/>
      <c r="D761" s="3"/>
      <c r="E761" s="3"/>
      <c r="F761" s="3"/>
      <c r="G761" s="3"/>
      <c r="H761" s="3"/>
      <c r="I761" s="3"/>
      <c r="J761" s="3"/>
      <c r="K761" s="3"/>
      <c r="L761" s="3"/>
      <c r="M761" s="3"/>
      <c r="N761" s="3"/>
      <c r="O761" s="3"/>
      <c r="P761" s="3"/>
      <c r="Q761" s="3"/>
      <c r="R761" s="3"/>
      <c r="S761" s="3"/>
      <c r="T761" s="3"/>
      <c r="U761" s="3"/>
      <c r="V761" s="3"/>
    </row>
    <row r="762" ht="12.75" customHeight="1" spans="1:22" x14ac:dyDescent="0.25">
      <c r="A762" s="3"/>
      <c r="B762" s="3"/>
      <c r="C762" s="3"/>
      <c r="D762" s="3"/>
      <c r="E762" s="3"/>
      <c r="F762" s="3"/>
      <c r="G762" s="3"/>
      <c r="H762" s="3"/>
      <c r="I762" s="3"/>
      <c r="J762" s="3"/>
      <c r="K762" s="3"/>
      <c r="L762" s="3"/>
      <c r="M762" s="3"/>
      <c r="N762" s="3"/>
      <c r="O762" s="3"/>
      <c r="P762" s="3"/>
      <c r="Q762" s="3"/>
      <c r="R762" s="3"/>
      <c r="S762" s="3"/>
      <c r="T762" s="3"/>
      <c r="U762" s="3"/>
      <c r="V762" s="3"/>
    </row>
    <row r="763" ht="12.75" customHeight="1" spans="1:22" x14ac:dyDescent="0.25">
      <c r="A763" s="3"/>
      <c r="B763" s="3"/>
      <c r="C763" s="3"/>
      <c r="D763" s="3"/>
      <c r="E763" s="3"/>
      <c r="F763" s="3"/>
      <c r="G763" s="3"/>
      <c r="H763" s="3"/>
      <c r="I763" s="3"/>
      <c r="J763" s="3"/>
      <c r="K763" s="3"/>
      <c r="L763" s="3"/>
      <c r="M763" s="3"/>
      <c r="N763" s="3"/>
      <c r="O763" s="3"/>
      <c r="P763" s="3"/>
      <c r="Q763" s="3"/>
      <c r="R763" s="3"/>
      <c r="S763" s="3"/>
      <c r="T763" s="3"/>
      <c r="U763" s="3"/>
      <c r="V763" s="3"/>
    </row>
    <row r="764" ht="12.75" customHeight="1" spans="1:22" x14ac:dyDescent="0.25">
      <c r="A764" s="3"/>
      <c r="B764" s="3"/>
      <c r="C764" s="3"/>
      <c r="D764" s="3"/>
      <c r="E764" s="3"/>
      <c r="F764" s="3"/>
      <c r="G764" s="3"/>
      <c r="H764" s="3"/>
      <c r="I764" s="3"/>
      <c r="J764" s="3"/>
      <c r="K764" s="3"/>
      <c r="L764" s="3"/>
      <c r="M764" s="3"/>
      <c r="N764" s="3"/>
      <c r="O764" s="3"/>
      <c r="P764" s="3"/>
      <c r="Q764" s="3"/>
      <c r="R764" s="3"/>
      <c r="S764" s="3"/>
      <c r="T764" s="3"/>
      <c r="U764" s="3"/>
      <c r="V764" s="3"/>
    </row>
    <row r="765" ht="12.75" customHeight="1" spans="1:22" x14ac:dyDescent="0.25">
      <c r="A765" s="3"/>
      <c r="B765" s="3"/>
      <c r="C765" s="3"/>
      <c r="D765" s="3"/>
      <c r="E765" s="3"/>
      <c r="F765" s="3"/>
      <c r="G765" s="3"/>
      <c r="H765" s="3"/>
      <c r="I765" s="3"/>
      <c r="J765" s="3"/>
      <c r="K765" s="3"/>
      <c r="L765" s="3"/>
      <c r="M765" s="3"/>
      <c r="N765" s="3"/>
      <c r="O765" s="3"/>
      <c r="P765" s="3"/>
      <c r="Q765" s="3"/>
      <c r="R765" s="3"/>
      <c r="S765" s="3"/>
      <c r="T765" s="3"/>
      <c r="U765" s="3"/>
      <c r="V765" s="3"/>
    </row>
    <row r="766" ht="12.75" customHeight="1" spans="1:22" x14ac:dyDescent="0.25">
      <c r="A766" s="3"/>
      <c r="B766" s="3"/>
      <c r="C766" s="3"/>
      <c r="D766" s="3"/>
      <c r="E766" s="3"/>
      <c r="F766" s="3"/>
      <c r="G766" s="3"/>
      <c r="H766" s="3"/>
      <c r="I766" s="3"/>
      <c r="J766" s="3"/>
      <c r="K766" s="3"/>
      <c r="L766" s="3"/>
      <c r="M766" s="3"/>
      <c r="N766" s="3"/>
      <c r="O766" s="3"/>
      <c r="P766" s="3"/>
      <c r="Q766" s="3"/>
      <c r="R766" s="3"/>
      <c r="S766" s="3"/>
      <c r="T766" s="3"/>
      <c r="U766" s="3"/>
      <c r="V766" s="3"/>
    </row>
    <row r="767" ht="12.75" customHeight="1" spans="1:22" x14ac:dyDescent="0.25">
      <c r="A767" s="3"/>
      <c r="B767" s="3"/>
      <c r="C767" s="3"/>
      <c r="D767" s="3"/>
      <c r="E767" s="3"/>
      <c r="F767" s="3"/>
      <c r="G767" s="3"/>
      <c r="H767" s="3"/>
      <c r="I767" s="3"/>
      <c r="J767" s="3"/>
      <c r="K767" s="3"/>
      <c r="L767" s="3"/>
      <c r="M767" s="3"/>
      <c r="N767" s="3"/>
      <c r="O767" s="3"/>
      <c r="P767" s="3"/>
      <c r="Q767" s="3"/>
      <c r="R767" s="3"/>
      <c r="S767" s="3"/>
      <c r="T767" s="3"/>
      <c r="U767" s="3"/>
      <c r="V767" s="3"/>
    </row>
    <row r="768" ht="12.75" customHeight="1" spans="1:22" x14ac:dyDescent="0.25">
      <c r="A768" s="3"/>
      <c r="B768" s="3"/>
      <c r="C768" s="3"/>
      <c r="D768" s="3"/>
      <c r="E768" s="3"/>
      <c r="F768" s="3"/>
      <c r="G768" s="3"/>
      <c r="H768" s="3"/>
      <c r="I768" s="3"/>
      <c r="J768" s="3"/>
      <c r="K768" s="3"/>
      <c r="L768" s="3"/>
      <c r="M768" s="3"/>
      <c r="N768" s="3"/>
      <c r="O768" s="3"/>
      <c r="P768" s="3"/>
      <c r="Q768" s="3"/>
      <c r="R768" s="3"/>
      <c r="S768" s="3"/>
      <c r="T768" s="3"/>
      <c r="U768" s="3"/>
      <c r="V768" s="3"/>
    </row>
    <row r="769" ht="12.75" customHeight="1" spans="1:22" x14ac:dyDescent="0.25">
      <c r="A769" s="3"/>
      <c r="B769" s="3"/>
      <c r="C769" s="3"/>
      <c r="D769" s="3"/>
      <c r="E769" s="3"/>
      <c r="F769" s="3"/>
      <c r="G769" s="3"/>
      <c r="H769" s="3"/>
      <c r="I769" s="3"/>
      <c r="J769" s="3"/>
      <c r="K769" s="3"/>
      <c r="L769" s="3"/>
      <c r="M769" s="3"/>
      <c r="N769" s="3"/>
      <c r="O769" s="3"/>
      <c r="P769" s="3"/>
      <c r="Q769" s="3"/>
      <c r="R769" s="3"/>
      <c r="S769" s="3"/>
      <c r="T769" s="3"/>
      <c r="U769" s="3"/>
      <c r="V769" s="3"/>
    </row>
    <row r="770" ht="12.75" customHeight="1" spans="1:22" x14ac:dyDescent="0.25">
      <c r="A770" s="3"/>
      <c r="B770" s="3"/>
      <c r="C770" s="3"/>
      <c r="D770" s="3"/>
      <c r="E770" s="3"/>
      <c r="F770" s="3"/>
      <c r="G770" s="3"/>
      <c r="H770" s="3"/>
      <c r="I770" s="3"/>
      <c r="J770" s="3"/>
      <c r="K770" s="3"/>
      <c r="L770" s="3"/>
      <c r="M770" s="3"/>
      <c r="N770" s="3"/>
      <c r="O770" s="3"/>
      <c r="P770" s="3"/>
      <c r="Q770" s="3"/>
      <c r="R770" s="3"/>
      <c r="S770" s="3"/>
      <c r="T770" s="3"/>
      <c r="U770" s="3"/>
      <c r="V770" s="3"/>
    </row>
    <row r="771" ht="12.75" customHeight="1" spans="1:22" x14ac:dyDescent="0.25">
      <c r="A771" s="3"/>
      <c r="B771" s="3"/>
      <c r="C771" s="3"/>
      <c r="D771" s="3"/>
      <c r="E771" s="3"/>
      <c r="F771" s="3"/>
      <c r="G771" s="3"/>
      <c r="H771" s="3"/>
      <c r="I771" s="3"/>
      <c r="J771" s="3"/>
      <c r="K771" s="3"/>
      <c r="L771" s="3"/>
      <c r="M771" s="3"/>
      <c r="N771" s="3"/>
      <c r="O771" s="3"/>
      <c r="P771" s="3"/>
      <c r="Q771" s="3"/>
      <c r="R771" s="3"/>
      <c r="S771" s="3"/>
      <c r="T771" s="3"/>
      <c r="U771" s="3"/>
      <c r="V771" s="3"/>
    </row>
    <row r="772" ht="12.75" customHeight="1" spans="1:22" x14ac:dyDescent="0.25">
      <c r="A772" s="3"/>
      <c r="B772" s="3"/>
      <c r="C772" s="3"/>
      <c r="D772" s="3"/>
      <c r="E772" s="3"/>
      <c r="F772" s="3"/>
      <c r="G772" s="3"/>
      <c r="H772" s="3"/>
      <c r="I772" s="3"/>
      <c r="J772" s="3"/>
      <c r="K772" s="3"/>
      <c r="L772" s="3"/>
      <c r="M772" s="3"/>
      <c r="N772" s="3"/>
      <c r="O772" s="3"/>
      <c r="P772" s="3"/>
      <c r="Q772" s="3"/>
      <c r="R772" s="3"/>
      <c r="S772" s="3"/>
      <c r="T772" s="3"/>
      <c r="U772" s="3"/>
      <c r="V772" s="3"/>
    </row>
    <row r="773" ht="12.75" customHeight="1" spans="1:22" x14ac:dyDescent="0.25">
      <c r="A773" s="3"/>
      <c r="B773" s="3"/>
      <c r="C773" s="3"/>
      <c r="D773" s="3"/>
      <c r="E773" s="3"/>
      <c r="F773" s="3"/>
      <c r="G773" s="3"/>
      <c r="H773" s="3"/>
      <c r="I773" s="3"/>
      <c r="J773" s="3"/>
      <c r="K773" s="3"/>
      <c r="L773" s="3"/>
      <c r="M773" s="3"/>
      <c r="N773" s="3"/>
      <c r="O773" s="3"/>
      <c r="P773" s="3"/>
      <c r="Q773" s="3"/>
      <c r="R773" s="3"/>
      <c r="S773" s="3"/>
      <c r="T773" s="3"/>
      <c r="U773" s="3"/>
      <c r="V773" s="3"/>
    </row>
    <row r="774" ht="12.75" customHeight="1" spans="1:22" x14ac:dyDescent="0.25">
      <c r="A774" s="3"/>
      <c r="B774" s="3"/>
      <c r="C774" s="3"/>
      <c r="D774" s="3"/>
      <c r="E774" s="3"/>
      <c r="F774" s="3"/>
      <c r="G774" s="3"/>
      <c r="H774" s="3"/>
      <c r="I774" s="3"/>
      <c r="J774" s="3"/>
      <c r="K774" s="3"/>
      <c r="L774" s="3"/>
      <c r="M774" s="3"/>
      <c r="N774" s="3"/>
      <c r="O774" s="3"/>
      <c r="P774" s="3"/>
      <c r="Q774" s="3"/>
      <c r="R774" s="3"/>
      <c r="S774" s="3"/>
      <c r="T774" s="3"/>
      <c r="U774" s="3"/>
      <c r="V774" s="3"/>
    </row>
    <row r="775" ht="12.75" customHeight="1" spans="1:22" x14ac:dyDescent="0.25">
      <c r="A775" s="3"/>
      <c r="B775" s="3"/>
      <c r="C775" s="3"/>
      <c r="D775" s="3"/>
      <c r="E775" s="3"/>
      <c r="F775" s="3"/>
      <c r="G775" s="3"/>
      <c r="H775" s="3"/>
      <c r="I775" s="3"/>
      <c r="J775" s="3"/>
      <c r="K775" s="3"/>
      <c r="L775" s="3"/>
      <c r="M775" s="3"/>
      <c r="N775" s="3"/>
      <c r="O775" s="3"/>
      <c r="P775" s="3"/>
      <c r="Q775" s="3"/>
      <c r="R775" s="3"/>
      <c r="S775" s="3"/>
      <c r="T775" s="3"/>
      <c r="U775" s="3"/>
      <c r="V775" s="3"/>
    </row>
    <row r="776" ht="12.75" customHeight="1" spans="1:22" x14ac:dyDescent="0.25">
      <c r="A776" s="3"/>
      <c r="B776" s="3"/>
      <c r="C776" s="3"/>
      <c r="D776" s="3"/>
      <c r="E776" s="3"/>
      <c r="F776" s="3"/>
      <c r="G776" s="3"/>
      <c r="H776" s="3"/>
      <c r="I776" s="3"/>
      <c r="J776" s="3"/>
      <c r="K776" s="3"/>
      <c r="L776" s="3"/>
      <c r="M776" s="3"/>
      <c r="N776" s="3"/>
      <c r="O776" s="3"/>
      <c r="P776" s="3"/>
      <c r="Q776" s="3"/>
      <c r="R776" s="3"/>
      <c r="S776" s="3"/>
      <c r="T776" s="3"/>
      <c r="U776" s="3"/>
      <c r="V776" s="3"/>
    </row>
    <row r="777" ht="12.75" customHeight="1" spans="1:22" x14ac:dyDescent="0.25">
      <c r="A777" s="3"/>
      <c r="B777" s="3"/>
      <c r="C777" s="3"/>
      <c r="D777" s="3"/>
      <c r="E777" s="3"/>
      <c r="F777" s="3"/>
      <c r="G777" s="3"/>
      <c r="H777" s="3"/>
      <c r="I777" s="3"/>
      <c r="J777" s="3"/>
      <c r="K777" s="3"/>
      <c r="L777" s="3"/>
      <c r="M777" s="3"/>
      <c r="N777" s="3"/>
      <c r="O777" s="3"/>
      <c r="P777" s="3"/>
      <c r="Q777" s="3"/>
      <c r="R777" s="3"/>
      <c r="S777" s="3"/>
      <c r="T777" s="3"/>
      <c r="U777" s="3"/>
      <c r="V777" s="3"/>
    </row>
    <row r="778" ht="12.75" customHeight="1" spans="1:22" x14ac:dyDescent="0.25">
      <c r="A778" s="3"/>
      <c r="B778" s="3"/>
      <c r="C778" s="3"/>
      <c r="D778" s="3"/>
      <c r="E778" s="3"/>
      <c r="F778" s="3"/>
      <c r="G778" s="3"/>
      <c r="H778" s="3"/>
      <c r="I778" s="3"/>
      <c r="J778" s="3"/>
      <c r="K778" s="3"/>
      <c r="L778" s="3"/>
      <c r="M778" s="3"/>
      <c r="N778" s="3"/>
      <c r="O778" s="3"/>
      <c r="P778" s="3"/>
      <c r="Q778" s="3"/>
      <c r="R778" s="3"/>
      <c r="S778" s="3"/>
      <c r="T778" s="3"/>
      <c r="U778" s="3"/>
      <c r="V778" s="3"/>
    </row>
    <row r="779" ht="12.75" customHeight="1" spans="1:22" x14ac:dyDescent="0.25">
      <c r="A779" s="3"/>
      <c r="B779" s="3"/>
      <c r="C779" s="3"/>
      <c r="D779" s="3"/>
      <c r="E779" s="3"/>
      <c r="F779" s="3"/>
      <c r="G779" s="3"/>
      <c r="H779" s="3"/>
      <c r="I779" s="3"/>
      <c r="J779" s="3"/>
      <c r="K779" s="3"/>
      <c r="L779" s="3"/>
      <c r="M779" s="3"/>
      <c r="N779" s="3"/>
      <c r="O779" s="3"/>
      <c r="P779" s="3"/>
      <c r="Q779" s="3"/>
      <c r="R779" s="3"/>
      <c r="S779" s="3"/>
      <c r="T779" s="3"/>
      <c r="U779" s="3"/>
      <c r="V779" s="3"/>
    </row>
    <row r="780" ht="12.75" customHeight="1" spans="1:22" x14ac:dyDescent="0.25">
      <c r="A780" s="3"/>
      <c r="B780" s="3"/>
      <c r="C780" s="3"/>
      <c r="D780" s="3"/>
      <c r="E780" s="3"/>
      <c r="F780" s="3"/>
      <c r="G780" s="3"/>
      <c r="H780" s="3"/>
      <c r="I780" s="3"/>
      <c r="J780" s="3"/>
      <c r="K780" s="3"/>
      <c r="L780" s="3"/>
      <c r="M780" s="3"/>
      <c r="N780" s="3"/>
      <c r="O780" s="3"/>
      <c r="P780" s="3"/>
      <c r="Q780" s="3"/>
      <c r="R780" s="3"/>
      <c r="S780" s="3"/>
      <c r="T780" s="3"/>
      <c r="U780" s="3"/>
      <c r="V780" s="3"/>
    </row>
    <row r="781" ht="12.75" customHeight="1" spans="1:22" x14ac:dyDescent="0.25">
      <c r="A781" s="3"/>
      <c r="B781" s="3"/>
      <c r="C781" s="3"/>
      <c r="D781" s="3"/>
      <c r="E781" s="3"/>
      <c r="F781" s="3"/>
      <c r="G781" s="3"/>
      <c r="H781" s="3"/>
      <c r="I781" s="3"/>
      <c r="J781" s="3"/>
      <c r="K781" s="3"/>
      <c r="L781" s="3"/>
      <c r="M781" s="3"/>
      <c r="N781" s="3"/>
      <c r="O781" s="3"/>
      <c r="P781" s="3"/>
      <c r="Q781" s="3"/>
      <c r="R781" s="3"/>
      <c r="S781" s="3"/>
      <c r="T781" s="3"/>
      <c r="U781" s="3"/>
      <c r="V781" s="3"/>
    </row>
    <row r="782" ht="12.75" customHeight="1" spans="1:22" x14ac:dyDescent="0.25">
      <c r="A782" s="3"/>
      <c r="B782" s="3"/>
      <c r="C782" s="3"/>
      <c r="D782" s="3"/>
      <c r="E782" s="3"/>
      <c r="F782" s="3"/>
      <c r="G782" s="3"/>
      <c r="H782" s="3"/>
      <c r="I782" s="3"/>
      <c r="J782" s="3"/>
      <c r="K782" s="3"/>
      <c r="L782" s="3"/>
      <c r="M782" s="3"/>
      <c r="N782" s="3"/>
      <c r="O782" s="3"/>
      <c r="P782" s="3"/>
      <c r="Q782" s="3"/>
      <c r="R782" s="3"/>
      <c r="S782" s="3"/>
      <c r="T782" s="3"/>
      <c r="U782" s="3"/>
      <c r="V782" s="3"/>
    </row>
    <row r="783" ht="12.75" customHeight="1" spans="1:22" x14ac:dyDescent="0.25">
      <c r="A783" s="3"/>
      <c r="B783" s="3"/>
      <c r="C783" s="3"/>
      <c r="D783" s="3"/>
      <c r="E783" s="3"/>
      <c r="F783" s="3"/>
      <c r="G783" s="3"/>
      <c r="H783" s="3"/>
      <c r="I783" s="3"/>
      <c r="J783" s="3"/>
      <c r="K783" s="3"/>
      <c r="L783" s="3"/>
      <c r="M783" s="3"/>
      <c r="N783" s="3"/>
      <c r="O783" s="3"/>
      <c r="P783" s="3"/>
      <c r="Q783" s="3"/>
      <c r="R783" s="3"/>
      <c r="S783" s="3"/>
      <c r="T783" s="3"/>
      <c r="U783" s="3"/>
      <c r="V783" s="3"/>
    </row>
    <row r="784" ht="12.75" customHeight="1" spans="1:22" x14ac:dyDescent="0.25">
      <c r="A784" s="3"/>
      <c r="B784" s="3"/>
      <c r="C784" s="3"/>
      <c r="D784" s="3"/>
      <c r="E784" s="3"/>
      <c r="F784" s="3"/>
      <c r="G784" s="3"/>
      <c r="H784" s="3"/>
      <c r="I784" s="3"/>
      <c r="J784" s="3"/>
      <c r="K784" s="3"/>
      <c r="L784" s="3"/>
      <c r="M784" s="3"/>
      <c r="N784" s="3"/>
      <c r="O784" s="3"/>
      <c r="P784" s="3"/>
      <c r="Q784" s="3"/>
      <c r="R784" s="3"/>
      <c r="S784" s="3"/>
      <c r="T784" s="3"/>
      <c r="U784" s="3"/>
      <c r="V784" s="3"/>
    </row>
    <row r="785" ht="12.75" customHeight="1" spans="1:22" x14ac:dyDescent="0.25">
      <c r="A785" s="3"/>
      <c r="B785" s="3"/>
      <c r="C785" s="3"/>
      <c r="D785" s="3"/>
      <c r="E785" s="3"/>
      <c r="F785" s="3"/>
      <c r="G785" s="3"/>
      <c r="H785" s="3"/>
      <c r="I785" s="3"/>
      <c r="J785" s="3"/>
      <c r="K785" s="3"/>
      <c r="L785" s="3"/>
      <c r="M785" s="3"/>
      <c r="N785" s="3"/>
      <c r="O785" s="3"/>
      <c r="P785" s="3"/>
      <c r="Q785" s="3"/>
      <c r="R785" s="3"/>
      <c r="S785" s="3"/>
      <c r="T785" s="3"/>
      <c r="U785" s="3"/>
      <c r="V785" s="3"/>
    </row>
    <row r="786" ht="12.75" customHeight="1" spans="1:22" x14ac:dyDescent="0.25">
      <c r="A786" s="3"/>
      <c r="B786" s="3"/>
      <c r="C786" s="3"/>
      <c r="D786" s="3"/>
      <c r="E786" s="3"/>
      <c r="F786" s="3"/>
      <c r="G786" s="3"/>
      <c r="H786" s="3"/>
      <c r="I786" s="3"/>
      <c r="J786" s="3"/>
      <c r="K786" s="3"/>
      <c r="L786" s="3"/>
      <c r="M786" s="3"/>
      <c r="N786" s="3"/>
      <c r="O786" s="3"/>
      <c r="P786" s="3"/>
      <c r="Q786" s="3"/>
      <c r="R786" s="3"/>
      <c r="S786" s="3"/>
      <c r="T786" s="3"/>
      <c r="U786" s="3"/>
      <c r="V786" s="3"/>
    </row>
    <row r="787" ht="12.75" customHeight="1" spans="1:22" x14ac:dyDescent="0.25">
      <c r="A787" s="3"/>
      <c r="B787" s="3"/>
      <c r="C787" s="3"/>
      <c r="D787" s="3"/>
      <c r="E787" s="3"/>
      <c r="F787" s="3"/>
      <c r="G787" s="3"/>
      <c r="H787" s="3"/>
      <c r="I787" s="3"/>
      <c r="J787" s="3"/>
      <c r="K787" s="3"/>
      <c r="L787" s="3"/>
      <c r="M787" s="3"/>
      <c r="N787" s="3"/>
      <c r="O787" s="3"/>
      <c r="P787" s="3"/>
      <c r="Q787" s="3"/>
      <c r="R787" s="3"/>
      <c r="S787" s="3"/>
      <c r="T787" s="3"/>
      <c r="U787" s="3"/>
      <c r="V787" s="3"/>
    </row>
    <row r="788" ht="12.75" customHeight="1" spans="1:22" x14ac:dyDescent="0.25">
      <c r="A788" s="3"/>
      <c r="B788" s="3"/>
      <c r="C788" s="3"/>
      <c r="D788" s="3"/>
      <c r="E788" s="3"/>
      <c r="F788" s="3"/>
      <c r="G788" s="3"/>
      <c r="H788" s="3"/>
      <c r="I788" s="3"/>
      <c r="J788" s="3"/>
      <c r="K788" s="3"/>
      <c r="L788" s="3"/>
      <c r="M788" s="3"/>
      <c r="N788" s="3"/>
      <c r="O788" s="3"/>
      <c r="P788" s="3"/>
      <c r="Q788" s="3"/>
      <c r="R788" s="3"/>
      <c r="S788" s="3"/>
      <c r="T788" s="3"/>
      <c r="U788" s="3"/>
      <c r="V788" s="3"/>
    </row>
    <row r="789" ht="12.75" customHeight="1" spans="1:22" x14ac:dyDescent="0.25">
      <c r="A789" s="3"/>
      <c r="B789" s="3"/>
      <c r="C789" s="3"/>
      <c r="D789" s="3"/>
      <c r="E789" s="3"/>
      <c r="F789" s="3"/>
      <c r="G789" s="3"/>
      <c r="H789" s="3"/>
      <c r="I789" s="3"/>
      <c r="J789" s="3"/>
      <c r="K789" s="3"/>
      <c r="L789" s="3"/>
      <c r="M789" s="3"/>
      <c r="N789" s="3"/>
      <c r="O789" s="3"/>
      <c r="P789" s="3"/>
      <c r="Q789" s="3"/>
      <c r="R789" s="3"/>
      <c r="S789" s="3"/>
      <c r="T789" s="3"/>
      <c r="U789" s="3"/>
      <c r="V789" s="3"/>
    </row>
    <row r="790" ht="12.75" customHeight="1" spans="1:22" x14ac:dyDescent="0.25">
      <c r="A790" s="3"/>
      <c r="B790" s="3"/>
      <c r="C790" s="3"/>
      <c r="D790" s="3"/>
      <c r="E790" s="3"/>
      <c r="F790" s="3"/>
      <c r="G790" s="3"/>
      <c r="H790" s="3"/>
      <c r="I790" s="3"/>
      <c r="J790" s="3"/>
      <c r="K790" s="3"/>
      <c r="L790" s="3"/>
      <c r="M790" s="3"/>
      <c r="N790" s="3"/>
      <c r="O790" s="3"/>
      <c r="P790" s="3"/>
      <c r="Q790" s="3"/>
      <c r="R790" s="3"/>
      <c r="S790" s="3"/>
      <c r="T790" s="3"/>
      <c r="U790" s="3"/>
      <c r="V790" s="3"/>
    </row>
    <row r="791" ht="12.75" customHeight="1" spans="1:22" x14ac:dyDescent="0.25">
      <c r="A791" s="3"/>
      <c r="B791" s="3"/>
      <c r="C791" s="3"/>
      <c r="D791" s="3"/>
      <c r="E791" s="3"/>
      <c r="F791" s="3"/>
      <c r="G791" s="3"/>
      <c r="H791" s="3"/>
      <c r="I791" s="3"/>
      <c r="J791" s="3"/>
      <c r="K791" s="3"/>
      <c r="L791" s="3"/>
      <c r="M791" s="3"/>
      <c r="N791" s="3"/>
      <c r="O791" s="3"/>
      <c r="P791" s="3"/>
      <c r="Q791" s="3"/>
      <c r="R791" s="3"/>
      <c r="S791" s="3"/>
      <c r="T791" s="3"/>
      <c r="U791" s="3"/>
      <c r="V791" s="3"/>
    </row>
    <row r="792" ht="12.75" customHeight="1" spans="1:22" x14ac:dyDescent="0.25">
      <c r="A792" s="3"/>
      <c r="B792" s="3"/>
      <c r="C792" s="3"/>
      <c r="D792" s="3"/>
      <c r="E792" s="3"/>
      <c r="F792" s="3"/>
      <c r="G792" s="3"/>
      <c r="H792" s="3"/>
      <c r="I792" s="3"/>
      <c r="J792" s="3"/>
      <c r="K792" s="3"/>
      <c r="L792" s="3"/>
      <c r="M792" s="3"/>
      <c r="N792" s="3"/>
      <c r="O792" s="3"/>
      <c r="P792" s="3"/>
      <c r="Q792" s="3"/>
      <c r="R792" s="3"/>
      <c r="S792" s="3"/>
      <c r="T792" s="3"/>
      <c r="U792" s="3"/>
      <c r="V792" s="3"/>
    </row>
    <row r="793" ht="12.75" customHeight="1" spans="1:22" x14ac:dyDescent="0.25">
      <c r="A793" s="3"/>
      <c r="B793" s="3"/>
      <c r="C793" s="3"/>
      <c r="D793" s="3"/>
      <c r="E793" s="3"/>
      <c r="F793" s="3"/>
      <c r="G793" s="3"/>
      <c r="H793" s="3"/>
      <c r="I793" s="3"/>
      <c r="J793" s="3"/>
      <c r="K793" s="3"/>
      <c r="L793" s="3"/>
      <c r="M793" s="3"/>
      <c r="N793" s="3"/>
      <c r="O793" s="3"/>
      <c r="P793" s="3"/>
      <c r="Q793" s="3"/>
      <c r="R793" s="3"/>
      <c r="S793" s="3"/>
      <c r="T793" s="3"/>
      <c r="U793" s="3"/>
      <c r="V793" s="3"/>
    </row>
    <row r="794" ht="12.75" customHeight="1" spans="1:22" x14ac:dyDescent="0.25">
      <c r="A794" s="3"/>
      <c r="B794" s="3"/>
      <c r="C794" s="3"/>
      <c r="D794" s="3"/>
      <c r="E794" s="3"/>
      <c r="F794" s="3"/>
      <c r="G794" s="3"/>
      <c r="H794" s="3"/>
      <c r="I794" s="3"/>
      <c r="J794" s="3"/>
      <c r="K794" s="3"/>
      <c r="L794" s="3"/>
      <c r="M794" s="3"/>
      <c r="N794" s="3"/>
      <c r="O794" s="3"/>
      <c r="P794" s="3"/>
      <c r="Q794" s="3"/>
      <c r="R794" s="3"/>
      <c r="S794" s="3"/>
      <c r="T794" s="3"/>
      <c r="U794" s="3"/>
      <c r="V794" s="3"/>
    </row>
    <row r="795" ht="12.75" customHeight="1" spans="1:22" x14ac:dyDescent="0.25">
      <c r="A795" s="3"/>
      <c r="B795" s="3"/>
      <c r="C795" s="3"/>
      <c r="D795" s="3"/>
      <c r="E795" s="3"/>
      <c r="F795" s="3"/>
      <c r="G795" s="3"/>
      <c r="H795" s="3"/>
      <c r="I795" s="3"/>
      <c r="J795" s="3"/>
      <c r="K795" s="3"/>
      <c r="L795" s="3"/>
      <c r="M795" s="3"/>
      <c r="N795" s="3"/>
      <c r="O795" s="3"/>
      <c r="P795" s="3"/>
      <c r="Q795" s="3"/>
      <c r="R795" s="3"/>
      <c r="S795" s="3"/>
      <c r="T795" s="3"/>
      <c r="U795" s="3"/>
      <c r="V795" s="3"/>
    </row>
    <row r="796" ht="12.75" customHeight="1" spans="1:22" x14ac:dyDescent="0.25">
      <c r="A796" s="3"/>
      <c r="B796" s="3"/>
      <c r="C796" s="3"/>
      <c r="D796" s="3"/>
      <c r="E796" s="3"/>
      <c r="F796" s="3"/>
      <c r="G796" s="3"/>
      <c r="H796" s="3"/>
      <c r="I796" s="3"/>
      <c r="J796" s="3"/>
      <c r="K796" s="3"/>
      <c r="L796" s="3"/>
      <c r="M796" s="3"/>
      <c r="N796" s="3"/>
      <c r="O796" s="3"/>
      <c r="P796" s="3"/>
      <c r="Q796" s="3"/>
      <c r="R796" s="3"/>
      <c r="S796" s="3"/>
      <c r="T796" s="3"/>
      <c r="U796" s="3"/>
      <c r="V796" s="3"/>
    </row>
    <row r="797" ht="12.75" customHeight="1" spans="1:22" x14ac:dyDescent="0.25">
      <c r="A797" s="3"/>
      <c r="B797" s="3"/>
      <c r="C797" s="3"/>
      <c r="D797" s="3"/>
      <c r="E797" s="3"/>
      <c r="F797" s="3"/>
      <c r="G797" s="3"/>
      <c r="H797" s="3"/>
      <c r="I797" s="3"/>
      <c r="J797" s="3"/>
      <c r="K797" s="3"/>
      <c r="L797" s="3"/>
      <c r="M797" s="3"/>
      <c r="N797" s="3"/>
      <c r="O797" s="3"/>
      <c r="P797" s="3"/>
      <c r="Q797" s="3"/>
      <c r="R797" s="3"/>
      <c r="S797" s="3"/>
      <c r="T797" s="3"/>
      <c r="U797" s="3"/>
      <c r="V797" s="3"/>
    </row>
    <row r="798" ht="12.75" customHeight="1" spans="1:22" x14ac:dyDescent="0.25">
      <c r="A798" s="3"/>
      <c r="B798" s="3"/>
      <c r="C798" s="3"/>
      <c r="D798" s="3"/>
      <c r="E798" s="3"/>
      <c r="F798" s="3"/>
      <c r="G798" s="3"/>
      <c r="H798" s="3"/>
      <c r="I798" s="3"/>
      <c r="J798" s="3"/>
      <c r="K798" s="3"/>
      <c r="L798" s="3"/>
      <c r="M798" s="3"/>
      <c r="N798" s="3"/>
      <c r="O798" s="3"/>
      <c r="P798" s="3"/>
      <c r="Q798" s="3"/>
      <c r="R798" s="3"/>
      <c r="S798" s="3"/>
      <c r="T798" s="3"/>
      <c r="U798" s="3"/>
      <c r="V798" s="3"/>
    </row>
    <row r="799" ht="12.75" customHeight="1" spans="1:22" x14ac:dyDescent="0.25">
      <c r="A799" s="3"/>
      <c r="B799" s="3"/>
      <c r="C799" s="3"/>
      <c r="D799" s="3"/>
      <c r="E799" s="3"/>
      <c r="F799" s="3"/>
      <c r="G799" s="3"/>
      <c r="H799" s="3"/>
      <c r="I799" s="3"/>
      <c r="J799" s="3"/>
      <c r="K799" s="3"/>
      <c r="L799" s="3"/>
      <c r="M799" s="3"/>
      <c r="N799" s="3"/>
      <c r="O799" s="3"/>
      <c r="P799" s="3"/>
      <c r="Q799" s="3"/>
      <c r="R799" s="3"/>
      <c r="S799" s="3"/>
      <c r="T799" s="3"/>
      <c r="U799" s="3"/>
      <c r="V799" s="3"/>
    </row>
    <row r="800" ht="12.75" customHeight="1" spans="1:22" x14ac:dyDescent="0.25">
      <c r="A800" s="3"/>
      <c r="B800" s="3"/>
      <c r="C800" s="3"/>
      <c r="D800" s="3"/>
      <c r="E800" s="3"/>
      <c r="F800" s="3"/>
      <c r="G800" s="3"/>
      <c r="H800" s="3"/>
      <c r="I800" s="3"/>
      <c r="J800" s="3"/>
      <c r="K800" s="3"/>
      <c r="L800" s="3"/>
      <c r="M800" s="3"/>
      <c r="N800" s="3"/>
      <c r="O800" s="3"/>
      <c r="P800" s="3"/>
      <c r="Q800" s="3"/>
      <c r="R800" s="3"/>
      <c r="S800" s="3"/>
      <c r="T800" s="3"/>
      <c r="U800" s="3"/>
      <c r="V800" s="3"/>
    </row>
    <row r="801" ht="12.75" customHeight="1" spans="1:22" x14ac:dyDescent="0.25">
      <c r="A801" s="3"/>
      <c r="B801" s="3"/>
      <c r="C801" s="3"/>
      <c r="D801" s="3"/>
      <c r="E801" s="3"/>
      <c r="F801" s="3"/>
      <c r="G801" s="3"/>
      <c r="H801" s="3"/>
      <c r="I801" s="3"/>
      <c r="J801" s="3"/>
      <c r="K801" s="3"/>
      <c r="L801" s="3"/>
      <c r="M801" s="3"/>
      <c r="N801" s="3"/>
      <c r="O801" s="3"/>
      <c r="P801" s="3"/>
      <c r="Q801" s="3"/>
      <c r="R801" s="3"/>
      <c r="S801" s="3"/>
      <c r="T801" s="3"/>
      <c r="U801" s="3"/>
      <c r="V801" s="3"/>
    </row>
    <row r="802" ht="12.75" customHeight="1" spans="1:22" x14ac:dyDescent="0.25">
      <c r="A802" s="3"/>
      <c r="B802" s="3"/>
      <c r="C802" s="3"/>
      <c r="D802" s="3"/>
      <c r="E802" s="3"/>
      <c r="F802" s="3"/>
      <c r="G802" s="3"/>
      <c r="H802" s="3"/>
      <c r="I802" s="3"/>
      <c r="J802" s="3"/>
      <c r="K802" s="3"/>
      <c r="L802" s="3"/>
      <c r="M802" s="3"/>
      <c r="N802" s="3"/>
      <c r="O802" s="3"/>
      <c r="P802" s="3"/>
      <c r="Q802" s="3"/>
      <c r="R802" s="3"/>
      <c r="S802" s="3"/>
      <c r="T802" s="3"/>
      <c r="U802" s="3"/>
      <c r="V802" s="3"/>
    </row>
    <row r="803" ht="12.75" customHeight="1" spans="1:22" x14ac:dyDescent="0.25">
      <c r="A803" s="3"/>
      <c r="B803" s="3"/>
      <c r="C803" s="3"/>
      <c r="D803" s="3"/>
      <c r="E803" s="3"/>
      <c r="F803" s="3"/>
      <c r="G803" s="3"/>
      <c r="H803" s="3"/>
      <c r="I803" s="3"/>
      <c r="J803" s="3"/>
      <c r="K803" s="3"/>
      <c r="L803" s="3"/>
      <c r="M803" s="3"/>
      <c r="N803" s="3"/>
      <c r="O803" s="3"/>
      <c r="P803" s="3"/>
      <c r="Q803" s="3"/>
      <c r="R803" s="3"/>
      <c r="S803" s="3"/>
      <c r="T803" s="3"/>
      <c r="U803" s="3"/>
      <c r="V803" s="3"/>
    </row>
    <row r="804" ht="12.75" customHeight="1" spans="1:22" x14ac:dyDescent="0.25">
      <c r="A804" s="3"/>
      <c r="B804" s="3"/>
      <c r="C804" s="3"/>
      <c r="D804" s="3"/>
      <c r="E804" s="3"/>
      <c r="F804" s="3"/>
      <c r="G804" s="3"/>
      <c r="H804" s="3"/>
      <c r="I804" s="3"/>
      <c r="J804" s="3"/>
      <c r="K804" s="3"/>
      <c r="L804" s="3"/>
      <c r="M804" s="3"/>
      <c r="N804" s="3"/>
      <c r="O804" s="3"/>
      <c r="P804" s="3"/>
      <c r="Q804" s="3"/>
      <c r="R804" s="3"/>
      <c r="S804" s="3"/>
      <c r="T804" s="3"/>
      <c r="U804" s="3"/>
      <c r="V804" s="3"/>
    </row>
    <row r="805" ht="12.75" customHeight="1" spans="1:22" x14ac:dyDescent="0.25">
      <c r="A805" s="3"/>
      <c r="B805" s="3"/>
      <c r="C805" s="3"/>
      <c r="D805" s="3"/>
      <c r="E805" s="3"/>
      <c r="F805" s="3"/>
      <c r="G805" s="3"/>
      <c r="H805" s="3"/>
      <c r="I805" s="3"/>
      <c r="J805" s="3"/>
      <c r="K805" s="3"/>
      <c r="L805" s="3"/>
      <c r="M805" s="3"/>
      <c r="N805" s="3"/>
      <c r="O805" s="3"/>
      <c r="P805" s="3"/>
      <c r="Q805" s="3"/>
      <c r="R805" s="3"/>
      <c r="S805" s="3"/>
      <c r="T805" s="3"/>
      <c r="U805" s="3"/>
      <c r="V805" s="3"/>
    </row>
    <row r="806" ht="12.75" customHeight="1" spans="1:22" x14ac:dyDescent="0.25">
      <c r="A806" s="3"/>
      <c r="B806" s="3"/>
      <c r="C806" s="3"/>
      <c r="D806" s="3"/>
      <c r="E806" s="3"/>
      <c r="F806" s="3"/>
      <c r="G806" s="3"/>
      <c r="H806" s="3"/>
      <c r="I806" s="3"/>
      <c r="J806" s="3"/>
      <c r="K806" s="3"/>
      <c r="L806" s="3"/>
      <c r="M806" s="3"/>
      <c r="N806" s="3"/>
      <c r="O806" s="3"/>
      <c r="P806" s="3"/>
      <c r="Q806" s="3"/>
      <c r="R806" s="3"/>
      <c r="S806" s="3"/>
      <c r="T806" s="3"/>
      <c r="U806" s="3"/>
      <c r="V806" s="3"/>
    </row>
    <row r="807" ht="12.75" customHeight="1" spans="1:22" x14ac:dyDescent="0.25">
      <c r="A807" s="3"/>
      <c r="B807" s="3"/>
      <c r="C807" s="3"/>
      <c r="D807" s="3"/>
      <c r="E807" s="3"/>
      <c r="F807" s="3"/>
      <c r="G807" s="3"/>
      <c r="H807" s="3"/>
      <c r="I807" s="3"/>
      <c r="J807" s="3"/>
      <c r="K807" s="3"/>
      <c r="L807" s="3"/>
      <c r="M807" s="3"/>
      <c r="N807" s="3"/>
      <c r="O807" s="3"/>
      <c r="P807" s="3"/>
      <c r="Q807" s="3"/>
      <c r="R807" s="3"/>
      <c r="S807" s="3"/>
      <c r="T807" s="3"/>
      <c r="U807" s="3"/>
      <c r="V807" s="3"/>
    </row>
    <row r="808" ht="12.75" customHeight="1" spans="1:22" x14ac:dyDescent="0.25">
      <c r="A808" s="3"/>
      <c r="B808" s="3"/>
      <c r="C808" s="3"/>
      <c r="D808" s="3"/>
      <c r="E808" s="3"/>
      <c r="F808" s="3"/>
      <c r="G808" s="3"/>
      <c r="H808" s="3"/>
      <c r="I808" s="3"/>
      <c r="J808" s="3"/>
      <c r="K808" s="3"/>
      <c r="L808" s="3"/>
      <c r="M808" s="3"/>
      <c r="N808" s="3"/>
      <c r="O808" s="3"/>
      <c r="P808" s="3"/>
      <c r="Q808" s="3"/>
      <c r="R808" s="3"/>
      <c r="S808" s="3"/>
      <c r="T808" s="3"/>
      <c r="U808" s="3"/>
      <c r="V808" s="3"/>
    </row>
    <row r="809" ht="12.75" customHeight="1" spans="1:22" x14ac:dyDescent="0.25">
      <c r="A809" s="3"/>
      <c r="B809" s="3"/>
      <c r="C809" s="3"/>
      <c r="D809" s="3"/>
      <c r="E809" s="3"/>
      <c r="F809" s="3"/>
      <c r="G809" s="3"/>
      <c r="H809" s="3"/>
      <c r="I809" s="3"/>
      <c r="J809" s="3"/>
      <c r="K809" s="3"/>
      <c r="L809" s="3"/>
      <c r="M809" s="3"/>
      <c r="N809" s="3"/>
      <c r="O809" s="3"/>
      <c r="P809" s="3"/>
      <c r="Q809" s="3"/>
      <c r="R809" s="3"/>
      <c r="S809" s="3"/>
      <c r="T809" s="3"/>
      <c r="U809" s="3"/>
      <c r="V809" s="3"/>
    </row>
    <row r="810" ht="12.75" customHeight="1" spans="1:22" x14ac:dyDescent="0.25">
      <c r="A810" s="3"/>
      <c r="B810" s="3"/>
      <c r="C810" s="3"/>
      <c r="D810" s="3"/>
      <c r="E810" s="3"/>
      <c r="F810" s="3"/>
      <c r="G810" s="3"/>
      <c r="H810" s="3"/>
      <c r="I810" s="3"/>
      <c r="J810" s="3"/>
      <c r="K810" s="3"/>
      <c r="L810" s="3"/>
      <c r="M810" s="3"/>
      <c r="N810" s="3"/>
      <c r="O810" s="3"/>
      <c r="P810" s="3"/>
      <c r="Q810" s="3"/>
      <c r="R810" s="3"/>
      <c r="S810" s="3"/>
      <c r="T810" s="3"/>
      <c r="U810" s="3"/>
      <c r="V810" s="3"/>
    </row>
    <row r="811" ht="12.75" customHeight="1" spans="1:22" x14ac:dyDescent="0.25">
      <c r="A811" s="3"/>
      <c r="B811" s="3"/>
      <c r="C811" s="3"/>
      <c r="D811" s="3"/>
      <c r="E811" s="3"/>
      <c r="F811" s="3"/>
      <c r="G811" s="3"/>
      <c r="H811" s="3"/>
      <c r="I811" s="3"/>
      <c r="J811" s="3"/>
      <c r="K811" s="3"/>
      <c r="L811" s="3"/>
      <c r="M811" s="3"/>
      <c r="N811" s="3"/>
      <c r="O811" s="3"/>
      <c r="P811" s="3"/>
      <c r="Q811" s="3"/>
      <c r="R811" s="3"/>
      <c r="S811" s="3"/>
      <c r="T811" s="3"/>
      <c r="U811" s="3"/>
      <c r="V811" s="3"/>
    </row>
    <row r="812" ht="12.75" customHeight="1" spans="1:22" x14ac:dyDescent="0.25">
      <c r="A812" s="3"/>
      <c r="B812" s="3"/>
      <c r="C812" s="3"/>
      <c r="D812" s="3"/>
      <c r="E812" s="3"/>
      <c r="F812" s="3"/>
      <c r="G812" s="3"/>
      <c r="H812" s="3"/>
      <c r="I812" s="3"/>
      <c r="J812" s="3"/>
      <c r="K812" s="3"/>
      <c r="L812" s="3"/>
      <c r="M812" s="3"/>
      <c r="N812" s="3"/>
      <c r="O812" s="3"/>
      <c r="P812" s="3"/>
      <c r="Q812" s="3"/>
      <c r="R812" s="3"/>
      <c r="S812" s="3"/>
      <c r="T812" s="3"/>
      <c r="U812" s="3"/>
      <c r="V812" s="3"/>
    </row>
    <row r="813" ht="12.75" customHeight="1" spans="1:22" x14ac:dyDescent="0.25">
      <c r="A813" s="3"/>
      <c r="B813" s="3"/>
      <c r="C813" s="3"/>
      <c r="D813" s="3"/>
      <c r="E813" s="3"/>
      <c r="F813" s="3"/>
      <c r="G813" s="3"/>
      <c r="H813" s="3"/>
      <c r="I813" s="3"/>
      <c r="J813" s="3"/>
      <c r="K813" s="3"/>
      <c r="L813" s="3"/>
      <c r="M813" s="3"/>
      <c r="N813" s="3"/>
      <c r="O813" s="3"/>
      <c r="P813" s="3"/>
      <c r="Q813" s="3"/>
      <c r="R813" s="3"/>
      <c r="S813" s="3"/>
      <c r="T813" s="3"/>
      <c r="U813" s="3"/>
      <c r="V813" s="3"/>
    </row>
    <row r="814" ht="12.75" customHeight="1" spans="1:22" x14ac:dyDescent="0.25">
      <c r="A814" s="3"/>
      <c r="B814" s="3"/>
      <c r="C814" s="3"/>
      <c r="D814" s="3"/>
      <c r="E814" s="3"/>
      <c r="F814" s="3"/>
      <c r="G814" s="3"/>
      <c r="H814" s="3"/>
      <c r="I814" s="3"/>
      <c r="J814" s="3"/>
      <c r="K814" s="3"/>
      <c r="L814" s="3"/>
      <c r="M814" s="3"/>
      <c r="N814" s="3"/>
      <c r="O814" s="3"/>
      <c r="P814" s="3"/>
      <c r="Q814" s="3"/>
      <c r="R814" s="3"/>
      <c r="S814" s="3"/>
      <c r="T814" s="3"/>
      <c r="U814" s="3"/>
      <c r="V814" s="3"/>
    </row>
    <row r="815" ht="12.75" customHeight="1" spans="1:22" x14ac:dyDescent="0.25">
      <c r="A815" s="3"/>
      <c r="B815" s="3"/>
      <c r="C815" s="3"/>
      <c r="D815" s="3"/>
      <c r="E815" s="3"/>
      <c r="F815" s="3"/>
      <c r="G815" s="3"/>
      <c r="H815" s="3"/>
      <c r="I815" s="3"/>
      <c r="J815" s="3"/>
      <c r="K815" s="3"/>
      <c r="L815" s="3"/>
      <c r="M815" s="3"/>
      <c r="N815" s="3"/>
      <c r="O815" s="3"/>
      <c r="P815" s="3"/>
      <c r="Q815" s="3"/>
      <c r="R815" s="3"/>
      <c r="S815" s="3"/>
      <c r="T815" s="3"/>
      <c r="U815" s="3"/>
      <c r="V815" s="3"/>
    </row>
    <row r="816" ht="12.75" customHeight="1" spans="1:22" x14ac:dyDescent="0.25">
      <c r="A816" s="3"/>
      <c r="B816" s="3"/>
      <c r="C816" s="3"/>
      <c r="D816" s="3"/>
      <c r="E816" s="3"/>
      <c r="F816" s="3"/>
      <c r="G816" s="3"/>
      <c r="H816" s="3"/>
      <c r="I816" s="3"/>
      <c r="J816" s="3"/>
      <c r="K816" s="3"/>
      <c r="L816" s="3"/>
      <c r="M816" s="3"/>
      <c r="N816" s="3"/>
      <c r="O816" s="3"/>
      <c r="P816" s="3"/>
      <c r="Q816" s="3"/>
      <c r="R816" s="3"/>
      <c r="S816" s="3"/>
      <c r="T816" s="3"/>
      <c r="U816" s="3"/>
      <c r="V816" s="3"/>
    </row>
    <row r="817" ht="12.75" customHeight="1" spans="1:22" x14ac:dyDescent="0.25">
      <c r="A817" s="3"/>
      <c r="B817" s="3"/>
      <c r="C817" s="3"/>
      <c r="D817" s="3"/>
      <c r="E817" s="3"/>
      <c r="F817" s="3"/>
      <c r="G817" s="3"/>
      <c r="H817" s="3"/>
      <c r="I817" s="3"/>
      <c r="J817" s="3"/>
      <c r="K817" s="3"/>
      <c r="L817" s="3"/>
      <c r="M817" s="3"/>
      <c r="N817" s="3"/>
      <c r="O817" s="3"/>
      <c r="P817" s="3"/>
      <c r="Q817" s="3"/>
      <c r="R817" s="3"/>
      <c r="S817" s="3"/>
      <c r="T817" s="3"/>
      <c r="U817" s="3"/>
      <c r="V817" s="3"/>
    </row>
    <row r="818" ht="12.75" customHeight="1" spans="1:22" x14ac:dyDescent="0.25">
      <c r="A818" s="3"/>
      <c r="B818" s="3"/>
      <c r="C818" s="3"/>
      <c r="D818" s="3"/>
      <c r="E818" s="3"/>
      <c r="F818" s="3"/>
      <c r="G818" s="3"/>
      <c r="H818" s="3"/>
      <c r="I818" s="3"/>
      <c r="J818" s="3"/>
      <c r="K818" s="3"/>
      <c r="L818" s="3"/>
      <c r="M818" s="3"/>
      <c r="N818" s="3"/>
      <c r="O818" s="3"/>
      <c r="P818" s="3"/>
      <c r="Q818" s="3"/>
      <c r="R818" s="3"/>
      <c r="S818" s="3"/>
      <c r="T818" s="3"/>
      <c r="U818" s="3"/>
      <c r="V818" s="3"/>
    </row>
    <row r="819" ht="12.75" customHeight="1" spans="1:22" x14ac:dyDescent="0.25">
      <c r="A819" s="3"/>
      <c r="B819" s="3"/>
      <c r="C819" s="3"/>
      <c r="D819" s="3"/>
      <c r="E819" s="3"/>
      <c r="F819" s="3"/>
      <c r="G819" s="3"/>
      <c r="H819" s="3"/>
      <c r="I819" s="3"/>
      <c r="J819" s="3"/>
      <c r="K819" s="3"/>
      <c r="L819" s="3"/>
      <c r="M819" s="3"/>
      <c r="N819" s="3"/>
      <c r="O819" s="3"/>
      <c r="P819" s="3"/>
      <c r="Q819" s="3"/>
      <c r="R819" s="3"/>
      <c r="S819" s="3"/>
      <c r="T819" s="3"/>
      <c r="U819" s="3"/>
      <c r="V819" s="3"/>
    </row>
    <row r="820" ht="12.75" customHeight="1" spans="1:22" x14ac:dyDescent="0.25">
      <c r="A820" s="3"/>
      <c r="B820" s="3"/>
      <c r="C820" s="3"/>
      <c r="D820" s="3"/>
      <c r="E820" s="3"/>
      <c r="F820" s="3"/>
      <c r="G820" s="3"/>
      <c r="H820" s="3"/>
      <c r="I820" s="3"/>
      <c r="J820" s="3"/>
      <c r="K820" s="3"/>
      <c r="L820" s="3"/>
      <c r="M820" s="3"/>
      <c r="N820" s="3"/>
      <c r="O820" s="3"/>
      <c r="P820" s="3"/>
      <c r="Q820" s="3"/>
      <c r="R820" s="3"/>
      <c r="S820" s="3"/>
      <c r="T820" s="3"/>
      <c r="U820" s="3"/>
      <c r="V820" s="3"/>
    </row>
    <row r="821" ht="12.75" customHeight="1" spans="1:22" x14ac:dyDescent="0.25">
      <c r="A821" s="3"/>
      <c r="B821" s="3"/>
      <c r="C821" s="3"/>
      <c r="D821" s="3"/>
      <c r="E821" s="3"/>
      <c r="F821" s="3"/>
      <c r="G821" s="3"/>
      <c r="H821" s="3"/>
      <c r="I821" s="3"/>
      <c r="J821" s="3"/>
      <c r="K821" s="3"/>
      <c r="L821" s="3"/>
      <c r="M821" s="3"/>
      <c r="N821" s="3"/>
      <c r="O821" s="3"/>
      <c r="P821" s="3"/>
      <c r="Q821" s="3"/>
      <c r="R821" s="3"/>
      <c r="S821" s="3"/>
      <c r="T821" s="3"/>
      <c r="U821" s="3"/>
      <c r="V821" s="3"/>
    </row>
    <row r="822" ht="12.75" customHeight="1" spans="1:22" x14ac:dyDescent="0.25">
      <c r="A822" s="3"/>
      <c r="B822" s="3"/>
      <c r="C822" s="3"/>
      <c r="D822" s="3"/>
      <c r="E822" s="3"/>
      <c r="F822" s="3"/>
      <c r="G822" s="3"/>
      <c r="H822" s="3"/>
      <c r="I822" s="3"/>
      <c r="J822" s="3"/>
      <c r="K822" s="3"/>
      <c r="L822" s="3"/>
      <c r="M822" s="3"/>
      <c r="N822" s="3"/>
      <c r="O822" s="3"/>
      <c r="P822" s="3"/>
      <c r="Q822" s="3"/>
      <c r="R822" s="3"/>
      <c r="S822" s="3"/>
      <c r="T822" s="3"/>
      <c r="U822" s="3"/>
      <c r="V822" s="3"/>
    </row>
    <row r="823" ht="12.75" customHeight="1" spans="1:22" x14ac:dyDescent="0.25">
      <c r="A823" s="3"/>
      <c r="B823" s="3"/>
      <c r="C823" s="3"/>
      <c r="D823" s="3"/>
      <c r="E823" s="3"/>
      <c r="F823" s="3"/>
      <c r="G823" s="3"/>
      <c r="H823" s="3"/>
      <c r="I823" s="3"/>
      <c r="J823" s="3"/>
      <c r="K823" s="3"/>
      <c r="L823" s="3"/>
      <c r="M823" s="3"/>
      <c r="N823" s="3"/>
      <c r="O823" s="3"/>
      <c r="P823" s="3"/>
      <c r="Q823" s="3"/>
      <c r="R823" s="3"/>
      <c r="S823" s="3"/>
      <c r="T823" s="3"/>
      <c r="U823" s="3"/>
      <c r="V823" s="3"/>
    </row>
    <row r="824" ht="12.75" customHeight="1" spans="1:22" x14ac:dyDescent="0.25">
      <c r="A824" s="3"/>
      <c r="B824" s="3"/>
      <c r="C824" s="3"/>
      <c r="D824" s="3"/>
      <c r="E824" s="3"/>
      <c r="F824" s="3"/>
      <c r="G824" s="3"/>
      <c r="H824" s="3"/>
      <c r="I824" s="3"/>
      <c r="J824" s="3"/>
      <c r="K824" s="3"/>
      <c r="L824" s="3"/>
      <c r="M824" s="3"/>
      <c r="N824" s="3"/>
      <c r="O824" s="3"/>
      <c r="P824" s="3"/>
      <c r="Q824" s="3"/>
      <c r="R824" s="3"/>
      <c r="S824" s="3"/>
      <c r="T824" s="3"/>
      <c r="U824" s="3"/>
      <c r="V824" s="3"/>
    </row>
    <row r="825" ht="12.75" customHeight="1" spans="1:22" x14ac:dyDescent="0.25">
      <c r="A825" s="3"/>
      <c r="B825" s="3"/>
      <c r="C825" s="3"/>
      <c r="D825" s="3"/>
      <c r="E825" s="3"/>
      <c r="F825" s="3"/>
      <c r="G825" s="3"/>
      <c r="H825" s="3"/>
      <c r="I825" s="3"/>
      <c r="J825" s="3"/>
      <c r="K825" s="3"/>
      <c r="L825" s="3"/>
      <c r="M825" s="3"/>
      <c r="N825" s="3"/>
      <c r="O825" s="3"/>
      <c r="P825" s="3"/>
      <c r="Q825" s="3"/>
      <c r="R825" s="3"/>
      <c r="S825" s="3"/>
      <c r="T825" s="3"/>
      <c r="U825" s="3"/>
      <c r="V825" s="3"/>
    </row>
    <row r="826" ht="12.75" customHeight="1" spans="1:22" x14ac:dyDescent="0.25">
      <c r="A826" s="3"/>
      <c r="B826" s="3"/>
      <c r="C826" s="3"/>
      <c r="D826" s="3"/>
      <c r="E826" s="3"/>
      <c r="F826" s="3"/>
      <c r="G826" s="3"/>
      <c r="H826" s="3"/>
      <c r="I826" s="3"/>
      <c r="J826" s="3"/>
      <c r="K826" s="3"/>
      <c r="L826" s="3"/>
      <c r="M826" s="3"/>
      <c r="N826" s="3"/>
      <c r="O826" s="3"/>
      <c r="P826" s="3"/>
      <c r="Q826" s="3"/>
      <c r="R826" s="3"/>
      <c r="S826" s="3"/>
      <c r="T826" s="3"/>
      <c r="U826" s="3"/>
      <c r="V826" s="3"/>
    </row>
    <row r="827" ht="12.75" customHeight="1" spans="1:22" x14ac:dyDescent="0.25">
      <c r="A827" s="3"/>
      <c r="B827" s="3"/>
      <c r="C827" s="3"/>
      <c r="D827" s="3"/>
      <c r="E827" s="3"/>
      <c r="F827" s="3"/>
      <c r="G827" s="3"/>
      <c r="H827" s="3"/>
      <c r="I827" s="3"/>
      <c r="J827" s="3"/>
      <c r="K827" s="3"/>
      <c r="L827" s="3"/>
      <c r="M827" s="3"/>
      <c r="N827" s="3"/>
      <c r="O827" s="3"/>
      <c r="P827" s="3"/>
      <c r="Q827" s="3"/>
      <c r="R827" s="3"/>
      <c r="S827" s="3"/>
      <c r="T827" s="3"/>
      <c r="U827" s="3"/>
      <c r="V827" s="3"/>
    </row>
    <row r="828" ht="12.75" customHeight="1" spans="1:22" x14ac:dyDescent="0.25">
      <c r="A828" s="3"/>
      <c r="B828" s="3"/>
      <c r="C828" s="3"/>
      <c r="D828" s="3"/>
      <c r="E828" s="3"/>
      <c r="F828" s="3"/>
      <c r="G828" s="3"/>
      <c r="H828" s="3"/>
      <c r="I828" s="3"/>
      <c r="J828" s="3"/>
      <c r="K828" s="3"/>
      <c r="L828" s="3"/>
      <c r="M828" s="3"/>
      <c r="N828" s="3"/>
      <c r="O828" s="3"/>
      <c r="P828" s="3"/>
      <c r="Q828" s="3"/>
      <c r="R828" s="3"/>
      <c r="S828" s="3"/>
      <c r="T828" s="3"/>
      <c r="U828" s="3"/>
      <c r="V828" s="3"/>
    </row>
    <row r="829" ht="12.75" customHeight="1" spans="1:22" x14ac:dyDescent="0.25">
      <c r="A829" s="3"/>
      <c r="B829" s="3"/>
      <c r="C829" s="3"/>
      <c r="D829" s="3"/>
      <c r="E829" s="3"/>
      <c r="F829" s="3"/>
      <c r="G829" s="3"/>
      <c r="H829" s="3"/>
      <c r="I829" s="3"/>
      <c r="J829" s="3"/>
      <c r="K829" s="3"/>
      <c r="L829" s="3"/>
      <c r="M829" s="3"/>
      <c r="N829" s="3"/>
      <c r="O829" s="3"/>
      <c r="P829" s="3"/>
      <c r="Q829" s="3"/>
      <c r="R829" s="3"/>
      <c r="S829" s="3"/>
      <c r="T829" s="3"/>
      <c r="U829" s="3"/>
      <c r="V829" s="3"/>
    </row>
    <row r="830" ht="12.75" customHeight="1" spans="1:22" x14ac:dyDescent="0.25">
      <c r="A830" s="3"/>
      <c r="B830" s="3"/>
      <c r="C830" s="3"/>
      <c r="D830" s="3"/>
      <c r="E830" s="3"/>
      <c r="F830" s="3"/>
      <c r="G830" s="3"/>
      <c r="H830" s="3"/>
      <c r="I830" s="3"/>
      <c r="J830" s="3"/>
      <c r="K830" s="3"/>
      <c r="L830" s="3"/>
      <c r="M830" s="3"/>
      <c r="N830" s="3"/>
      <c r="O830" s="3"/>
      <c r="P830" s="3"/>
      <c r="Q830" s="3"/>
      <c r="R830" s="3"/>
      <c r="S830" s="3"/>
      <c r="T830" s="3"/>
      <c r="U830" s="3"/>
      <c r="V830" s="3"/>
    </row>
    <row r="831" ht="12.75" customHeight="1" spans="1:22" x14ac:dyDescent="0.25">
      <c r="A831" s="3"/>
      <c r="B831" s="3"/>
      <c r="C831" s="3"/>
      <c r="D831" s="3"/>
      <c r="E831" s="3"/>
      <c r="F831" s="3"/>
      <c r="G831" s="3"/>
      <c r="H831" s="3"/>
      <c r="I831" s="3"/>
      <c r="J831" s="3"/>
      <c r="K831" s="3"/>
      <c r="L831" s="3"/>
      <c r="M831" s="3"/>
      <c r="N831" s="3"/>
      <c r="O831" s="3"/>
      <c r="P831" s="3"/>
      <c r="Q831" s="3"/>
      <c r="R831" s="3"/>
      <c r="S831" s="3"/>
      <c r="T831" s="3"/>
      <c r="U831" s="3"/>
      <c r="V831" s="3"/>
    </row>
    <row r="832" ht="12.75" customHeight="1" spans="1:22" x14ac:dyDescent="0.25">
      <c r="A832" s="3"/>
      <c r="B832" s="3"/>
      <c r="C832" s="3"/>
      <c r="D832" s="3"/>
      <c r="E832" s="3"/>
      <c r="F832" s="3"/>
      <c r="G832" s="3"/>
      <c r="H832" s="3"/>
      <c r="I832" s="3"/>
      <c r="J832" s="3"/>
      <c r="K832" s="3"/>
      <c r="L832" s="3"/>
      <c r="M832" s="3"/>
      <c r="N832" s="3"/>
      <c r="O832" s="3"/>
      <c r="P832" s="3"/>
      <c r="Q832" s="3"/>
      <c r="R832" s="3"/>
      <c r="S832" s="3"/>
      <c r="T832" s="3"/>
      <c r="U832" s="3"/>
      <c r="V832" s="3"/>
    </row>
    <row r="833" ht="12.75" customHeight="1" spans="1:22" x14ac:dyDescent="0.25">
      <c r="A833" s="3"/>
      <c r="B833" s="3"/>
      <c r="C833" s="3"/>
      <c r="D833" s="3"/>
      <c r="E833" s="3"/>
      <c r="F833" s="3"/>
      <c r="G833" s="3"/>
      <c r="H833" s="3"/>
      <c r="I833" s="3"/>
      <c r="J833" s="3"/>
      <c r="K833" s="3"/>
      <c r="L833" s="3"/>
      <c r="M833" s="3"/>
      <c r="N833" s="3"/>
      <c r="O833" s="3"/>
      <c r="P833" s="3"/>
      <c r="Q833" s="3"/>
      <c r="R833" s="3"/>
      <c r="S833" s="3"/>
      <c r="T833" s="3"/>
      <c r="U833" s="3"/>
      <c r="V833" s="3"/>
    </row>
    <row r="834" ht="12.75" customHeight="1" spans="1:22" x14ac:dyDescent="0.25">
      <c r="A834" s="3"/>
      <c r="B834" s="3"/>
      <c r="C834" s="3"/>
      <c r="D834" s="3"/>
      <c r="E834" s="3"/>
      <c r="F834" s="3"/>
      <c r="G834" s="3"/>
      <c r="H834" s="3"/>
      <c r="I834" s="3"/>
      <c r="J834" s="3"/>
      <c r="K834" s="3"/>
      <c r="L834" s="3"/>
      <c r="M834" s="3"/>
      <c r="N834" s="3"/>
      <c r="O834" s="3"/>
      <c r="P834" s="3"/>
      <c r="Q834" s="3"/>
      <c r="R834" s="3"/>
      <c r="S834" s="3"/>
      <c r="T834" s="3"/>
      <c r="U834" s="3"/>
      <c r="V834" s="3"/>
    </row>
    <row r="835" ht="12.75" customHeight="1" spans="1:22" x14ac:dyDescent="0.25">
      <c r="A835" s="3"/>
      <c r="B835" s="3"/>
      <c r="C835" s="3"/>
      <c r="D835" s="3"/>
      <c r="E835" s="3"/>
      <c r="F835" s="3"/>
      <c r="G835" s="3"/>
      <c r="H835" s="3"/>
      <c r="I835" s="3"/>
      <c r="J835" s="3"/>
      <c r="K835" s="3"/>
      <c r="L835" s="3"/>
      <c r="M835" s="3"/>
      <c r="N835" s="3"/>
      <c r="O835" s="3"/>
      <c r="P835" s="3"/>
      <c r="Q835" s="3"/>
      <c r="R835" s="3"/>
      <c r="S835" s="3"/>
      <c r="T835" s="3"/>
      <c r="U835" s="3"/>
      <c r="V835" s="3"/>
    </row>
    <row r="836" ht="12.75" customHeight="1" spans="1:22" x14ac:dyDescent="0.25">
      <c r="A836" s="3"/>
      <c r="B836" s="3"/>
      <c r="C836" s="3"/>
      <c r="D836" s="3"/>
      <c r="E836" s="3"/>
      <c r="F836" s="3"/>
      <c r="G836" s="3"/>
      <c r="H836" s="3"/>
      <c r="I836" s="3"/>
      <c r="J836" s="3"/>
      <c r="K836" s="3"/>
      <c r="L836" s="3"/>
      <c r="M836" s="3"/>
      <c r="N836" s="3"/>
      <c r="O836" s="3"/>
      <c r="P836" s="3"/>
      <c r="Q836" s="3"/>
      <c r="R836" s="3"/>
      <c r="S836" s="3"/>
      <c r="T836" s="3"/>
      <c r="U836" s="3"/>
      <c r="V836" s="3"/>
    </row>
    <row r="837" ht="12.75" customHeight="1" spans="1:22" x14ac:dyDescent="0.25">
      <c r="A837" s="3"/>
      <c r="B837" s="3"/>
      <c r="C837" s="3"/>
      <c r="D837" s="3"/>
      <c r="E837" s="3"/>
      <c r="F837" s="3"/>
      <c r="G837" s="3"/>
      <c r="H837" s="3"/>
      <c r="I837" s="3"/>
      <c r="J837" s="3"/>
      <c r="K837" s="3"/>
      <c r="L837" s="3"/>
      <c r="M837" s="3"/>
      <c r="N837" s="3"/>
      <c r="O837" s="3"/>
      <c r="P837" s="3"/>
      <c r="Q837" s="3"/>
      <c r="R837" s="3"/>
      <c r="S837" s="3"/>
      <c r="T837" s="3"/>
      <c r="U837" s="3"/>
      <c r="V837" s="3"/>
    </row>
    <row r="838" ht="12.75" customHeight="1" spans="1:22" x14ac:dyDescent="0.25">
      <c r="A838" s="3"/>
      <c r="B838" s="3"/>
      <c r="C838" s="3"/>
      <c r="D838" s="3"/>
      <c r="E838" s="3"/>
      <c r="F838" s="3"/>
      <c r="G838" s="3"/>
      <c r="H838" s="3"/>
      <c r="I838" s="3"/>
      <c r="J838" s="3"/>
      <c r="K838" s="3"/>
      <c r="L838" s="3"/>
      <c r="M838" s="3"/>
      <c r="N838" s="3"/>
      <c r="O838" s="3"/>
      <c r="P838" s="3"/>
      <c r="Q838" s="3"/>
      <c r="R838" s="3"/>
      <c r="S838" s="3"/>
      <c r="T838" s="3"/>
      <c r="U838" s="3"/>
      <c r="V838" s="3"/>
    </row>
    <row r="839" ht="12.75" customHeight="1" spans="1:22" x14ac:dyDescent="0.25">
      <c r="A839" s="3"/>
      <c r="B839" s="3"/>
      <c r="C839" s="3"/>
      <c r="D839" s="3"/>
      <c r="E839" s="3"/>
      <c r="F839" s="3"/>
      <c r="G839" s="3"/>
      <c r="H839" s="3"/>
      <c r="I839" s="3"/>
      <c r="J839" s="3"/>
      <c r="K839" s="3"/>
      <c r="L839" s="3"/>
      <c r="M839" s="3"/>
      <c r="N839" s="3"/>
      <c r="O839" s="3"/>
      <c r="P839" s="3"/>
      <c r="Q839" s="3"/>
      <c r="R839" s="3"/>
      <c r="S839" s="3"/>
      <c r="T839" s="3"/>
      <c r="U839" s="3"/>
      <c r="V839" s="3"/>
    </row>
    <row r="840" ht="12.75" customHeight="1" spans="1:22" x14ac:dyDescent="0.25">
      <c r="A840" s="3"/>
      <c r="B840" s="3"/>
      <c r="C840" s="3"/>
      <c r="D840" s="3"/>
      <c r="E840" s="3"/>
      <c r="F840" s="3"/>
      <c r="G840" s="3"/>
      <c r="H840" s="3"/>
      <c r="I840" s="3"/>
      <c r="J840" s="3"/>
      <c r="K840" s="3"/>
      <c r="L840" s="3"/>
      <c r="M840" s="3"/>
      <c r="N840" s="3"/>
      <c r="O840" s="3"/>
      <c r="P840" s="3"/>
      <c r="Q840" s="3"/>
      <c r="R840" s="3"/>
      <c r="S840" s="3"/>
      <c r="T840" s="3"/>
      <c r="U840" s="3"/>
      <c r="V840" s="3"/>
    </row>
    <row r="841" ht="12.75" customHeight="1" spans="1:22" x14ac:dyDescent="0.25">
      <c r="A841" s="3"/>
      <c r="B841" s="3"/>
      <c r="C841" s="3"/>
      <c r="D841" s="3"/>
      <c r="E841" s="3"/>
      <c r="F841" s="3"/>
      <c r="G841" s="3"/>
      <c r="H841" s="3"/>
      <c r="I841" s="3"/>
      <c r="J841" s="3"/>
      <c r="K841" s="3"/>
      <c r="L841" s="3"/>
      <c r="M841" s="3"/>
      <c r="N841" s="3"/>
      <c r="O841" s="3"/>
      <c r="P841" s="3"/>
      <c r="Q841" s="3"/>
      <c r="R841" s="3"/>
      <c r="S841" s="3"/>
      <c r="T841" s="3"/>
      <c r="U841" s="3"/>
      <c r="V841" s="3"/>
    </row>
    <row r="842" ht="12.75" customHeight="1" spans="1:22" x14ac:dyDescent="0.25">
      <c r="A842" s="3"/>
      <c r="B842" s="3"/>
      <c r="C842" s="3"/>
      <c r="D842" s="3"/>
      <c r="E842" s="3"/>
      <c r="F842" s="3"/>
      <c r="G842" s="3"/>
      <c r="H842" s="3"/>
      <c r="I842" s="3"/>
      <c r="J842" s="3"/>
      <c r="K842" s="3"/>
      <c r="L842" s="3"/>
      <c r="M842" s="3"/>
      <c r="N842" s="3"/>
      <c r="O842" s="3"/>
      <c r="P842" s="3"/>
      <c r="Q842" s="3"/>
      <c r="R842" s="3"/>
      <c r="S842" s="3"/>
      <c r="T842" s="3"/>
      <c r="U842" s="3"/>
      <c r="V842" s="3"/>
    </row>
    <row r="843" ht="12.75" customHeight="1" spans="1:22" x14ac:dyDescent="0.25">
      <c r="A843" s="3"/>
      <c r="B843" s="3"/>
      <c r="C843" s="3"/>
      <c r="D843" s="3"/>
      <c r="E843" s="3"/>
      <c r="F843" s="3"/>
      <c r="G843" s="3"/>
      <c r="H843" s="3"/>
      <c r="I843" s="3"/>
      <c r="J843" s="3"/>
      <c r="K843" s="3"/>
      <c r="L843" s="3"/>
      <c r="M843" s="3"/>
      <c r="N843" s="3"/>
      <c r="O843" s="3"/>
      <c r="P843" s="3"/>
      <c r="Q843" s="3"/>
      <c r="R843" s="3"/>
      <c r="S843" s="3"/>
      <c r="T843" s="3"/>
      <c r="U843" s="3"/>
      <c r="V843" s="3"/>
    </row>
    <row r="844" ht="12.75" customHeight="1" spans="1:22" x14ac:dyDescent="0.25">
      <c r="A844" s="3"/>
      <c r="B844" s="3"/>
      <c r="C844" s="3"/>
      <c r="D844" s="3"/>
      <c r="E844" s="3"/>
      <c r="F844" s="3"/>
      <c r="G844" s="3"/>
      <c r="H844" s="3"/>
      <c r="I844" s="3"/>
      <c r="J844" s="3"/>
      <c r="K844" s="3"/>
      <c r="L844" s="3"/>
      <c r="M844" s="3"/>
      <c r="N844" s="3"/>
      <c r="O844" s="3"/>
      <c r="P844" s="3"/>
      <c r="Q844" s="3"/>
      <c r="R844" s="3"/>
      <c r="S844" s="3"/>
      <c r="T844" s="3"/>
      <c r="U844" s="3"/>
      <c r="V844" s="3"/>
    </row>
    <row r="845" ht="12.75" customHeight="1" spans="1:22" x14ac:dyDescent="0.25">
      <c r="A845" s="3"/>
      <c r="B845" s="3"/>
      <c r="C845" s="3"/>
      <c r="D845" s="3"/>
      <c r="E845" s="3"/>
      <c r="F845" s="3"/>
      <c r="G845" s="3"/>
      <c r="H845" s="3"/>
      <c r="I845" s="3"/>
      <c r="J845" s="3"/>
      <c r="K845" s="3"/>
      <c r="L845" s="3"/>
      <c r="M845" s="3"/>
      <c r="N845" s="3"/>
      <c r="O845" s="3"/>
      <c r="P845" s="3"/>
      <c r="Q845" s="3"/>
      <c r="R845" s="3"/>
      <c r="S845" s="3"/>
      <c r="T845" s="3"/>
      <c r="U845" s="3"/>
      <c r="V845" s="3"/>
    </row>
    <row r="846" ht="12.75" customHeight="1" spans="1:22" x14ac:dyDescent="0.25">
      <c r="A846" s="3"/>
      <c r="B846" s="3"/>
      <c r="C846" s="3"/>
      <c r="D846" s="3"/>
      <c r="E846" s="3"/>
      <c r="F846" s="3"/>
      <c r="G846" s="3"/>
      <c r="H846" s="3"/>
      <c r="I846" s="3"/>
      <c r="J846" s="3"/>
      <c r="K846" s="3"/>
      <c r="L846" s="3"/>
      <c r="M846" s="3"/>
      <c r="N846" s="3"/>
      <c r="O846" s="3"/>
      <c r="P846" s="3"/>
      <c r="Q846" s="3"/>
      <c r="R846" s="3"/>
      <c r="S846" s="3"/>
      <c r="T846" s="3"/>
      <c r="U846" s="3"/>
      <c r="V846" s="3"/>
    </row>
    <row r="847" ht="12.75" customHeight="1" spans="1:22" x14ac:dyDescent="0.25">
      <c r="A847" s="3"/>
      <c r="B847" s="3"/>
      <c r="C847" s="3"/>
      <c r="D847" s="3"/>
      <c r="E847" s="3"/>
      <c r="F847" s="3"/>
      <c r="G847" s="3"/>
      <c r="H847" s="3"/>
      <c r="I847" s="3"/>
      <c r="J847" s="3"/>
      <c r="K847" s="3"/>
      <c r="L847" s="3"/>
      <c r="M847" s="3"/>
      <c r="N847" s="3"/>
      <c r="O847" s="3"/>
      <c r="P847" s="3"/>
      <c r="Q847" s="3"/>
      <c r="R847" s="3"/>
      <c r="S847" s="3"/>
      <c r="T847" s="3"/>
      <c r="U847" s="3"/>
      <c r="V847" s="3"/>
    </row>
    <row r="848" ht="12.75" customHeight="1" spans="1:22" x14ac:dyDescent="0.25">
      <c r="A848" s="3"/>
      <c r="B848" s="3"/>
      <c r="C848" s="3"/>
      <c r="D848" s="3"/>
      <c r="E848" s="3"/>
      <c r="F848" s="3"/>
      <c r="G848" s="3"/>
      <c r="H848" s="3"/>
      <c r="I848" s="3"/>
      <c r="J848" s="3"/>
      <c r="K848" s="3"/>
      <c r="L848" s="3"/>
      <c r="M848" s="3"/>
      <c r="N848" s="3"/>
      <c r="O848" s="3"/>
      <c r="P848" s="3"/>
      <c r="Q848" s="3"/>
      <c r="R848" s="3"/>
      <c r="S848" s="3"/>
      <c r="T848" s="3"/>
      <c r="U848" s="3"/>
      <c r="V848" s="3"/>
    </row>
    <row r="849" ht="12.75" customHeight="1" spans="1:22" x14ac:dyDescent="0.25">
      <c r="A849" s="3"/>
      <c r="B849" s="3"/>
      <c r="C849" s="3"/>
      <c r="D849" s="3"/>
      <c r="E849" s="3"/>
      <c r="F849" s="3"/>
      <c r="G849" s="3"/>
      <c r="H849" s="3"/>
      <c r="I849" s="3"/>
      <c r="J849" s="3"/>
      <c r="K849" s="3"/>
      <c r="L849" s="3"/>
      <c r="M849" s="3"/>
      <c r="N849" s="3"/>
      <c r="O849" s="3"/>
      <c r="P849" s="3"/>
      <c r="Q849" s="3"/>
      <c r="R849" s="3"/>
      <c r="S849" s="3"/>
      <c r="T849" s="3"/>
      <c r="U849" s="3"/>
      <c r="V849" s="3"/>
    </row>
    <row r="850" ht="12.75" customHeight="1" spans="1:22" x14ac:dyDescent="0.25">
      <c r="A850" s="3"/>
      <c r="B850" s="3"/>
      <c r="C850" s="3"/>
      <c r="D850" s="3"/>
      <c r="E850" s="3"/>
      <c r="F850" s="3"/>
      <c r="G850" s="3"/>
      <c r="H850" s="3"/>
      <c r="I850" s="3"/>
      <c r="J850" s="3"/>
      <c r="K850" s="3"/>
      <c r="L850" s="3"/>
      <c r="M850" s="3"/>
      <c r="N850" s="3"/>
      <c r="O850" s="3"/>
      <c r="P850" s="3"/>
      <c r="Q850" s="3"/>
      <c r="R850" s="3"/>
      <c r="S850" s="3"/>
      <c r="T850" s="3"/>
      <c r="U850" s="3"/>
      <c r="V850" s="3"/>
    </row>
    <row r="851" ht="12.75" customHeight="1" spans="1:22" x14ac:dyDescent="0.25">
      <c r="A851" s="3"/>
      <c r="B851" s="3"/>
      <c r="C851" s="3"/>
      <c r="D851" s="3"/>
      <c r="E851" s="3"/>
      <c r="F851" s="3"/>
      <c r="G851" s="3"/>
      <c r="H851" s="3"/>
      <c r="I851" s="3"/>
      <c r="J851" s="3"/>
      <c r="K851" s="3"/>
      <c r="L851" s="3"/>
      <c r="M851" s="3"/>
      <c r="N851" s="3"/>
      <c r="O851" s="3"/>
      <c r="P851" s="3"/>
      <c r="Q851" s="3"/>
      <c r="R851" s="3"/>
      <c r="S851" s="3"/>
      <c r="T851" s="3"/>
      <c r="U851" s="3"/>
      <c r="V851" s="3"/>
    </row>
    <row r="852" ht="12.75" customHeight="1" spans="1:22" x14ac:dyDescent="0.25">
      <c r="A852" s="3"/>
      <c r="B852" s="3"/>
      <c r="C852" s="3"/>
      <c r="D852" s="3"/>
      <c r="E852" s="3"/>
      <c r="F852" s="3"/>
      <c r="G852" s="3"/>
      <c r="H852" s="3"/>
      <c r="I852" s="3"/>
      <c r="J852" s="3"/>
      <c r="K852" s="3"/>
      <c r="L852" s="3"/>
      <c r="M852" s="3"/>
      <c r="N852" s="3"/>
      <c r="O852" s="3"/>
      <c r="P852" s="3"/>
      <c r="Q852" s="3"/>
      <c r="R852" s="3"/>
      <c r="S852" s="3"/>
      <c r="T852" s="3"/>
      <c r="U852" s="3"/>
      <c r="V852" s="3"/>
    </row>
    <row r="853" ht="12.75" customHeight="1" spans="1:22" x14ac:dyDescent="0.25">
      <c r="A853" s="3"/>
      <c r="B853" s="3"/>
      <c r="C853" s="3"/>
      <c r="D853" s="3"/>
      <c r="E853" s="3"/>
      <c r="F853" s="3"/>
      <c r="G853" s="3"/>
      <c r="H853" s="3"/>
      <c r="I853" s="3"/>
      <c r="J853" s="3"/>
      <c r="K853" s="3"/>
      <c r="L853" s="3"/>
      <c r="M853" s="3"/>
      <c r="N853" s="3"/>
      <c r="O853" s="3"/>
      <c r="P853" s="3"/>
      <c r="Q853" s="3"/>
      <c r="R853" s="3"/>
      <c r="S853" s="3"/>
      <c r="T853" s="3"/>
      <c r="U853" s="3"/>
      <c r="V853" s="3"/>
    </row>
    <row r="854" ht="12.75" customHeight="1" spans="1:22" x14ac:dyDescent="0.25">
      <c r="A854" s="3"/>
      <c r="B854" s="3"/>
      <c r="C854" s="3"/>
      <c r="D854" s="3"/>
      <c r="E854" s="3"/>
      <c r="F854" s="3"/>
      <c r="G854" s="3"/>
      <c r="H854" s="3"/>
      <c r="I854" s="3"/>
      <c r="J854" s="3"/>
      <c r="K854" s="3"/>
      <c r="L854" s="3"/>
      <c r="M854" s="3"/>
      <c r="N854" s="3"/>
      <c r="O854" s="3"/>
      <c r="P854" s="3"/>
      <c r="Q854" s="3"/>
      <c r="R854" s="3"/>
      <c r="S854" s="3"/>
      <c r="T854" s="3"/>
      <c r="U854" s="3"/>
      <c r="V854" s="3"/>
    </row>
    <row r="855" ht="12.75" customHeight="1" spans="1:22" x14ac:dyDescent="0.25">
      <c r="A855" s="3"/>
      <c r="B855" s="3"/>
      <c r="C855" s="3"/>
      <c r="D855" s="3"/>
      <c r="E855" s="3"/>
      <c r="F855" s="3"/>
      <c r="G855" s="3"/>
      <c r="H855" s="3"/>
      <c r="I855" s="3"/>
      <c r="J855" s="3"/>
      <c r="K855" s="3"/>
      <c r="L855" s="3"/>
      <c r="M855" s="3"/>
      <c r="N855" s="3"/>
      <c r="O855" s="3"/>
      <c r="P855" s="3"/>
      <c r="Q855" s="3"/>
      <c r="R855" s="3"/>
      <c r="S855" s="3"/>
      <c r="T855" s="3"/>
      <c r="U855" s="3"/>
      <c r="V855" s="3"/>
    </row>
    <row r="856" ht="12.75" customHeight="1" spans="1:22" x14ac:dyDescent="0.25">
      <c r="A856" s="3"/>
      <c r="B856" s="3"/>
      <c r="C856" s="3"/>
      <c r="D856" s="3"/>
      <c r="E856" s="3"/>
      <c r="F856" s="3"/>
      <c r="G856" s="3"/>
      <c r="H856" s="3"/>
      <c r="I856" s="3"/>
      <c r="J856" s="3"/>
      <c r="K856" s="3"/>
      <c r="L856" s="3"/>
      <c r="M856" s="3"/>
      <c r="N856" s="3"/>
      <c r="O856" s="3"/>
      <c r="P856" s="3"/>
      <c r="Q856" s="3"/>
      <c r="R856" s="3"/>
      <c r="S856" s="3"/>
      <c r="T856" s="3"/>
      <c r="U856" s="3"/>
      <c r="V856" s="3"/>
    </row>
    <row r="857" ht="12.75" customHeight="1" spans="1:22" x14ac:dyDescent="0.25">
      <c r="A857" s="3"/>
      <c r="B857" s="3"/>
      <c r="C857" s="3"/>
      <c r="D857" s="3"/>
      <c r="E857" s="3"/>
      <c r="F857" s="3"/>
      <c r="G857" s="3"/>
      <c r="H857" s="3"/>
      <c r="I857" s="3"/>
      <c r="J857" s="3"/>
      <c r="K857" s="3"/>
      <c r="L857" s="3"/>
      <c r="M857" s="3"/>
      <c r="N857" s="3"/>
      <c r="O857" s="3"/>
      <c r="P857" s="3"/>
      <c r="Q857" s="3"/>
      <c r="R857" s="3"/>
      <c r="S857" s="3"/>
      <c r="T857" s="3"/>
      <c r="U857" s="3"/>
      <c r="V857" s="3"/>
    </row>
    <row r="858" ht="12.75" customHeight="1" spans="1:22" x14ac:dyDescent="0.25">
      <c r="A858" s="3"/>
      <c r="B858" s="3"/>
      <c r="C858" s="3"/>
      <c r="D858" s="3"/>
      <c r="E858" s="3"/>
      <c r="F858" s="3"/>
      <c r="G858" s="3"/>
      <c r="H858" s="3"/>
      <c r="I858" s="3"/>
      <c r="J858" s="3"/>
      <c r="K858" s="3"/>
      <c r="L858" s="3"/>
      <c r="M858" s="3"/>
      <c r="N858" s="3"/>
      <c r="O858" s="3"/>
      <c r="P858" s="3"/>
      <c r="Q858" s="3"/>
      <c r="R858" s="3"/>
      <c r="S858" s="3"/>
      <c r="T858" s="3"/>
      <c r="U858" s="3"/>
      <c r="V858" s="3"/>
    </row>
    <row r="859" ht="12.75" customHeight="1" spans="1:22" x14ac:dyDescent="0.25">
      <c r="A859" s="3"/>
      <c r="B859" s="3"/>
      <c r="C859" s="3"/>
      <c r="D859" s="3"/>
      <c r="E859" s="3"/>
      <c r="F859" s="3"/>
      <c r="G859" s="3"/>
      <c r="H859" s="3"/>
      <c r="I859" s="3"/>
      <c r="J859" s="3"/>
      <c r="K859" s="3"/>
      <c r="L859" s="3"/>
      <c r="M859" s="3"/>
      <c r="N859" s="3"/>
      <c r="O859" s="3"/>
      <c r="P859" s="3"/>
      <c r="Q859" s="3"/>
      <c r="R859" s="3"/>
      <c r="S859" s="3"/>
      <c r="T859" s="3"/>
      <c r="U859" s="3"/>
      <c r="V859" s="3"/>
    </row>
    <row r="860" ht="12.75" customHeight="1" spans="1:22" x14ac:dyDescent="0.25">
      <c r="A860" s="3"/>
      <c r="B860" s="3"/>
      <c r="C860" s="3"/>
      <c r="D860" s="3"/>
      <c r="E860" s="3"/>
      <c r="F860" s="3"/>
      <c r="G860" s="3"/>
      <c r="H860" s="3"/>
      <c r="I860" s="3"/>
      <c r="J860" s="3"/>
      <c r="K860" s="3"/>
      <c r="L860" s="3"/>
      <c r="M860" s="3"/>
      <c r="N860" s="3"/>
      <c r="O860" s="3"/>
      <c r="P860" s="3"/>
      <c r="Q860" s="3"/>
      <c r="R860" s="3"/>
      <c r="S860" s="3"/>
      <c r="T860" s="3"/>
      <c r="U860" s="3"/>
      <c r="V860" s="3"/>
    </row>
    <row r="861" ht="12.75" customHeight="1" spans="1:22" x14ac:dyDescent="0.25">
      <c r="A861" s="3"/>
      <c r="B861" s="3"/>
      <c r="C861" s="3"/>
      <c r="D861" s="3"/>
      <c r="E861" s="3"/>
      <c r="F861" s="3"/>
      <c r="G861" s="3"/>
      <c r="H861" s="3"/>
      <c r="I861" s="3"/>
      <c r="J861" s="3"/>
      <c r="K861" s="3"/>
      <c r="L861" s="3"/>
      <c r="M861" s="3"/>
      <c r="N861" s="3"/>
      <c r="O861" s="3"/>
      <c r="P861" s="3"/>
      <c r="Q861" s="3"/>
      <c r="R861" s="3"/>
      <c r="S861" s="3"/>
      <c r="T861" s="3"/>
      <c r="U861" s="3"/>
      <c r="V861" s="3"/>
    </row>
    <row r="862" ht="12.75" customHeight="1" spans="1:22" x14ac:dyDescent="0.25">
      <c r="A862" s="3"/>
      <c r="B862" s="3"/>
      <c r="C862" s="3"/>
      <c r="D862" s="3"/>
      <c r="E862" s="3"/>
      <c r="F862" s="3"/>
      <c r="G862" s="3"/>
      <c r="H862" s="3"/>
      <c r="I862" s="3"/>
      <c r="J862" s="3"/>
      <c r="K862" s="3"/>
      <c r="L862" s="3"/>
      <c r="M862" s="3"/>
      <c r="N862" s="3"/>
      <c r="O862" s="3"/>
      <c r="P862" s="3"/>
      <c r="Q862" s="3"/>
      <c r="R862" s="3"/>
      <c r="S862" s="3"/>
      <c r="T862" s="3"/>
      <c r="U862" s="3"/>
      <c r="V862" s="3"/>
    </row>
    <row r="863" ht="12.75" customHeight="1" spans="1:22" x14ac:dyDescent="0.25">
      <c r="A863" s="3"/>
      <c r="B863" s="3"/>
      <c r="C863" s="3"/>
      <c r="D863" s="3"/>
      <c r="E863" s="3"/>
      <c r="F863" s="3"/>
      <c r="G863" s="3"/>
      <c r="H863" s="3"/>
      <c r="I863" s="3"/>
      <c r="J863" s="3"/>
      <c r="K863" s="3"/>
      <c r="L863" s="3"/>
      <c r="M863" s="3"/>
      <c r="N863" s="3"/>
      <c r="O863" s="3"/>
      <c r="P863" s="3"/>
      <c r="Q863" s="3"/>
      <c r="R863" s="3"/>
      <c r="S863" s="3"/>
      <c r="T863" s="3"/>
      <c r="U863" s="3"/>
      <c r="V863" s="3"/>
    </row>
    <row r="864" ht="12.75" customHeight="1" spans="1:22" x14ac:dyDescent="0.25">
      <c r="A864" s="3"/>
      <c r="B864" s="3"/>
      <c r="C864" s="3"/>
      <c r="D864" s="3"/>
      <c r="E864" s="3"/>
      <c r="F864" s="3"/>
      <c r="G864" s="3"/>
      <c r="H864" s="3"/>
      <c r="I864" s="3"/>
      <c r="J864" s="3"/>
      <c r="K864" s="3"/>
      <c r="L864" s="3"/>
      <c r="M864" s="3"/>
      <c r="N864" s="3"/>
      <c r="O864" s="3"/>
      <c r="P864" s="3"/>
      <c r="Q864" s="3"/>
      <c r="R864" s="3"/>
      <c r="S864" s="3"/>
      <c r="T864" s="3"/>
      <c r="U864" s="3"/>
      <c r="V864" s="3"/>
    </row>
    <row r="865" ht="12.75" customHeight="1" spans="1:22" x14ac:dyDescent="0.25">
      <c r="A865" s="3"/>
      <c r="B865" s="3"/>
      <c r="C865" s="3"/>
      <c r="D865" s="3"/>
      <c r="E865" s="3"/>
      <c r="F865" s="3"/>
      <c r="G865" s="3"/>
      <c r="H865" s="3"/>
      <c r="I865" s="3"/>
      <c r="J865" s="3"/>
      <c r="K865" s="3"/>
      <c r="L865" s="3"/>
      <c r="M865" s="3"/>
      <c r="N865" s="3"/>
      <c r="O865" s="3"/>
      <c r="P865" s="3"/>
      <c r="Q865" s="3"/>
      <c r="R865" s="3"/>
      <c r="S865" s="3"/>
      <c r="T865" s="3"/>
      <c r="U865" s="3"/>
      <c r="V865" s="3"/>
    </row>
    <row r="866" ht="12.75" customHeight="1" spans="1:22" x14ac:dyDescent="0.25">
      <c r="A866" s="3"/>
      <c r="B866" s="3"/>
      <c r="C866" s="3"/>
      <c r="D866" s="3"/>
      <c r="E866" s="3"/>
      <c r="F866" s="3"/>
      <c r="G866" s="3"/>
      <c r="H866" s="3"/>
      <c r="I866" s="3"/>
      <c r="J866" s="3"/>
      <c r="K866" s="3"/>
      <c r="L866" s="3"/>
      <c r="M866" s="3"/>
      <c r="N866" s="3"/>
      <c r="O866" s="3"/>
      <c r="P866" s="3"/>
      <c r="Q866" s="3"/>
      <c r="R866" s="3"/>
      <c r="S866" s="3"/>
      <c r="T866" s="3"/>
      <c r="U866" s="3"/>
      <c r="V866" s="3"/>
    </row>
    <row r="867" ht="12.75" customHeight="1" spans="1:22" x14ac:dyDescent="0.25">
      <c r="A867" s="3"/>
      <c r="B867" s="3"/>
      <c r="C867" s="3"/>
      <c r="D867" s="3"/>
      <c r="E867" s="3"/>
      <c r="F867" s="3"/>
      <c r="G867" s="3"/>
      <c r="H867" s="3"/>
      <c r="I867" s="3"/>
      <c r="J867" s="3"/>
      <c r="K867" s="3"/>
      <c r="L867" s="3"/>
      <c r="M867" s="3"/>
      <c r="N867" s="3"/>
      <c r="O867" s="3"/>
      <c r="P867" s="3"/>
      <c r="Q867" s="3"/>
      <c r="R867" s="3"/>
      <c r="S867" s="3"/>
      <c r="T867" s="3"/>
      <c r="U867" s="3"/>
      <c r="V867" s="3"/>
    </row>
    <row r="868" ht="12.75" customHeight="1" spans="1:22" x14ac:dyDescent="0.25">
      <c r="A868" s="3"/>
      <c r="B868" s="3"/>
      <c r="C868" s="3"/>
      <c r="D868" s="3"/>
      <c r="E868" s="3"/>
      <c r="F868" s="3"/>
      <c r="G868" s="3"/>
      <c r="H868" s="3"/>
      <c r="I868" s="3"/>
      <c r="J868" s="3"/>
      <c r="K868" s="3"/>
      <c r="L868" s="3"/>
      <c r="M868" s="3"/>
      <c r="N868" s="3"/>
      <c r="O868" s="3"/>
      <c r="P868" s="3"/>
      <c r="Q868" s="3"/>
      <c r="R868" s="3"/>
      <c r="S868" s="3"/>
      <c r="T868" s="3"/>
      <c r="U868" s="3"/>
      <c r="V868" s="3"/>
    </row>
    <row r="869" ht="12.75" customHeight="1" spans="1:22" x14ac:dyDescent="0.25">
      <c r="A869" s="3"/>
      <c r="B869" s="3"/>
      <c r="C869" s="3"/>
      <c r="D869" s="3"/>
      <c r="E869" s="3"/>
      <c r="F869" s="3"/>
      <c r="G869" s="3"/>
      <c r="H869" s="3"/>
      <c r="I869" s="3"/>
      <c r="J869" s="3"/>
      <c r="K869" s="3"/>
      <c r="L869" s="3"/>
      <c r="M869" s="3"/>
      <c r="N869" s="3"/>
      <c r="O869" s="3"/>
      <c r="P869" s="3"/>
      <c r="Q869" s="3"/>
      <c r="R869" s="3"/>
      <c r="S869" s="3"/>
      <c r="T869" s="3"/>
      <c r="U869" s="3"/>
      <c r="V869" s="3"/>
    </row>
    <row r="870" ht="12.75" customHeight="1" spans="1:22" x14ac:dyDescent="0.25">
      <c r="A870" s="3"/>
      <c r="B870" s="3"/>
      <c r="C870" s="3"/>
      <c r="D870" s="3"/>
      <c r="E870" s="3"/>
      <c r="F870" s="3"/>
      <c r="G870" s="3"/>
      <c r="H870" s="3"/>
      <c r="I870" s="3"/>
      <c r="J870" s="3"/>
      <c r="K870" s="3"/>
      <c r="L870" s="3"/>
      <c r="M870" s="3"/>
      <c r="N870" s="3"/>
      <c r="O870" s="3"/>
      <c r="P870" s="3"/>
      <c r="Q870" s="3"/>
      <c r="R870" s="3"/>
      <c r="S870" s="3"/>
      <c r="T870" s="3"/>
      <c r="U870" s="3"/>
      <c r="V870" s="3"/>
    </row>
    <row r="871" ht="12.75" customHeight="1" spans="1:22" x14ac:dyDescent="0.25">
      <c r="A871" s="3"/>
      <c r="B871" s="3"/>
      <c r="C871" s="3"/>
      <c r="D871" s="3"/>
      <c r="E871" s="3"/>
      <c r="F871" s="3"/>
      <c r="G871" s="3"/>
      <c r="H871" s="3"/>
      <c r="I871" s="3"/>
      <c r="J871" s="3"/>
      <c r="K871" s="3"/>
      <c r="L871" s="3"/>
      <c r="M871" s="3"/>
      <c r="N871" s="3"/>
      <c r="O871" s="3"/>
      <c r="P871" s="3"/>
      <c r="Q871" s="3"/>
      <c r="R871" s="3"/>
      <c r="S871" s="3"/>
      <c r="T871" s="3"/>
      <c r="U871" s="3"/>
      <c r="V871" s="3"/>
    </row>
    <row r="872" ht="12.75" customHeight="1" spans="1:22" x14ac:dyDescent="0.25">
      <c r="A872" s="3"/>
      <c r="B872" s="3"/>
      <c r="C872" s="3"/>
      <c r="D872" s="3"/>
      <c r="E872" s="3"/>
      <c r="F872" s="3"/>
      <c r="G872" s="3"/>
      <c r="H872" s="3"/>
      <c r="I872" s="3"/>
      <c r="J872" s="3"/>
      <c r="K872" s="3"/>
      <c r="L872" s="3"/>
      <c r="M872" s="3"/>
      <c r="N872" s="3"/>
      <c r="O872" s="3"/>
      <c r="P872" s="3"/>
      <c r="Q872" s="3"/>
      <c r="R872" s="3"/>
      <c r="S872" s="3"/>
      <c r="T872" s="3"/>
      <c r="U872" s="3"/>
      <c r="V872" s="3"/>
    </row>
    <row r="873" ht="12.75" customHeight="1" spans="1:22" x14ac:dyDescent="0.25">
      <c r="A873" s="3"/>
      <c r="B873" s="3"/>
      <c r="C873" s="3"/>
      <c r="D873" s="3"/>
      <c r="E873" s="3"/>
      <c r="F873" s="3"/>
      <c r="G873" s="3"/>
      <c r="H873" s="3"/>
      <c r="I873" s="3"/>
      <c r="J873" s="3"/>
      <c r="K873" s="3"/>
      <c r="L873" s="3"/>
      <c r="M873" s="3"/>
      <c r="N873" s="3"/>
      <c r="O873" s="3"/>
      <c r="P873" s="3"/>
      <c r="Q873" s="3"/>
      <c r="R873" s="3"/>
      <c r="S873" s="3"/>
      <c r="T873" s="3"/>
      <c r="U873" s="3"/>
      <c r="V873" s="3"/>
    </row>
    <row r="874" ht="12.75" customHeight="1" spans="1:22" x14ac:dyDescent="0.25">
      <c r="A874" s="3"/>
      <c r="B874" s="3"/>
      <c r="C874" s="3"/>
      <c r="D874" s="3"/>
      <c r="E874" s="3"/>
      <c r="F874" s="3"/>
      <c r="G874" s="3"/>
      <c r="H874" s="3"/>
      <c r="I874" s="3"/>
      <c r="J874" s="3"/>
      <c r="K874" s="3"/>
      <c r="L874" s="3"/>
      <c r="M874" s="3"/>
      <c r="N874" s="3"/>
      <c r="O874" s="3"/>
      <c r="P874" s="3"/>
      <c r="Q874" s="3"/>
      <c r="R874" s="3"/>
      <c r="S874" s="3"/>
      <c r="T874" s="3"/>
      <c r="U874" s="3"/>
      <c r="V874" s="3"/>
    </row>
    <row r="875" ht="12.75" customHeight="1" spans="1:22" x14ac:dyDescent="0.25">
      <c r="A875" s="3"/>
      <c r="B875" s="3"/>
      <c r="C875" s="3"/>
      <c r="D875" s="3"/>
      <c r="E875" s="3"/>
      <c r="F875" s="3"/>
      <c r="G875" s="3"/>
      <c r="H875" s="3"/>
      <c r="I875" s="3"/>
      <c r="J875" s="3"/>
      <c r="K875" s="3"/>
      <c r="L875" s="3"/>
      <c r="M875" s="3"/>
      <c r="N875" s="3"/>
      <c r="O875" s="3"/>
      <c r="P875" s="3"/>
      <c r="Q875" s="3"/>
      <c r="R875" s="3"/>
      <c r="S875" s="3"/>
      <c r="T875" s="3"/>
      <c r="U875" s="3"/>
      <c r="V875" s="3"/>
    </row>
    <row r="876" ht="12.75" customHeight="1" spans="1:22" x14ac:dyDescent="0.25">
      <c r="A876" s="3"/>
      <c r="B876" s="3"/>
      <c r="C876" s="3"/>
      <c r="D876" s="3"/>
      <c r="E876" s="3"/>
      <c r="F876" s="3"/>
      <c r="G876" s="3"/>
      <c r="H876" s="3"/>
      <c r="I876" s="3"/>
      <c r="J876" s="3"/>
      <c r="K876" s="3"/>
      <c r="L876" s="3"/>
      <c r="M876" s="3"/>
      <c r="N876" s="3"/>
      <c r="O876" s="3"/>
      <c r="P876" s="3"/>
      <c r="Q876" s="3"/>
      <c r="R876" s="3"/>
      <c r="S876" s="3"/>
      <c r="T876" s="3"/>
      <c r="U876" s="3"/>
      <c r="V876" s="3"/>
    </row>
    <row r="877" ht="12.75" customHeight="1" spans="1:22" x14ac:dyDescent="0.25">
      <c r="A877" s="3"/>
      <c r="B877" s="3"/>
      <c r="C877" s="3"/>
      <c r="D877" s="3"/>
      <c r="E877" s="3"/>
      <c r="F877" s="3"/>
      <c r="G877" s="3"/>
      <c r="H877" s="3"/>
      <c r="I877" s="3"/>
      <c r="J877" s="3"/>
      <c r="K877" s="3"/>
      <c r="L877" s="3"/>
      <c r="M877" s="3"/>
      <c r="N877" s="3"/>
      <c r="O877" s="3"/>
      <c r="P877" s="3"/>
      <c r="Q877" s="3"/>
      <c r="R877" s="3"/>
      <c r="S877" s="3"/>
      <c r="T877" s="3"/>
      <c r="U877" s="3"/>
      <c r="V877" s="3"/>
    </row>
    <row r="878" ht="12.75" customHeight="1" spans="1:22" x14ac:dyDescent="0.25">
      <c r="A878" s="3"/>
      <c r="B878" s="3"/>
      <c r="C878" s="3"/>
      <c r="D878" s="3"/>
      <c r="E878" s="3"/>
      <c r="F878" s="3"/>
      <c r="G878" s="3"/>
      <c r="H878" s="3"/>
      <c r="I878" s="3"/>
      <c r="J878" s="3"/>
      <c r="K878" s="3"/>
      <c r="L878" s="3"/>
      <c r="M878" s="3"/>
      <c r="N878" s="3"/>
      <c r="O878" s="3"/>
      <c r="P878" s="3"/>
      <c r="Q878" s="3"/>
      <c r="R878" s="3"/>
      <c r="S878" s="3"/>
      <c r="T878" s="3"/>
      <c r="U878" s="3"/>
      <c r="V878" s="3"/>
    </row>
    <row r="879" ht="12.75" customHeight="1" spans="1:22" x14ac:dyDescent="0.25">
      <c r="A879" s="3"/>
      <c r="B879" s="3"/>
      <c r="C879" s="3"/>
      <c r="D879" s="3"/>
      <c r="E879" s="3"/>
      <c r="F879" s="3"/>
      <c r="G879" s="3"/>
      <c r="H879" s="3"/>
      <c r="I879" s="3"/>
      <c r="J879" s="3"/>
      <c r="K879" s="3"/>
      <c r="L879" s="3"/>
      <c r="M879" s="3"/>
      <c r="N879" s="3"/>
      <c r="O879" s="3"/>
      <c r="P879" s="3"/>
      <c r="Q879" s="3"/>
      <c r="R879" s="3"/>
      <c r="S879" s="3"/>
      <c r="T879" s="3"/>
      <c r="U879" s="3"/>
      <c r="V879" s="3"/>
    </row>
    <row r="880" ht="12.75" customHeight="1" spans="1:22" x14ac:dyDescent="0.25">
      <c r="A880" s="3"/>
      <c r="B880" s="3"/>
      <c r="C880" s="3"/>
      <c r="D880" s="3"/>
      <c r="E880" s="3"/>
      <c r="F880" s="3"/>
      <c r="G880" s="3"/>
      <c r="H880" s="3"/>
      <c r="I880" s="3"/>
      <c r="J880" s="3"/>
      <c r="K880" s="3"/>
      <c r="L880" s="3"/>
      <c r="M880" s="3"/>
      <c r="N880" s="3"/>
      <c r="O880" s="3"/>
      <c r="P880" s="3"/>
      <c r="Q880" s="3"/>
      <c r="R880" s="3"/>
      <c r="S880" s="3"/>
      <c r="T880" s="3"/>
      <c r="U880" s="3"/>
      <c r="V880" s="3"/>
    </row>
    <row r="881" ht="12.75" customHeight="1" spans="1:22" x14ac:dyDescent="0.25">
      <c r="A881" s="3"/>
      <c r="B881" s="3"/>
      <c r="C881" s="3"/>
      <c r="D881" s="3"/>
      <c r="E881" s="3"/>
      <c r="F881" s="3"/>
      <c r="G881" s="3"/>
      <c r="H881" s="3"/>
      <c r="I881" s="3"/>
      <c r="J881" s="3"/>
      <c r="K881" s="3"/>
      <c r="L881" s="3"/>
      <c r="M881" s="3"/>
      <c r="N881" s="3"/>
      <c r="O881" s="3"/>
      <c r="P881" s="3"/>
      <c r="Q881" s="3"/>
      <c r="R881" s="3"/>
      <c r="S881" s="3"/>
      <c r="T881" s="3"/>
      <c r="U881" s="3"/>
      <c r="V881" s="3"/>
    </row>
    <row r="882" ht="12.75" customHeight="1" spans="1:22" x14ac:dyDescent="0.25">
      <c r="A882" s="3"/>
      <c r="B882" s="3"/>
      <c r="C882" s="3"/>
      <c r="D882" s="3"/>
      <c r="E882" s="3"/>
      <c r="F882" s="3"/>
      <c r="G882" s="3"/>
      <c r="H882" s="3"/>
      <c r="I882" s="3"/>
      <c r="J882" s="3"/>
      <c r="K882" s="3"/>
      <c r="L882" s="3"/>
      <c r="M882" s="3"/>
      <c r="N882" s="3"/>
      <c r="O882" s="3"/>
      <c r="P882" s="3"/>
      <c r="Q882" s="3"/>
      <c r="R882" s="3"/>
      <c r="S882" s="3"/>
      <c r="T882" s="3"/>
      <c r="U882" s="3"/>
      <c r="V882" s="3"/>
    </row>
    <row r="883" ht="12.75" customHeight="1" spans="1:22" x14ac:dyDescent="0.25">
      <c r="A883" s="3"/>
      <c r="B883" s="3"/>
      <c r="C883" s="3"/>
      <c r="D883" s="3"/>
      <c r="E883" s="3"/>
      <c r="F883" s="3"/>
      <c r="G883" s="3"/>
      <c r="H883" s="3"/>
      <c r="I883" s="3"/>
      <c r="J883" s="3"/>
      <c r="K883" s="3"/>
      <c r="L883" s="3"/>
      <c r="M883" s="3"/>
      <c r="N883" s="3"/>
      <c r="O883" s="3"/>
      <c r="P883" s="3"/>
      <c r="Q883" s="3"/>
      <c r="R883" s="3"/>
      <c r="S883" s="3"/>
      <c r="T883" s="3"/>
      <c r="U883" s="3"/>
      <c r="V883" s="3"/>
    </row>
    <row r="884" ht="12.75" customHeight="1" spans="1:22" x14ac:dyDescent="0.25">
      <c r="A884" s="3"/>
      <c r="B884" s="3"/>
      <c r="C884" s="3"/>
      <c r="D884" s="3"/>
      <c r="E884" s="3"/>
      <c r="F884" s="3"/>
      <c r="G884" s="3"/>
      <c r="H884" s="3"/>
      <c r="I884" s="3"/>
      <c r="J884" s="3"/>
      <c r="K884" s="3"/>
      <c r="L884" s="3"/>
      <c r="M884" s="3"/>
      <c r="N884" s="3"/>
      <c r="O884" s="3"/>
      <c r="P884" s="3"/>
      <c r="Q884" s="3"/>
      <c r="R884" s="3"/>
      <c r="S884" s="3"/>
      <c r="T884" s="3"/>
      <c r="U884" s="3"/>
      <c r="V884" s="3"/>
    </row>
    <row r="885" ht="12.75" customHeight="1" spans="1:22" x14ac:dyDescent="0.25">
      <c r="A885" s="3"/>
      <c r="B885" s="3"/>
      <c r="C885" s="3"/>
      <c r="D885" s="3"/>
      <c r="E885" s="3"/>
      <c r="F885" s="3"/>
      <c r="G885" s="3"/>
      <c r="H885" s="3"/>
      <c r="I885" s="3"/>
      <c r="J885" s="3"/>
      <c r="K885" s="3"/>
      <c r="L885" s="3"/>
      <c r="M885" s="3"/>
      <c r="N885" s="3"/>
      <c r="O885" s="3"/>
      <c r="P885" s="3"/>
      <c r="Q885" s="3"/>
      <c r="R885" s="3"/>
      <c r="S885" s="3"/>
      <c r="T885" s="3"/>
      <c r="U885" s="3"/>
      <c r="V885" s="3"/>
    </row>
    <row r="886" ht="12.75" customHeight="1" spans="1:22" x14ac:dyDescent="0.25">
      <c r="A886" s="3"/>
      <c r="B886" s="3"/>
      <c r="C886" s="3"/>
      <c r="D886" s="3"/>
      <c r="E886" s="3"/>
      <c r="F886" s="3"/>
      <c r="G886" s="3"/>
      <c r="H886" s="3"/>
      <c r="I886" s="3"/>
      <c r="J886" s="3"/>
      <c r="K886" s="3"/>
      <c r="L886" s="3"/>
      <c r="M886" s="3"/>
      <c r="N886" s="3"/>
      <c r="O886" s="3"/>
      <c r="P886" s="3"/>
      <c r="Q886" s="3"/>
      <c r="R886" s="3"/>
      <c r="S886" s="3"/>
      <c r="T886" s="3"/>
      <c r="U886" s="3"/>
      <c r="V886" s="3"/>
    </row>
    <row r="887" ht="12.75" customHeight="1" spans="1:22" x14ac:dyDescent="0.25">
      <c r="A887" s="3"/>
      <c r="B887" s="3"/>
      <c r="C887" s="3"/>
      <c r="D887" s="3"/>
      <c r="E887" s="3"/>
      <c r="F887" s="3"/>
      <c r="G887" s="3"/>
      <c r="H887" s="3"/>
      <c r="I887" s="3"/>
      <c r="J887" s="3"/>
      <c r="K887" s="3"/>
      <c r="L887" s="3"/>
      <c r="M887" s="3"/>
      <c r="N887" s="3"/>
      <c r="O887" s="3"/>
      <c r="P887" s="3"/>
      <c r="Q887" s="3"/>
      <c r="R887" s="3"/>
      <c r="S887" s="3"/>
      <c r="T887" s="3"/>
      <c r="U887" s="3"/>
      <c r="V887" s="3"/>
    </row>
    <row r="888" ht="12.75" customHeight="1" spans="1:22" x14ac:dyDescent="0.25">
      <c r="A888" s="3"/>
      <c r="B888" s="3"/>
      <c r="C888" s="3"/>
      <c r="D888" s="3"/>
      <c r="E888" s="3"/>
      <c r="F888" s="3"/>
      <c r="G888" s="3"/>
      <c r="H888" s="3"/>
      <c r="I888" s="3"/>
      <c r="J888" s="3"/>
      <c r="K888" s="3"/>
      <c r="L888" s="3"/>
      <c r="M888" s="3"/>
      <c r="N888" s="3"/>
      <c r="O888" s="3"/>
      <c r="P888" s="3"/>
      <c r="Q888" s="3"/>
      <c r="R888" s="3"/>
      <c r="S888" s="3"/>
      <c r="T888" s="3"/>
      <c r="U888" s="3"/>
      <c r="V888" s="3"/>
    </row>
    <row r="889" ht="12.75" customHeight="1" spans="1:22" x14ac:dyDescent="0.25">
      <c r="A889" s="3"/>
      <c r="B889" s="3"/>
      <c r="C889" s="3"/>
      <c r="D889" s="3"/>
      <c r="E889" s="3"/>
      <c r="F889" s="3"/>
      <c r="G889" s="3"/>
      <c r="H889" s="3"/>
      <c r="I889" s="3"/>
      <c r="J889" s="3"/>
      <c r="K889" s="3"/>
      <c r="L889" s="3"/>
      <c r="M889" s="3"/>
      <c r="N889" s="3"/>
      <c r="O889" s="3"/>
      <c r="P889" s="3"/>
      <c r="Q889" s="3"/>
      <c r="R889" s="3"/>
      <c r="S889" s="3"/>
      <c r="T889" s="3"/>
      <c r="U889" s="3"/>
      <c r="V889" s="3"/>
    </row>
    <row r="890" ht="12.75" customHeight="1" spans="1:22" x14ac:dyDescent="0.25">
      <c r="A890" s="3"/>
      <c r="B890" s="3"/>
      <c r="C890" s="3"/>
      <c r="D890" s="3"/>
      <c r="E890" s="3"/>
      <c r="F890" s="3"/>
      <c r="G890" s="3"/>
      <c r="H890" s="3"/>
      <c r="I890" s="3"/>
      <c r="J890" s="3"/>
      <c r="K890" s="3"/>
      <c r="L890" s="3"/>
      <c r="M890" s="3"/>
      <c r="N890" s="3"/>
      <c r="O890" s="3"/>
      <c r="P890" s="3"/>
      <c r="Q890" s="3"/>
      <c r="R890" s="3"/>
      <c r="S890" s="3"/>
      <c r="T890" s="3"/>
      <c r="U890" s="3"/>
      <c r="V890" s="3"/>
    </row>
    <row r="891" ht="12.75" customHeight="1" spans="1:22" x14ac:dyDescent="0.25">
      <c r="A891" s="3"/>
      <c r="B891" s="3"/>
      <c r="C891" s="3"/>
      <c r="D891" s="3"/>
      <c r="E891" s="3"/>
      <c r="F891" s="3"/>
      <c r="G891" s="3"/>
      <c r="H891" s="3"/>
      <c r="I891" s="3"/>
      <c r="J891" s="3"/>
      <c r="K891" s="3"/>
      <c r="L891" s="3"/>
      <c r="M891" s="3"/>
      <c r="N891" s="3"/>
      <c r="O891" s="3"/>
      <c r="P891" s="3"/>
      <c r="Q891" s="3"/>
      <c r="R891" s="3"/>
      <c r="S891" s="3"/>
      <c r="T891" s="3"/>
      <c r="U891" s="3"/>
      <c r="V891" s="3"/>
    </row>
    <row r="892" ht="12.75" customHeight="1" spans="1:22" x14ac:dyDescent="0.25">
      <c r="A892" s="3"/>
      <c r="B892" s="3"/>
      <c r="C892" s="3"/>
      <c r="D892" s="3"/>
      <c r="E892" s="3"/>
      <c r="F892" s="3"/>
      <c r="G892" s="3"/>
      <c r="H892" s="3"/>
      <c r="I892" s="3"/>
      <c r="J892" s="3"/>
      <c r="K892" s="3"/>
      <c r="L892" s="3"/>
      <c r="M892" s="3"/>
      <c r="N892" s="3"/>
      <c r="O892" s="3"/>
      <c r="P892" s="3"/>
      <c r="Q892" s="3"/>
      <c r="R892" s="3"/>
      <c r="S892" s="3"/>
      <c r="T892" s="3"/>
      <c r="U892" s="3"/>
      <c r="V892" s="3"/>
    </row>
    <row r="893" ht="12.75" customHeight="1" spans="1:22" x14ac:dyDescent="0.25">
      <c r="A893" s="3"/>
      <c r="B893" s="3"/>
      <c r="C893" s="3"/>
      <c r="D893" s="3"/>
      <c r="E893" s="3"/>
      <c r="F893" s="3"/>
      <c r="G893" s="3"/>
      <c r="H893" s="3"/>
      <c r="I893" s="3"/>
      <c r="J893" s="3"/>
      <c r="K893" s="3"/>
      <c r="L893" s="3"/>
      <c r="M893" s="3"/>
      <c r="N893" s="3"/>
      <c r="O893" s="3"/>
      <c r="P893" s="3"/>
      <c r="Q893" s="3"/>
      <c r="R893" s="3"/>
      <c r="S893" s="3"/>
      <c r="T893" s="3"/>
      <c r="U893" s="3"/>
      <c r="V893" s="3"/>
    </row>
    <row r="894" ht="12.75" customHeight="1" spans="1:22" x14ac:dyDescent="0.25">
      <c r="A894" s="3"/>
      <c r="B894" s="3"/>
      <c r="C894" s="3"/>
      <c r="D894" s="3"/>
      <c r="E894" s="3"/>
      <c r="F894" s="3"/>
      <c r="G894" s="3"/>
      <c r="H894" s="3"/>
      <c r="I894" s="3"/>
      <c r="J894" s="3"/>
      <c r="K894" s="3"/>
      <c r="L894" s="3"/>
      <c r="M894" s="3"/>
      <c r="N894" s="3"/>
      <c r="O894" s="3"/>
      <c r="P894" s="3"/>
      <c r="Q894" s="3"/>
      <c r="R894" s="3"/>
      <c r="S894" s="3"/>
      <c r="T894" s="3"/>
      <c r="U894" s="3"/>
      <c r="V894" s="3"/>
    </row>
    <row r="895" ht="12.75" customHeight="1" spans="1:22" x14ac:dyDescent="0.25">
      <c r="A895" s="3"/>
      <c r="B895" s="3"/>
      <c r="C895" s="3"/>
      <c r="D895" s="3"/>
      <c r="E895" s="3"/>
      <c r="F895" s="3"/>
      <c r="G895" s="3"/>
      <c r="H895" s="3"/>
      <c r="I895" s="3"/>
      <c r="J895" s="3"/>
      <c r="K895" s="3"/>
      <c r="L895" s="3"/>
      <c r="M895" s="3"/>
      <c r="N895" s="3"/>
      <c r="O895" s="3"/>
      <c r="P895" s="3"/>
      <c r="Q895" s="3"/>
      <c r="R895" s="3"/>
      <c r="S895" s="3"/>
      <c r="T895" s="3"/>
      <c r="U895" s="3"/>
      <c r="V895" s="3"/>
    </row>
    <row r="896" ht="12.75" customHeight="1" spans="1:22" x14ac:dyDescent="0.25">
      <c r="A896" s="3"/>
      <c r="B896" s="3"/>
      <c r="C896" s="3"/>
      <c r="D896" s="3"/>
      <c r="E896" s="3"/>
      <c r="F896" s="3"/>
      <c r="G896" s="3"/>
      <c r="H896" s="3"/>
      <c r="I896" s="3"/>
      <c r="J896" s="3"/>
      <c r="K896" s="3"/>
      <c r="L896" s="3"/>
      <c r="M896" s="3"/>
      <c r="N896" s="3"/>
      <c r="O896" s="3"/>
      <c r="P896" s="3"/>
      <c r="Q896" s="3"/>
      <c r="R896" s="3"/>
      <c r="S896" s="3"/>
      <c r="T896" s="3"/>
      <c r="U896" s="3"/>
      <c r="V896" s="3"/>
    </row>
    <row r="897" ht="12.75" customHeight="1" spans="1:22" x14ac:dyDescent="0.25">
      <c r="A897" s="3"/>
      <c r="B897" s="3"/>
      <c r="C897" s="3"/>
      <c r="D897" s="3"/>
      <c r="E897" s="3"/>
      <c r="F897" s="3"/>
      <c r="G897" s="3"/>
      <c r="H897" s="3"/>
      <c r="I897" s="3"/>
      <c r="J897" s="3"/>
      <c r="K897" s="3"/>
      <c r="L897" s="3"/>
      <c r="M897" s="3"/>
      <c r="N897" s="3"/>
      <c r="O897" s="3"/>
      <c r="P897" s="3"/>
      <c r="Q897" s="3"/>
      <c r="R897" s="3"/>
      <c r="S897" s="3"/>
      <c r="T897" s="3"/>
      <c r="U897" s="3"/>
      <c r="V897" s="3"/>
    </row>
    <row r="898" ht="12.75" customHeight="1" spans="1:22" x14ac:dyDescent="0.25">
      <c r="A898" s="3"/>
      <c r="B898" s="3"/>
      <c r="C898" s="3"/>
      <c r="D898" s="3"/>
      <c r="E898" s="3"/>
      <c r="F898" s="3"/>
      <c r="G898" s="3"/>
      <c r="H898" s="3"/>
      <c r="I898" s="3"/>
      <c r="J898" s="3"/>
      <c r="K898" s="3"/>
      <c r="L898" s="3"/>
      <c r="M898" s="3"/>
      <c r="N898" s="3"/>
      <c r="O898" s="3"/>
      <c r="P898" s="3"/>
      <c r="Q898" s="3"/>
      <c r="R898" s="3"/>
      <c r="S898" s="3"/>
      <c r="T898" s="3"/>
      <c r="U898" s="3"/>
      <c r="V898" s="3"/>
    </row>
    <row r="899" ht="12.75" customHeight="1" spans="1:22" x14ac:dyDescent="0.25">
      <c r="A899" s="3"/>
      <c r="B899" s="3"/>
      <c r="C899" s="3"/>
      <c r="D899" s="3"/>
      <c r="E899" s="3"/>
      <c r="F899" s="3"/>
      <c r="G899" s="3"/>
      <c r="H899" s="3"/>
      <c r="I899" s="3"/>
      <c r="J899" s="3"/>
      <c r="K899" s="3"/>
      <c r="L899" s="3"/>
      <c r="M899" s="3"/>
      <c r="N899" s="3"/>
      <c r="O899" s="3"/>
      <c r="P899" s="3"/>
      <c r="Q899" s="3"/>
      <c r="R899" s="3"/>
      <c r="S899" s="3"/>
      <c r="T899" s="3"/>
      <c r="U899" s="3"/>
      <c r="V899" s="3"/>
    </row>
    <row r="900" ht="12.75" customHeight="1" spans="1:22" x14ac:dyDescent="0.25">
      <c r="A900" s="3"/>
      <c r="B900" s="3"/>
      <c r="C900" s="3"/>
      <c r="D900" s="3"/>
      <c r="E900" s="3"/>
      <c r="F900" s="3"/>
      <c r="G900" s="3"/>
      <c r="H900" s="3"/>
      <c r="I900" s="3"/>
      <c r="J900" s="3"/>
      <c r="K900" s="3"/>
      <c r="L900" s="3"/>
      <c r="M900" s="3"/>
      <c r="N900" s="3"/>
      <c r="O900" s="3"/>
      <c r="P900" s="3"/>
      <c r="Q900" s="3"/>
      <c r="R900" s="3"/>
      <c r="S900" s="3"/>
      <c r="T900" s="3"/>
      <c r="U900" s="3"/>
      <c r="V900" s="3"/>
    </row>
    <row r="901" ht="12.75" customHeight="1" spans="1:22" x14ac:dyDescent="0.25">
      <c r="A901" s="3"/>
      <c r="B901" s="3"/>
      <c r="C901" s="3"/>
      <c r="D901" s="3"/>
      <c r="E901" s="3"/>
      <c r="F901" s="3"/>
      <c r="G901" s="3"/>
      <c r="H901" s="3"/>
      <c r="I901" s="3"/>
      <c r="J901" s="3"/>
      <c r="K901" s="3"/>
      <c r="L901" s="3"/>
      <c r="M901" s="3"/>
      <c r="N901" s="3"/>
      <c r="O901" s="3"/>
      <c r="P901" s="3"/>
      <c r="Q901" s="3"/>
      <c r="R901" s="3"/>
      <c r="S901" s="3"/>
      <c r="T901" s="3"/>
      <c r="U901" s="3"/>
      <c r="V901" s="3"/>
    </row>
    <row r="902" ht="12.75" customHeight="1" spans="1:22" x14ac:dyDescent="0.25">
      <c r="A902" s="3"/>
      <c r="B902" s="3"/>
      <c r="C902" s="3"/>
      <c r="D902" s="3"/>
      <c r="E902" s="3"/>
      <c r="F902" s="3"/>
      <c r="G902" s="3"/>
      <c r="H902" s="3"/>
      <c r="I902" s="3"/>
      <c r="J902" s="3"/>
      <c r="K902" s="3"/>
      <c r="L902" s="3"/>
      <c r="M902" s="3"/>
      <c r="N902" s="3"/>
      <c r="O902" s="3"/>
      <c r="P902" s="3"/>
      <c r="Q902" s="3"/>
      <c r="R902" s="3"/>
      <c r="S902" s="3"/>
      <c r="T902" s="3"/>
      <c r="U902" s="3"/>
      <c r="V902" s="3"/>
    </row>
    <row r="903" ht="12.75" customHeight="1" spans="1:22" x14ac:dyDescent="0.25">
      <c r="A903" s="3"/>
      <c r="B903" s="3"/>
      <c r="C903" s="3"/>
      <c r="D903" s="3"/>
      <c r="E903" s="3"/>
      <c r="F903" s="3"/>
      <c r="G903" s="3"/>
      <c r="H903" s="3"/>
      <c r="I903" s="3"/>
      <c r="J903" s="3"/>
      <c r="K903" s="3"/>
      <c r="L903" s="3"/>
      <c r="M903" s="3"/>
      <c r="N903" s="3"/>
      <c r="O903" s="3"/>
      <c r="P903" s="3"/>
      <c r="Q903" s="3"/>
      <c r="R903" s="3"/>
      <c r="S903" s="3"/>
      <c r="T903" s="3"/>
      <c r="U903" s="3"/>
      <c r="V903" s="3"/>
    </row>
    <row r="904" ht="12.75" customHeight="1" spans="1:22" x14ac:dyDescent="0.25">
      <c r="A904" s="3"/>
      <c r="B904" s="3"/>
      <c r="C904" s="3"/>
      <c r="D904" s="3"/>
      <c r="E904" s="3"/>
      <c r="F904" s="3"/>
      <c r="G904" s="3"/>
      <c r="H904" s="3"/>
      <c r="I904" s="3"/>
      <c r="J904" s="3"/>
      <c r="K904" s="3"/>
      <c r="L904" s="3"/>
      <c r="M904" s="3"/>
      <c r="N904" s="3"/>
      <c r="O904" s="3"/>
      <c r="P904" s="3"/>
      <c r="Q904" s="3"/>
      <c r="R904" s="3"/>
      <c r="S904" s="3"/>
      <c r="T904" s="3"/>
      <c r="U904" s="3"/>
      <c r="V904" s="3"/>
    </row>
    <row r="905" ht="12.75" customHeight="1" spans="1:22" x14ac:dyDescent="0.25">
      <c r="A905" s="3"/>
      <c r="B905" s="3"/>
      <c r="C905" s="3"/>
      <c r="D905" s="3"/>
      <c r="E905" s="3"/>
      <c r="F905" s="3"/>
      <c r="G905" s="3"/>
      <c r="H905" s="3"/>
      <c r="I905" s="3"/>
      <c r="J905" s="3"/>
      <c r="K905" s="3"/>
      <c r="L905" s="3"/>
      <c r="M905" s="3"/>
      <c r="N905" s="3"/>
      <c r="O905" s="3"/>
      <c r="P905" s="3"/>
      <c r="Q905" s="3"/>
      <c r="R905" s="3"/>
      <c r="S905" s="3"/>
      <c r="T905" s="3"/>
      <c r="U905" s="3"/>
      <c r="V905" s="3"/>
    </row>
    <row r="906" ht="12.75" customHeight="1" spans="1:22" x14ac:dyDescent="0.25">
      <c r="A906" s="3"/>
      <c r="B906" s="3"/>
      <c r="C906" s="3"/>
      <c r="D906" s="3"/>
      <c r="E906" s="3"/>
      <c r="F906" s="3"/>
      <c r="G906" s="3"/>
      <c r="H906" s="3"/>
      <c r="I906" s="3"/>
      <c r="J906" s="3"/>
      <c r="K906" s="3"/>
      <c r="L906" s="3"/>
      <c r="M906" s="3"/>
      <c r="N906" s="3"/>
      <c r="O906" s="3"/>
      <c r="P906" s="3"/>
      <c r="Q906" s="3"/>
      <c r="R906" s="3"/>
      <c r="S906" s="3"/>
      <c r="T906" s="3"/>
      <c r="U906" s="3"/>
      <c r="V906" s="3"/>
    </row>
    <row r="907" ht="12.75" customHeight="1" spans="1:22" x14ac:dyDescent="0.25">
      <c r="A907" s="3"/>
      <c r="B907" s="3"/>
      <c r="C907" s="3"/>
      <c r="D907" s="3"/>
      <c r="E907" s="3"/>
      <c r="F907" s="3"/>
      <c r="G907" s="3"/>
      <c r="H907" s="3"/>
      <c r="I907" s="3"/>
      <c r="J907" s="3"/>
      <c r="K907" s="3"/>
      <c r="L907" s="3"/>
      <c r="M907" s="3"/>
      <c r="N907" s="3"/>
      <c r="O907" s="3"/>
      <c r="P907" s="3"/>
      <c r="Q907" s="3"/>
      <c r="R907" s="3"/>
      <c r="S907" s="3"/>
      <c r="T907" s="3"/>
      <c r="U907" s="3"/>
      <c r="V907" s="3"/>
    </row>
    <row r="908" ht="12.75" customHeight="1" spans="1:22" x14ac:dyDescent="0.25">
      <c r="A908" s="3"/>
      <c r="B908" s="3"/>
      <c r="C908" s="3"/>
      <c r="D908" s="3"/>
      <c r="E908" s="3"/>
      <c r="F908" s="3"/>
      <c r="G908" s="3"/>
      <c r="H908" s="3"/>
      <c r="I908" s="3"/>
      <c r="J908" s="3"/>
      <c r="K908" s="3"/>
      <c r="L908" s="3"/>
      <c r="M908" s="3"/>
      <c r="N908" s="3"/>
      <c r="O908" s="3"/>
      <c r="P908" s="3"/>
      <c r="Q908" s="3"/>
      <c r="R908" s="3"/>
      <c r="S908" s="3"/>
      <c r="T908" s="3"/>
      <c r="U908" s="3"/>
      <c r="V908" s="3"/>
    </row>
    <row r="909" ht="12.75" customHeight="1" spans="1:22" x14ac:dyDescent="0.25">
      <c r="A909" s="3"/>
      <c r="B909" s="3"/>
      <c r="C909" s="3"/>
      <c r="D909" s="3"/>
      <c r="E909" s="3"/>
      <c r="F909" s="3"/>
      <c r="G909" s="3"/>
      <c r="H909" s="3"/>
      <c r="I909" s="3"/>
      <c r="J909" s="3"/>
      <c r="K909" s="3"/>
      <c r="L909" s="3"/>
      <c r="M909" s="3"/>
      <c r="N909" s="3"/>
      <c r="O909" s="3"/>
      <c r="P909" s="3"/>
      <c r="Q909" s="3"/>
      <c r="R909" s="3"/>
      <c r="S909" s="3"/>
      <c r="T909" s="3"/>
      <c r="U909" s="3"/>
      <c r="V909" s="3"/>
    </row>
    <row r="910" ht="12.75" customHeight="1" spans="1:22" x14ac:dyDescent="0.25">
      <c r="A910" s="3"/>
      <c r="B910" s="3"/>
      <c r="C910" s="3"/>
      <c r="D910" s="3"/>
      <c r="E910" s="3"/>
      <c r="F910" s="3"/>
      <c r="G910" s="3"/>
      <c r="H910" s="3"/>
      <c r="I910" s="3"/>
      <c r="J910" s="3"/>
      <c r="K910" s="3"/>
      <c r="L910" s="3"/>
      <c r="M910" s="3"/>
      <c r="N910" s="3"/>
      <c r="O910" s="3"/>
      <c r="P910" s="3"/>
      <c r="Q910" s="3"/>
      <c r="R910" s="3"/>
      <c r="S910" s="3"/>
      <c r="T910" s="3"/>
      <c r="U910" s="3"/>
      <c r="V910" s="3"/>
    </row>
    <row r="911" ht="12.75" customHeight="1" spans="1:22" x14ac:dyDescent="0.25">
      <c r="A911" s="3"/>
      <c r="B911" s="3"/>
      <c r="C911" s="3"/>
      <c r="D911" s="3"/>
      <c r="E911" s="3"/>
      <c r="F911" s="3"/>
      <c r="G911" s="3"/>
      <c r="H911" s="3"/>
      <c r="I911" s="3"/>
      <c r="J911" s="3"/>
      <c r="K911" s="3"/>
      <c r="L911" s="3"/>
      <c r="M911" s="3"/>
      <c r="N911" s="3"/>
      <c r="O911" s="3"/>
      <c r="P911" s="3"/>
      <c r="Q911" s="3"/>
      <c r="R911" s="3"/>
      <c r="S911" s="3"/>
      <c r="T911" s="3"/>
      <c r="U911" s="3"/>
      <c r="V911" s="3"/>
    </row>
    <row r="912" ht="12.75" customHeight="1" spans="1:22" x14ac:dyDescent="0.25">
      <c r="A912" s="3"/>
      <c r="B912" s="3"/>
      <c r="C912" s="3"/>
      <c r="D912" s="3"/>
      <c r="E912" s="3"/>
      <c r="F912" s="3"/>
      <c r="G912" s="3"/>
      <c r="H912" s="3"/>
      <c r="I912" s="3"/>
      <c r="J912" s="3"/>
      <c r="K912" s="3"/>
      <c r="L912" s="3"/>
      <c r="M912" s="3"/>
      <c r="N912" s="3"/>
      <c r="O912" s="3"/>
      <c r="P912" s="3"/>
      <c r="Q912" s="3"/>
      <c r="R912" s="3"/>
      <c r="S912" s="3"/>
      <c r="T912" s="3"/>
      <c r="U912" s="3"/>
      <c r="V912" s="3"/>
    </row>
    <row r="913" ht="12.75" customHeight="1" spans="1:22" x14ac:dyDescent="0.25">
      <c r="A913" s="3"/>
      <c r="B913" s="3"/>
      <c r="C913" s="3"/>
      <c r="D913" s="3"/>
      <c r="E913" s="3"/>
      <c r="F913" s="3"/>
      <c r="G913" s="3"/>
      <c r="H913" s="3"/>
      <c r="I913" s="3"/>
      <c r="J913" s="3"/>
      <c r="K913" s="3"/>
      <c r="L913" s="3"/>
      <c r="M913" s="3"/>
      <c r="N913" s="3"/>
      <c r="O913" s="3"/>
      <c r="P913" s="3"/>
      <c r="Q913" s="3"/>
      <c r="R913" s="3"/>
      <c r="S913" s="3"/>
      <c r="T913" s="3"/>
      <c r="U913" s="3"/>
      <c r="V913" s="3"/>
    </row>
    <row r="914" ht="12.75" customHeight="1" spans="1:22" x14ac:dyDescent="0.25">
      <c r="A914" s="3"/>
      <c r="B914" s="3"/>
      <c r="C914" s="3"/>
      <c r="D914" s="3"/>
      <c r="E914" s="3"/>
      <c r="F914" s="3"/>
      <c r="G914" s="3"/>
      <c r="H914" s="3"/>
      <c r="I914" s="3"/>
      <c r="J914" s="3"/>
      <c r="K914" s="3"/>
      <c r="L914" s="3"/>
      <c r="M914" s="3"/>
      <c r="N914" s="3"/>
      <c r="O914" s="3"/>
      <c r="P914" s="3"/>
      <c r="Q914" s="3"/>
      <c r="R914" s="3"/>
      <c r="S914" s="3"/>
      <c r="T914" s="3"/>
      <c r="U914" s="3"/>
      <c r="V914" s="3"/>
    </row>
    <row r="915" ht="12.75" customHeight="1" spans="1:22" x14ac:dyDescent="0.25">
      <c r="A915" s="3"/>
      <c r="B915" s="3"/>
      <c r="C915" s="3"/>
      <c r="D915" s="3"/>
      <c r="E915" s="3"/>
      <c r="F915" s="3"/>
      <c r="G915" s="3"/>
      <c r="H915" s="3"/>
      <c r="I915" s="3"/>
      <c r="J915" s="3"/>
      <c r="K915" s="3"/>
      <c r="L915" s="3"/>
      <c r="M915" s="3"/>
      <c r="N915" s="3"/>
      <c r="O915" s="3"/>
      <c r="P915" s="3"/>
      <c r="Q915" s="3"/>
      <c r="R915" s="3"/>
      <c r="S915" s="3"/>
      <c r="T915" s="3"/>
      <c r="U915" s="3"/>
      <c r="V915" s="3"/>
    </row>
    <row r="916" ht="12.75" customHeight="1" spans="1:22" x14ac:dyDescent="0.25">
      <c r="A916" s="3"/>
      <c r="B916" s="3"/>
      <c r="C916" s="3"/>
      <c r="D916" s="3"/>
      <c r="E916" s="3"/>
      <c r="F916" s="3"/>
      <c r="G916" s="3"/>
      <c r="H916" s="3"/>
      <c r="I916" s="3"/>
      <c r="J916" s="3"/>
      <c r="K916" s="3"/>
      <c r="L916" s="3"/>
      <c r="M916" s="3"/>
      <c r="N916" s="3"/>
      <c r="O916" s="3"/>
      <c r="P916" s="3"/>
      <c r="Q916" s="3"/>
      <c r="R916" s="3"/>
      <c r="S916" s="3"/>
      <c r="T916" s="3"/>
      <c r="U916" s="3"/>
      <c r="V916" s="3"/>
    </row>
    <row r="917" ht="12.75" customHeight="1" spans="1:22" x14ac:dyDescent="0.25">
      <c r="A917" s="3"/>
      <c r="B917" s="3"/>
      <c r="C917" s="3"/>
      <c r="D917" s="3"/>
      <c r="E917" s="3"/>
      <c r="F917" s="3"/>
      <c r="G917" s="3"/>
      <c r="H917" s="3"/>
      <c r="I917" s="3"/>
      <c r="J917" s="3"/>
      <c r="K917" s="3"/>
      <c r="L917" s="3"/>
      <c r="M917" s="3"/>
      <c r="N917" s="3"/>
      <c r="O917" s="3"/>
      <c r="P917" s="3"/>
      <c r="Q917" s="3"/>
      <c r="R917" s="3"/>
      <c r="S917" s="3"/>
      <c r="T917" s="3"/>
      <c r="U917" s="3"/>
      <c r="V917" s="3"/>
    </row>
    <row r="918" ht="12.75" customHeight="1" spans="1:22" x14ac:dyDescent="0.25">
      <c r="A918" s="3"/>
      <c r="B918" s="3"/>
      <c r="C918" s="3"/>
      <c r="D918" s="3"/>
      <c r="E918" s="3"/>
      <c r="F918" s="3"/>
      <c r="G918" s="3"/>
      <c r="H918" s="3"/>
      <c r="I918" s="3"/>
      <c r="J918" s="3"/>
      <c r="K918" s="3"/>
      <c r="L918" s="3"/>
      <c r="M918" s="3"/>
      <c r="N918" s="3"/>
      <c r="O918" s="3"/>
      <c r="P918" s="3"/>
      <c r="Q918" s="3"/>
      <c r="R918" s="3"/>
      <c r="S918" s="3"/>
      <c r="T918" s="3"/>
      <c r="U918" s="3"/>
      <c r="V918" s="3"/>
    </row>
    <row r="919" ht="12.75" customHeight="1" spans="1:22" x14ac:dyDescent="0.25">
      <c r="A919" s="3"/>
      <c r="B919" s="3"/>
      <c r="C919" s="3"/>
      <c r="D919" s="3"/>
      <c r="E919" s="3"/>
      <c r="F919" s="3"/>
      <c r="G919" s="3"/>
      <c r="H919" s="3"/>
      <c r="I919" s="3"/>
      <c r="J919" s="3"/>
      <c r="K919" s="3"/>
      <c r="L919" s="3"/>
      <c r="M919" s="3"/>
      <c r="N919" s="3"/>
      <c r="O919" s="3"/>
      <c r="P919" s="3"/>
      <c r="Q919" s="3"/>
      <c r="R919" s="3"/>
      <c r="S919" s="3"/>
      <c r="T919" s="3"/>
      <c r="U919" s="3"/>
      <c r="V919" s="3"/>
    </row>
    <row r="920" ht="12.75" customHeight="1" spans="1:22" x14ac:dyDescent="0.25">
      <c r="A920" s="3"/>
      <c r="B920" s="3"/>
      <c r="C920" s="3"/>
      <c r="D920" s="3"/>
      <c r="E920" s="3"/>
      <c r="F920" s="3"/>
      <c r="G920" s="3"/>
      <c r="H920" s="3"/>
      <c r="I920" s="3"/>
      <c r="J920" s="3"/>
      <c r="K920" s="3"/>
      <c r="L920" s="3"/>
      <c r="M920" s="3"/>
      <c r="N920" s="3"/>
      <c r="O920" s="3"/>
      <c r="P920" s="3"/>
      <c r="Q920" s="3"/>
      <c r="R920" s="3"/>
      <c r="S920" s="3"/>
      <c r="T920" s="3"/>
      <c r="U920" s="3"/>
      <c r="V920" s="3"/>
    </row>
    <row r="921" ht="12.75" customHeight="1" spans="1:22" x14ac:dyDescent="0.25">
      <c r="A921" s="3"/>
      <c r="B921" s="3"/>
      <c r="C921" s="3"/>
      <c r="D921" s="3"/>
      <c r="E921" s="3"/>
      <c r="F921" s="3"/>
      <c r="G921" s="3"/>
      <c r="H921" s="3"/>
      <c r="I921" s="3"/>
      <c r="J921" s="3"/>
      <c r="K921" s="3"/>
      <c r="L921" s="3"/>
      <c r="M921" s="3"/>
      <c r="N921" s="3"/>
      <c r="O921" s="3"/>
      <c r="P921" s="3"/>
      <c r="Q921" s="3"/>
      <c r="R921" s="3"/>
      <c r="S921" s="3"/>
      <c r="T921" s="3"/>
      <c r="U921" s="3"/>
      <c r="V921" s="3"/>
    </row>
    <row r="922" ht="12.75" customHeight="1" spans="1:22" x14ac:dyDescent="0.25">
      <c r="A922" s="3"/>
      <c r="B922" s="3"/>
      <c r="C922" s="3"/>
      <c r="D922" s="3"/>
      <c r="E922" s="3"/>
      <c r="F922" s="3"/>
      <c r="G922" s="3"/>
      <c r="H922" s="3"/>
      <c r="I922" s="3"/>
      <c r="J922" s="3"/>
      <c r="K922" s="3"/>
      <c r="L922" s="3"/>
      <c r="M922" s="3"/>
      <c r="N922" s="3"/>
      <c r="O922" s="3"/>
      <c r="P922" s="3"/>
      <c r="Q922" s="3"/>
      <c r="R922" s="3"/>
      <c r="S922" s="3"/>
      <c r="T922" s="3"/>
      <c r="U922" s="3"/>
      <c r="V922" s="3"/>
    </row>
    <row r="923" ht="12.75" customHeight="1" spans="1:22" x14ac:dyDescent="0.25">
      <c r="A923" s="3"/>
      <c r="B923" s="3"/>
      <c r="C923" s="3"/>
      <c r="D923" s="3"/>
      <c r="E923" s="3"/>
      <c r="F923" s="3"/>
      <c r="G923" s="3"/>
      <c r="H923" s="3"/>
      <c r="I923" s="3"/>
      <c r="J923" s="3"/>
      <c r="K923" s="3"/>
      <c r="L923" s="3"/>
      <c r="M923" s="3"/>
      <c r="N923" s="3"/>
      <c r="O923" s="3"/>
      <c r="P923" s="3"/>
      <c r="Q923" s="3"/>
      <c r="R923" s="3"/>
      <c r="S923" s="3"/>
      <c r="T923" s="3"/>
      <c r="U923" s="3"/>
      <c r="V923" s="3"/>
    </row>
    <row r="924" ht="12.75" customHeight="1" spans="1:22" x14ac:dyDescent="0.25">
      <c r="A924" s="3"/>
      <c r="B924" s="3"/>
      <c r="C924" s="3"/>
      <c r="D924" s="3"/>
      <c r="E924" s="3"/>
      <c r="F924" s="3"/>
      <c r="G924" s="3"/>
      <c r="H924" s="3"/>
      <c r="I924" s="3"/>
      <c r="J924" s="3"/>
      <c r="K924" s="3"/>
      <c r="L924" s="3"/>
      <c r="M924" s="3"/>
      <c r="N924" s="3"/>
      <c r="O924" s="3"/>
      <c r="P924" s="3"/>
      <c r="Q924" s="3"/>
      <c r="R924" s="3"/>
      <c r="S924" s="3"/>
      <c r="T924" s="3"/>
      <c r="U924" s="3"/>
      <c r="V924" s="3"/>
    </row>
    <row r="925" ht="12.75" customHeight="1" spans="1:22" x14ac:dyDescent="0.25">
      <c r="A925" s="3"/>
      <c r="B925" s="3"/>
      <c r="C925" s="3"/>
      <c r="D925" s="3"/>
      <c r="E925" s="3"/>
      <c r="F925" s="3"/>
      <c r="G925" s="3"/>
      <c r="H925" s="3"/>
      <c r="I925" s="3"/>
      <c r="J925" s="3"/>
      <c r="K925" s="3"/>
      <c r="L925" s="3"/>
      <c r="M925" s="3"/>
      <c r="N925" s="3"/>
      <c r="O925" s="3"/>
      <c r="P925" s="3"/>
      <c r="Q925" s="3"/>
      <c r="R925" s="3"/>
      <c r="S925" s="3"/>
      <c r="T925" s="3"/>
      <c r="U925" s="3"/>
      <c r="V925" s="3"/>
    </row>
    <row r="926" ht="12.75" customHeight="1" spans="1:22" x14ac:dyDescent="0.25">
      <c r="A926" s="3"/>
      <c r="B926" s="3"/>
      <c r="C926" s="3"/>
      <c r="D926" s="3"/>
      <c r="E926" s="3"/>
      <c r="F926" s="3"/>
      <c r="G926" s="3"/>
      <c r="H926" s="3"/>
      <c r="I926" s="3"/>
      <c r="J926" s="3"/>
      <c r="K926" s="3"/>
      <c r="L926" s="3"/>
      <c r="M926" s="3"/>
      <c r="N926" s="3"/>
      <c r="O926" s="3"/>
      <c r="P926" s="3"/>
      <c r="Q926" s="3"/>
      <c r="R926" s="3"/>
      <c r="S926" s="3"/>
      <c r="T926" s="3"/>
      <c r="U926" s="3"/>
      <c r="V926" s="3"/>
    </row>
    <row r="927" ht="12.75" customHeight="1" spans="1:22" x14ac:dyDescent="0.25">
      <c r="A927" s="3"/>
      <c r="B927" s="3"/>
      <c r="C927" s="3"/>
      <c r="D927" s="3"/>
      <c r="E927" s="3"/>
      <c r="F927" s="3"/>
      <c r="G927" s="3"/>
      <c r="H927" s="3"/>
      <c r="I927" s="3"/>
      <c r="J927" s="3"/>
      <c r="K927" s="3"/>
      <c r="L927" s="3"/>
      <c r="M927" s="3"/>
      <c r="N927" s="3"/>
      <c r="O927" s="3"/>
      <c r="P927" s="3"/>
      <c r="Q927" s="3"/>
      <c r="R927" s="3"/>
      <c r="S927" s="3"/>
      <c r="T927" s="3"/>
      <c r="U927" s="3"/>
      <c r="V927" s="3"/>
    </row>
    <row r="928" ht="12.75" customHeight="1" spans="1:22" x14ac:dyDescent="0.25">
      <c r="A928" s="3"/>
      <c r="B928" s="3"/>
      <c r="C928" s="3"/>
      <c r="D928" s="3"/>
      <c r="E928" s="3"/>
      <c r="F928" s="3"/>
      <c r="G928" s="3"/>
      <c r="H928" s="3"/>
      <c r="I928" s="3"/>
      <c r="J928" s="3"/>
      <c r="K928" s="3"/>
      <c r="L928" s="3"/>
      <c r="M928" s="3"/>
      <c r="N928" s="3"/>
      <c r="O928" s="3"/>
      <c r="P928" s="3"/>
      <c r="Q928" s="3"/>
      <c r="R928" s="3"/>
      <c r="S928" s="3"/>
      <c r="T928" s="3"/>
      <c r="U928" s="3"/>
      <c r="V928" s="3"/>
    </row>
    <row r="929" ht="12.75" customHeight="1" spans="1:22" x14ac:dyDescent="0.25">
      <c r="A929" s="3"/>
      <c r="B929" s="3"/>
      <c r="C929" s="3"/>
      <c r="D929" s="3"/>
      <c r="E929" s="3"/>
      <c r="F929" s="3"/>
      <c r="G929" s="3"/>
      <c r="H929" s="3"/>
      <c r="I929" s="3"/>
      <c r="J929" s="3"/>
      <c r="K929" s="3"/>
      <c r="L929" s="3"/>
      <c r="M929" s="3"/>
      <c r="N929" s="3"/>
      <c r="O929" s="3"/>
      <c r="P929" s="3"/>
      <c r="Q929" s="3"/>
      <c r="R929" s="3"/>
      <c r="S929" s="3"/>
      <c r="T929" s="3"/>
      <c r="U929" s="3"/>
      <c r="V929" s="3"/>
    </row>
    <row r="930" ht="12.75" customHeight="1" spans="1:22" x14ac:dyDescent="0.25">
      <c r="A930" s="3"/>
      <c r="B930" s="3"/>
      <c r="C930" s="3"/>
      <c r="D930" s="3"/>
      <c r="E930" s="3"/>
      <c r="F930" s="3"/>
      <c r="G930" s="3"/>
      <c r="H930" s="3"/>
      <c r="I930" s="3"/>
      <c r="J930" s="3"/>
      <c r="K930" s="3"/>
      <c r="L930" s="3"/>
      <c r="M930" s="3"/>
      <c r="N930" s="3"/>
      <c r="O930" s="3"/>
      <c r="P930" s="3"/>
      <c r="Q930" s="3"/>
      <c r="R930" s="3"/>
      <c r="S930" s="3"/>
      <c r="T930" s="3"/>
      <c r="U930" s="3"/>
      <c r="V930" s="3"/>
    </row>
    <row r="931" ht="12.75" customHeight="1" spans="1:22" x14ac:dyDescent="0.25">
      <c r="A931" s="3"/>
      <c r="B931" s="3"/>
      <c r="C931" s="3"/>
      <c r="D931" s="3"/>
      <c r="E931" s="3"/>
      <c r="F931" s="3"/>
      <c r="G931" s="3"/>
      <c r="H931" s="3"/>
      <c r="I931" s="3"/>
      <c r="J931" s="3"/>
      <c r="K931" s="3"/>
      <c r="L931" s="3"/>
      <c r="M931" s="3"/>
      <c r="N931" s="3"/>
      <c r="O931" s="3"/>
      <c r="P931" s="3"/>
      <c r="Q931" s="3"/>
      <c r="R931" s="3"/>
      <c r="S931" s="3"/>
      <c r="T931" s="3"/>
      <c r="U931" s="3"/>
      <c r="V931" s="3"/>
    </row>
    <row r="932" ht="12.75" customHeight="1" spans="1:22" x14ac:dyDescent="0.25">
      <c r="A932" s="3"/>
      <c r="B932" s="3"/>
      <c r="C932" s="3"/>
      <c r="D932" s="3"/>
      <c r="E932" s="3"/>
      <c r="F932" s="3"/>
      <c r="G932" s="3"/>
      <c r="H932" s="3"/>
      <c r="I932" s="3"/>
      <c r="J932" s="3"/>
      <c r="K932" s="3"/>
      <c r="L932" s="3"/>
      <c r="M932" s="3"/>
      <c r="N932" s="3"/>
      <c r="O932" s="3"/>
      <c r="P932" s="3"/>
      <c r="Q932" s="3"/>
      <c r="R932" s="3"/>
      <c r="S932" s="3"/>
      <c r="T932" s="3"/>
      <c r="U932" s="3"/>
      <c r="V932" s="3"/>
    </row>
    <row r="933" ht="12.75" customHeight="1" spans="1:22" x14ac:dyDescent="0.25">
      <c r="A933" s="3"/>
      <c r="B933" s="3"/>
      <c r="C933" s="3"/>
      <c r="D933" s="3"/>
      <c r="E933" s="3"/>
      <c r="F933" s="3"/>
      <c r="G933" s="3"/>
      <c r="H933" s="3"/>
      <c r="I933" s="3"/>
      <c r="J933" s="3"/>
      <c r="K933" s="3"/>
      <c r="L933" s="3"/>
      <c r="M933" s="3"/>
      <c r="N933" s="3"/>
      <c r="O933" s="3"/>
      <c r="P933" s="3"/>
      <c r="Q933" s="3"/>
      <c r="R933" s="3"/>
      <c r="S933" s="3"/>
      <c r="T933" s="3"/>
      <c r="U933" s="3"/>
      <c r="V933" s="3"/>
    </row>
    <row r="934" ht="12.75" customHeight="1" spans="1:22" x14ac:dyDescent="0.25">
      <c r="A934" s="3"/>
      <c r="B934" s="3"/>
      <c r="C934" s="3"/>
      <c r="D934" s="3"/>
      <c r="E934" s="3"/>
      <c r="F934" s="3"/>
      <c r="G934" s="3"/>
      <c r="H934" s="3"/>
      <c r="I934" s="3"/>
      <c r="J934" s="3"/>
      <c r="K934" s="3"/>
      <c r="L934" s="3"/>
      <c r="M934" s="3"/>
      <c r="N934" s="3"/>
      <c r="O934" s="3"/>
      <c r="P934" s="3"/>
      <c r="Q934" s="3"/>
      <c r="R934" s="3"/>
      <c r="S934" s="3"/>
      <c r="T934" s="3"/>
      <c r="U934" s="3"/>
      <c r="V934" s="3"/>
    </row>
    <row r="935" ht="12.75" customHeight="1" spans="1:22" x14ac:dyDescent="0.25">
      <c r="A935" s="3"/>
      <c r="B935" s="3"/>
      <c r="C935" s="3"/>
      <c r="D935" s="3"/>
      <c r="E935" s="3"/>
      <c r="F935" s="3"/>
      <c r="G935" s="3"/>
      <c r="H935" s="3"/>
      <c r="I935" s="3"/>
      <c r="J935" s="3"/>
      <c r="K935" s="3"/>
      <c r="L935" s="3"/>
      <c r="M935" s="3"/>
      <c r="N935" s="3"/>
      <c r="O935" s="3"/>
      <c r="P935" s="3"/>
      <c r="Q935" s="3"/>
      <c r="R935" s="3"/>
      <c r="S935" s="3"/>
      <c r="T935" s="3"/>
      <c r="U935" s="3"/>
      <c r="V935" s="3"/>
    </row>
    <row r="936" ht="12.75" customHeight="1" spans="1:22" x14ac:dyDescent="0.25">
      <c r="A936" s="3"/>
      <c r="B936" s="3"/>
      <c r="C936" s="3"/>
      <c r="D936" s="3"/>
      <c r="E936" s="3"/>
      <c r="F936" s="3"/>
      <c r="G936" s="3"/>
      <c r="H936" s="3"/>
      <c r="I936" s="3"/>
      <c r="J936" s="3"/>
      <c r="K936" s="3"/>
      <c r="L936" s="3"/>
      <c r="M936" s="3"/>
      <c r="N936" s="3"/>
      <c r="O936" s="3"/>
      <c r="P936" s="3"/>
      <c r="Q936" s="3"/>
      <c r="R936" s="3"/>
      <c r="S936" s="3"/>
      <c r="T936" s="3"/>
      <c r="U936" s="3"/>
      <c r="V936" s="3"/>
    </row>
    <row r="937" ht="12.75" customHeight="1" spans="1:22" x14ac:dyDescent="0.25">
      <c r="A937" s="3"/>
      <c r="B937" s="3"/>
      <c r="C937" s="3"/>
      <c r="D937" s="3"/>
      <c r="E937" s="3"/>
      <c r="F937" s="3"/>
      <c r="G937" s="3"/>
      <c r="H937" s="3"/>
      <c r="I937" s="3"/>
      <c r="J937" s="3"/>
      <c r="K937" s="3"/>
      <c r="L937" s="3"/>
      <c r="M937" s="3"/>
      <c r="N937" s="3"/>
      <c r="O937" s="3"/>
      <c r="P937" s="3"/>
      <c r="Q937" s="3"/>
      <c r="R937" s="3"/>
      <c r="S937" s="3"/>
      <c r="T937" s="3"/>
      <c r="U937" s="3"/>
      <c r="V937" s="3"/>
    </row>
    <row r="938" ht="12.75" customHeight="1" spans="1:22" x14ac:dyDescent="0.25">
      <c r="A938" s="3"/>
      <c r="B938" s="3"/>
      <c r="C938" s="3"/>
      <c r="D938" s="3"/>
      <c r="E938" s="3"/>
      <c r="F938" s="3"/>
      <c r="G938" s="3"/>
      <c r="H938" s="3"/>
      <c r="I938" s="3"/>
      <c r="J938" s="3"/>
      <c r="K938" s="3"/>
      <c r="L938" s="3"/>
      <c r="M938" s="3"/>
      <c r="N938" s="3"/>
      <c r="O938" s="3"/>
      <c r="P938" s="3"/>
      <c r="Q938" s="3"/>
      <c r="R938" s="3"/>
      <c r="S938" s="3"/>
      <c r="T938" s="3"/>
      <c r="U938" s="3"/>
      <c r="V938" s="3"/>
    </row>
    <row r="939" ht="12.75" customHeight="1" spans="1:22" x14ac:dyDescent="0.25">
      <c r="A939" s="3"/>
      <c r="B939" s="3"/>
      <c r="C939" s="3"/>
      <c r="D939" s="3"/>
      <c r="E939" s="3"/>
      <c r="F939" s="3"/>
      <c r="G939" s="3"/>
      <c r="H939" s="3"/>
      <c r="I939" s="3"/>
      <c r="J939" s="3"/>
      <c r="K939" s="3"/>
      <c r="L939" s="3"/>
      <c r="M939" s="3"/>
      <c r="N939" s="3"/>
      <c r="O939" s="3"/>
      <c r="P939" s="3"/>
      <c r="Q939" s="3"/>
      <c r="R939" s="3"/>
      <c r="S939" s="3"/>
      <c r="T939" s="3"/>
      <c r="U939" s="3"/>
      <c r="V939" s="3"/>
    </row>
    <row r="940" ht="12.75" customHeight="1" spans="1:22" x14ac:dyDescent="0.25">
      <c r="A940" s="3"/>
      <c r="B940" s="3"/>
      <c r="C940" s="3"/>
      <c r="D940" s="3"/>
      <c r="E940" s="3"/>
      <c r="F940" s="3"/>
      <c r="G940" s="3"/>
      <c r="H940" s="3"/>
      <c r="I940" s="3"/>
      <c r="J940" s="3"/>
      <c r="K940" s="3"/>
      <c r="L940" s="3"/>
      <c r="M940" s="3"/>
      <c r="N940" s="3"/>
      <c r="O940" s="3"/>
      <c r="P940" s="3"/>
      <c r="Q940" s="3"/>
      <c r="R940" s="3"/>
      <c r="S940" s="3"/>
      <c r="T940" s="3"/>
      <c r="U940" s="3"/>
      <c r="V940" s="3"/>
    </row>
    <row r="941" ht="12.75" customHeight="1" spans="1:22" x14ac:dyDescent="0.25">
      <c r="A941" s="3"/>
      <c r="B941" s="3"/>
      <c r="C941" s="3"/>
      <c r="D941" s="3"/>
      <c r="E941" s="3"/>
      <c r="F941" s="3"/>
      <c r="G941" s="3"/>
      <c r="H941" s="3"/>
      <c r="I941" s="3"/>
      <c r="J941" s="3"/>
      <c r="K941" s="3"/>
      <c r="L941" s="3"/>
      <c r="M941" s="3"/>
      <c r="N941" s="3"/>
      <c r="O941" s="3"/>
      <c r="P941" s="3"/>
      <c r="Q941" s="3"/>
      <c r="R941" s="3"/>
      <c r="S941" s="3"/>
      <c r="T941" s="3"/>
      <c r="U941" s="3"/>
      <c r="V941" s="3"/>
    </row>
    <row r="942" ht="12.75" customHeight="1" spans="1:22" x14ac:dyDescent="0.25">
      <c r="A942" s="3"/>
      <c r="B942" s="3"/>
      <c r="C942" s="3"/>
      <c r="D942" s="3"/>
      <c r="E942" s="3"/>
      <c r="F942" s="3"/>
      <c r="G942" s="3"/>
      <c r="H942" s="3"/>
      <c r="I942" s="3"/>
      <c r="J942" s="3"/>
      <c r="K942" s="3"/>
      <c r="L942" s="3"/>
      <c r="M942" s="3"/>
      <c r="N942" s="3"/>
      <c r="O942" s="3"/>
      <c r="P942" s="3"/>
      <c r="Q942" s="3"/>
      <c r="R942" s="3"/>
      <c r="S942" s="3"/>
      <c r="T942" s="3"/>
      <c r="U942" s="3"/>
      <c r="V942" s="3"/>
    </row>
    <row r="943" ht="12.75" customHeight="1" spans="1:22" x14ac:dyDescent="0.25">
      <c r="A943" s="3"/>
      <c r="B943" s="3"/>
      <c r="C943" s="3"/>
      <c r="D943" s="3"/>
      <c r="E943" s="3"/>
      <c r="F943" s="3"/>
      <c r="G943" s="3"/>
      <c r="H943" s="3"/>
      <c r="I943" s="3"/>
      <c r="J943" s="3"/>
      <c r="K943" s="3"/>
      <c r="L943" s="3"/>
      <c r="M943" s="3"/>
      <c r="N943" s="3"/>
      <c r="O943" s="3"/>
      <c r="P943" s="3"/>
      <c r="Q943" s="3"/>
      <c r="R943" s="3"/>
      <c r="S943" s="3"/>
      <c r="T943" s="3"/>
      <c r="U943" s="3"/>
      <c r="V943" s="3"/>
    </row>
    <row r="944" ht="12.75" customHeight="1" spans="1:22" x14ac:dyDescent="0.25">
      <c r="A944" s="3"/>
      <c r="B944" s="3"/>
      <c r="C944" s="3"/>
      <c r="D944" s="3"/>
      <c r="E944" s="3"/>
      <c r="F944" s="3"/>
      <c r="G944" s="3"/>
      <c r="H944" s="3"/>
      <c r="I944" s="3"/>
      <c r="J944" s="3"/>
      <c r="K944" s="3"/>
      <c r="L944" s="3"/>
      <c r="M944" s="3"/>
      <c r="N944" s="3"/>
      <c r="O944" s="3"/>
      <c r="P944" s="3"/>
      <c r="Q944" s="3"/>
      <c r="R944" s="3"/>
      <c r="S944" s="3"/>
      <c r="T944" s="3"/>
      <c r="U944" s="3"/>
      <c r="V944" s="3"/>
    </row>
    <row r="945" ht="12.75" customHeight="1" spans="1:22" x14ac:dyDescent="0.25">
      <c r="A945" s="3"/>
      <c r="B945" s="3"/>
      <c r="C945" s="3"/>
      <c r="D945" s="3"/>
      <c r="E945" s="3"/>
      <c r="F945" s="3"/>
      <c r="G945" s="3"/>
      <c r="H945" s="3"/>
      <c r="I945" s="3"/>
      <c r="J945" s="3"/>
      <c r="K945" s="3"/>
      <c r="L945" s="3"/>
      <c r="M945" s="3"/>
      <c r="N945" s="3"/>
      <c r="O945" s="3"/>
      <c r="P945" s="3"/>
      <c r="Q945" s="3"/>
      <c r="R945" s="3"/>
      <c r="S945" s="3"/>
      <c r="T945" s="3"/>
      <c r="U945" s="3"/>
      <c r="V945" s="3"/>
    </row>
    <row r="946" ht="12.75" customHeight="1" spans="1:22" x14ac:dyDescent="0.25">
      <c r="A946" s="3"/>
      <c r="B946" s="3"/>
      <c r="C946" s="3"/>
      <c r="D946" s="3"/>
      <c r="E946" s="3"/>
      <c r="F946" s="3"/>
      <c r="G946" s="3"/>
      <c r="H946" s="3"/>
      <c r="I946" s="3"/>
      <c r="J946" s="3"/>
      <c r="K946" s="3"/>
      <c r="L946" s="3"/>
      <c r="M946" s="3"/>
      <c r="N946" s="3"/>
      <c r="O946" s="3"/>
      <c r="P946" s="3"/>
      <c r="Q946" s="3"/>
      <c r="R946" s="3"/>
      <c r="S946" s="3"/>
      <c r="T946" s="3"/>
      <c r="U946" s="3"/>
      <c r="V946" s="3"/>
    </row>
    <row r="947" ht="12.75" customHeight="1" spans="1:22" x14ac:dyDescent="0.25">
      <c r="A947" s="3"/>
      <c r="B947" s="3"/>
      <c r="C947" s="3"/>
      <c r="D947" s="3"/>
      <c r="E947" s="3"/>
      <c r="F947" s="3"/>
      <c r="G947" s="3"/>
      <c r="H947" s="3"/>
      <c r="I947" s="3"/>
      <c r="J947" s="3"/>
      <c r="K947" s="3"/>
      <c r="L947" s="3"/>
      <c r="M947" s="3"/>
      <c r="N947" s="3"/>
      <c r="O947" s="3"/>
      <c r="P947" s="3"/>
      <c r="Q947" s="3"/>
      <c r="R947" s="3"/>
      <c r="S947" s="3"/>
      <c r="T947" s="3"/>
      <c r="U947" s="3"/>
      <c r="V947" s="3"/>
    </row>
    <row r="948" ht="12.75" customHeight="1" spans="1:22" x14ac:dyDescent="0.25">
      <c r="A948" s="3"/>
      <c r="B948" s="3"/>
      <c r="C948" s="3"/>
      <c r="D948" s="3"/>
      <c r="E948" s="3"/>
      <c r="F948" s="3"/>
      <c r="G948" s="3"/>
      <c r="H948" s="3"/>
      <c r="I948" s="3"/>
      <c r="J948" s="3"/>
      <c r="K948" s="3"/>
      <c r="L948" s="3"/>
      <c r="M948" s="3"/>
      <c r="N948" s="3"/>
      <c r="O948" s="3"/>
      <c r="P948" s="3"/>
      <c r="Q948" s="3"/>
      <c r="R948" s="3"/>
      <c r="S948" s="3"/>
      <c r="T948" s="3"/>
      <c r="U948" s="3"/>
      <c r="V948" s="3"/>
    </row>
    <row r="949" ht="12.75" customHeight="1" spans="1:22" x14ac:dyDescent="0.25">
      <c r="A949" s="3"/>
      <c r="B949" s="3"/>
      <c r="C949" s="3"/>
      <c r="D949" s="3"/>
      <c r="E949" s="3"/>
      <c r="F949" s="3"/>
      <c r="G949" s="3"/>
      <c r="H949" s="3"/>
      <c r="I949" s="3"/>
      <c r="J949" s="3"/>
      <c r="K949" s="3"/>
      <c r="L949" s="3"/>
      <c r="M949" s="3"/>
      <c r="N949" s="3"/>
      <c r="O949" s="3"/>
      <c r="P949" s="3"/>
      <c r="Q949" s="3"/>
      <c r="R949" s="3"/>
      <c r="S949" s="3"/>
      <c r="T949" s="3"/>
      <c r="U949" s="3"/>
      <c r="V949" s="3"/>
    </row>
    <row r="950" ht="12.75" customHeight="1" spans="1:22" x14ac:dyDescent="0.25">
      <c r="A950" s="3"/>
      <c r="B950" s="3"/>
      <c r="C950" s="3"/>
      <c r="D950" s="3"/>
      <c r="E950" s="3"/>
      <c r="F950" s="3"/>
      <c r="G950" s="3"/>
      <c r="H950" s="3"/>
      <c r="I950" s="3"/>
      <c r="J950" s="3"/>
      <c r="K950" s="3"/>
      <c r="L950" s="3"/>
      <c r="M950" s="3"/>
      <c r="N950" s="3"/>
      <c r="O950" s="3"/>
      <c r="P950" s="3"/>
      <c r="Q950" s="3"/>
      <c r="R950" s="3"/>
      <c r="S950" s="3"/>
      <c r="T950" s="3"/>
      <c r="U950" s="3"/>
      <c r="V950" s="3"/>
    </row>
    <row r="951" ht="12.75" customHeight="1" spans="1:22" x14ac:dyDescent="0.25">
      <c r="A951" s="3"/>
      <c r="B951" s="3"/>
      <c r="C951" s="3"/>
      <c r="D951" s="3"/>
      <c r="E951" s="3"/>
      <c r="F951" s="3"/>
      <c r="G951" s="3"/>
      <c r="H951" s="3"/>
      <c r="I951" s="3"/>
      <c r="J951" s="3"/>
      <c r="K951" s="3"/>
      <c r="L951" s="3"/>
      <c r="M951" s="3"/>
      <c r="N951" s="3"/>
      <c r="O951" s="3"/>
      <c r="P951" s="3"/>
      <c r="Q951" s="3"/>
      <c r="R951" s="3"/>
      <c r="S951" s="3"/>
      <c r="T951" s="3"/>
      <c r="U951" s="3"/>
      <c r="V951" s="3"/>
    </row>
    <row r="952" ht="12.75" customHeight="1" spans="1:22" x14ac:dyDescent="0.25">
      <c r="A952" s="3"/>
      <c r="B952" s="3"/>
      <c r="C952" s="3"/>
      <c r="D952" s="3"/>
      <c r="E952" s="3"/>
      <c r="F952" s="3"/>
      <c r="G952" s="3"/>
      <c r="H952" s="3"/>
      <c r="I952" s="3"/>
      <c r="J952" s="3"/>
      <c r="K952" s="3"/>
      <c r="L952" s="3"/>
      <c r="M952" s="3"/>
      <c r="N952" s="3"/>
      <c r="O952" s="3"/>
      <c r="P952" s="3"/>
      <c r="Q952" s="3"/>
      <c r="R952" s="3"/>
      <c r="S952" s="3"/>
      <c r="T952" s="3"/>
      <c r="U952" s="3"/>
      <c r="V952" s="3"/>
    </row>
    <row r="953" ht="12.75" customHeight="1" spans="1:22" x14ac:dyDescent="0.25">
      <c r="A953" s="3"/>
      <c r="B953" s="3"/>
      <c r="C953" s="3"/>
      <c r="D953" s="3"/>
      <c r="E953" s="3"/>
      <c r="F953" s="3"/>
      <c r="G953" s="3"/>
      <c r="H953" s="3"/>
      <c r="I953" s="3"/>
      <c r="J953" s="3"/>
      <c r="K953" s="3"/>
      <c r="L953" s="3"/>
      <c r="M953" s="3"/>
      <c r="N953" s="3"/>
      <c r="O953" s="3"/>
      <c r="P953" s="3"/>
      <c r="Q953" s="3"/>
      <c r="R953" s="3"/>
      <c r="S953" s="3"/>
      <c r="T953" s="3"/>
      <c r="U953" s="3"/>
      <c r="V953" s="3"/>
    </row>
    <row r="954" ht="12.75" customHeight="1" spans="1:22" x14ac:dyDescent="0.25">
      <c r="A954" s="3"/>
      <c r="B954" s="3"/>
      <c r="C954" s="3"/>
      <c r="D954" s="3"/>
      <c r="E954" s="3"/>
      <c r="F954" s="3"/>
      <c r="G954" s="3"/>
      <c r="H954" s="3"/>
      <c r="I954" s="3"/>
      <c r="J954" s="3"/>
      <c r="K954" s="3"/>
      <c r="L954" s="3"/>
      <c r="M954" s="3"/>
      <c r="N954" s="3"/>
      <c r="O954" s="3"/>
      <c r="P954" s="3"/>
      <c r="Q954" s="3"/>
      <c r="R954" s="3"/>
      <c r="S954" s="3"/>
      <c r="T954" s="3"/>
      <c r="U954" s="3"/>
      <c r="V954" s="3"/>
    </row>
    <row r="955" ht="12.75" customHeight="1" spans="1:22" x14ac:dyDescent="0.25">
      <c r="A955" s="3"/>
      <c r="B955" s="3"/>
      <c r="C955" s="3"/>
      <c r="D955" s="3"/>
      <c r="E955" s="3"/>
      <c r="F955" s="3"/>
      <c r="G955" s="3"/>
      <c r="H955" s="3"/>
      <c r="I955" s="3"/>
      <c r="J955" s="3"/>
      <c r="K955" s="3"/>
      <c r="L955" s="3"/>
      <c r="M955" s="3"/>
      <c r="N955" s="3"/>
      <c r="O955" s="3"/>
      <c r="P955" s="3"/>
      <c r="Q955" s="3"/>
      <c r="R955" s="3"/>
      <c r="S955" s="3"/>
      <c r="T955" s="3"/>
      <c r="U955" s="3"/>
      <c r="V955" s="3"/>
    </row>
    <row r="956" ht="12.75" customHeight="1" spans="1:22" x14ac:dyDescent="0.25">
      <c r="A956" s="3"/>
      <c r="B956" s="3"/>
      <c r="C956" s="3"/>
      <c r="D956" s="3"/>
      <c r="E956" s="3"/>
      <c r="F956" s="3"/>
      <c r="G956" s="3"/>
      <c r="H956" s="3"/>
      <c r="I956" s="3"/>
      <c r="J956" s="3"/>
      <c r="K956" s="3"/>
      <c r="L956" s="3"/>
      <c r="M956" s="3"/>
      <c r="N956" s="3"/>
      <c r="O956" s="3"/>
      <c r="P956" s="3"/>
      <c r="Q956" s="3"/>
      <c r="R956" s="3"/>
      <c r="S956" s="3"/>
      <c r="T956" s="3"/>
      <c r="U956" s="3"/>
      <c r="V956" s="3"/>
    </row>
    <row r="957" ht="12.75" customHeight="1" spans="1:22" x14ac:dyDescent="0.25">
      <c r="A957" s="3"/>
      <c r="B957" s="3"/>
      <c r="C957" s="3"/>
      <c r="D957" s="3"/>
      <c r="E957" s="3"/>
      <c r="F957" s="3"/>
      <c r="G957" s="3"/>
      <c r="H957" s="3"/>
      <c r="I957" s="3"/>
      <c r="J957" s="3"/>
      <c r="K957" s="3"/>
      <c r="L957" s="3"/>
      <c r="M957" s="3"/>
      <c r="N957" s="3"/>
      <c r="O957" s="3"/>
      <c r="P957" s="3"/>
      <c r="Q957" s="3"/>
      <c r="R957" s="3"/>
      <c r="S957" s="3"/>
      <c r="T957" s="3"/>
      <c r="U957" s="3"/>
      <c r="V957" s="3"/>
    </row>
    <row r="958" ht="12.75" customHeight="1" spans="1:22" x14ac:dyDescent="0.25">
      <c r="A958" s="3"/>
      <c r="B958" s="3"/>
      <c r="C958" s="3"/>
      <c r="D958" s="3"/>
      <c r="E958" s="3"/>
      <c r="F958" s="3"/>
      <c r="G958" s="3"/>
      <c r="H958" s="3"/>
      <c r="I958" s="3"/>
      <c r="J958" s="3"/>
      <c r="K958" s="3"/>
      <c r="L958" s="3"/>
      <c r="M958" s="3"/>
      <c r="N958" s="3"/>
      <c r="O958" s="3"/>
      <c r="P958" s="3"/>
      <c r="Q958" s="3"/>
      <c r="R958" s="3"/>
      <c r="S958" s="3"/>
      <c r="T958" s="3"/>
      <c r="U958" s="3"/>
      <c r="V958" s="3"/>
    </row>
    <row r="959" ht="12.75" customHeight="1" spans="1:22" x14ac:dyDescent="0.25">
      <c r="A959" s="3"/>
      <c r="B959" s="3"/>
      <c r="C959" s="3"/>
      <c r="D959" s="3"/>
      <c r="E959" s="3"/>
      <c r="F959" s="3"/>
      <c r="G959" s="3"/>
      <c r="H959" s="3"/>
      <c r="I959" s="3"/>
      <c r="J959" s="3"/>
      <c r="K959" s="3"/>
      <c r="L959" s="3"/>
      <c r="M959" s="3"/>
      <c r="N959" s="3"/>
      <c r="O959" s="3"/>
      <c r="P959" s="3"/>
      <c r="Q959" s="3"/>
      <c r="R959" s="3"/>
      <c r="S959" s="3"/>
      <c r="T959" s="3"/>
      <c r="U959" s="3"/>
      <c r="V959" s="3"/>
    </row>
    <row r="960" ht="12.75" customHeight="1" spans="1:22" x14ac:dyDescent="0.25">
      <c r="A960" s="3"/>
      <c r="B960" s="3"/>
      <c r="C960" s="3"/>
      <c r="D960" s="3"/>
      <c r="E960" s="3"/>
      <c r="F960" s="3"/>
      <c r="G960" s="3"/>
      <c r="H960" s="3"/>
      <c r="I960" s="3"/>
      <c r="J960" s="3"/>
      <c r="K960" s="3"/>
      <c r="L960" s="3"/>
      <c r="M960" s="3"/>
      <c r="N960" s="3"/>
      <c r="O960" s="3"/>
      <c r="P960" s="3"/>
      <c r="Q960" s="3"/>
      <c r="R960" s="3"/>
      <c r="S960" s="3"/>
      <c r="T960" s="3"/>
      <c r="U960" s="3"/>
      <c r="V960" s="3"/>
    </row>
    <row r="961" ht="12.75" customHeight="1" spans="1:22" x14ac:dyDescent="0.25">
      <c r="A961" s="3"/>
      <c r="B961" s="3"/>
      <c r="C961" s="3"/>
      <c r="D961" s="3"/>
      <c r="E961" s="3"/>
      <c r="F961" s="3"/>
      <c r="G961" s="3"/>
      <c r="H961" s="3"/>
      <c r="I961" s="3"/>
      <c r="J961" s="3"/>
      <c r="K961" s="3"/>
      <c r="L961" s="3"/>
      <c r="M961" s="3"/>
      <c r="N961" s="3"/>
      <c r="O961" s="3"/>
      <c r="P961" s="3"/>
      <c r="Q961" s="3"/>
      <c r="R961" s="3"/>
      <c r="S961" s="3"/>
      <c r="T961" s="3"/>
      <c r="U961" s="3"/>
      <c r="V961" s="3"/>
    </row>
    <row r="962" ht="12.75" customHeight="1" spans="1:22" x14ac:dyDescent="0.25">
      <c r="A962" s="3"/>
      <c r="B962" s="3"/>
      <c r="C962" s="3"/>
      <c r="D962" s="3"/>
      <c r="E962" s="3"/>
      <c r="F962" s="3"/>
      <c r="G962" s="3"/>
      <c r="H962" s="3"/>
      <c r="I962" s="3"/>
      <c r="J962" s="3"/>
      <c r="K962" s="3"/>
      <c r="L962" s="3"/>
      <c r="M962" s="3"/>
      <c r="N962" s="3"/>
      <c r="O962" s="3"/>
      <c r="P962" s="3"/>
      <c r="Q962" s="3"/>
      <c r="R962" s="3"/>
      <c r="S962" s="3"/>
      <c r="T962" s="3"/>
      <c r="U962" s="3"/>
      <c r="V962" s="3"/>
    </row>
    <row r="963" ht="12.75" customHeight="1" spans="1:22" x14ac:dyDescent="0.25">
      <c r="A963" s="3"/>
      <c r="B963" s="3"/>
      <c r="C963" s="3"/>
      <c r="D963" s="3"/>
      <c r="E963" s="3"/>
      <c r="F963" s="3"/>
      <c r="G963" s="3"/>
      <c r="H963" s="3"/>
      <c r="I963" s="3"/>
      <c r="J963" s="3"/>
      <c r="K963" s="3"/>
      <c r="L963" s="3"/>
      <c r="M963" s="3"/>
      <c r="N963" s="3"/>
      <c r="O963" s="3"/>
      <c r="P963" s="3"/>
      <c r="Q963" s="3"/>
      <c r="R963" s="3"/>
      <c r="S963" s="3"/>
      <c r="T963" s="3"/>
      <c r="U963" s="3"/>
      <c r="V963" s="3"/>
    </row>
    <row r="964" ht="12.75" customHeight="1" spans="1:22" x14ac:dyDescent="0.25">
      <c r="A964" s="3"/>
      <c r="B964" s="3"/>
      <c r="C964" s="3"/>
      <c r="D964" s="3"/>
      <c r="E964" s="3"/>
      <c r="F964" s="3"/>
      <c r="G964" s="3"/>
      <c r="H964" s="3"/>
      <c r="I964" s="3"/>
      <c r="J964" s="3"/>
      <c r="K964" s="3"/>
      <c r="L964" s="3"/>
      <c r="M964" s="3"/>
      <c r="N964" s="3"/>
      <c r="O964" s="3"/>
      <c r="P964" s="3"/>
      <c r="Q964" s="3"/>
      <c r="R964" s="3"/>
      <c r="S964" s="3"/>
      <c r="T964" s="3"/>
      <c r="U964" s="3"/>
      <c r="V964" s="3"/>
    </row>
    <row r="965" ht="12.75" customHeight="1" spans="1:22" x14ac:dyDescent="0.25">
      <c r="A965" s="3"/>
      <c r="B965" s="3"/>
      <c r="C965" s="3"/>
      <c r="D965" s="3"/>
      <c r="E965" s="3"/>
      <c r="F965" s="3"/>
      <c r="G965" s="3"/>
      <c r="H965" s="3"/>
      <c r="I965" s="3"/>
      <c r="J965" s="3"/>
      <c r="K965" s="3"/>
      <c r="L965" s="3"/>
      <c r="M965" s="3"/>
      <c r="N965" s="3"/>
      <c r="O965" s="3"/>
      <c r="P965" s="3"/>
      <c r="Q965" s="3"/>
      <c r="R965" s="3"/>
      <c r="S965" s="3"/>
      <c r="T965" s="3"/>
      <c r="U965" s="3"/>
      <c r="V965" s="3"/>
    </row>
    <row r="966" ht="12.75" customHeight="1" spans="1:22" x14ac:dyDescent="0.25">
      <c r="A966" s="3"/>
      <c r="B966" s="3"/>
      <c r="C966" s="3"/>
      <c r="D966" s="3"/>
      <c r="E966" s="3"/>
      <c r="F966" s="3"/>
      <c r="G966" s="3"/>
      <c r="H966" s="3"/>
      <c r="I966" s="3"/>
      <c r="J966" s="3"/>
      <c r="K966" s="3"/>
      <c r="L966" s="3"/>
      <c r="M966" s="3"/>
      <c r="N966" s="3"/>
      <c r="O966" s="3"/>
      <c r="P966" s="3"/>
      <c r="Q966" s="3"/>
      <c r="R966" s="3"/>
      <c r="S966" s="3"/>
      <c r="T966" s="3"/>
      <c r="U966" s="3"/>
      <c r="V966" s="3"/>
    </row>
    <row r="967" ht="12.75" customHeight="1" spans="1:22" x14ac:dyDescent="0.25">
      <c r="A967" s="3"/>
      <c r="B967" s="3"/>
      <c r="C967" s="3"/>
      <c r="D967" s="3"/>
      <c r="E967" s="3"/>
      <c r="F967" s="3"/>
      <c r="G967" s="3"/>
      <c r="H967" s="3"/>
      <c r="I967" s="3"/>
      <c r="J967" s="3"/>
      <c r="K967" s="3"/>
      <c r="L967" s="3"/>
      <c r="M967" s="3"/>
      <c r="N967" s="3"/>
      <c r="O967" s="3"/>
      <c r="P967" s="3"/>
      <c r="Q967" s="3"/>
      <c r="R967" s="3"/>
      <c r="S967" s="3"/>
      <c r="T967" s="3"/>
      <c r="U967" s="3"/>
      <c r="V967" s="3"/>
    </row>
    <row r="968" ht="12.75" customHeight="1" spans="1:22" x14ac:dyDescent="0.25">
      <c r="A968" s="3"/>
      <c r="B968" s="3"/>
      <c r="C968" s="3"/>
      <c r="D968" s="3"/>
      <c r="E968" s="3"/>
      <c r="F968" s="3"/>
      <c r="G968" s="3"/>
      <c r="H968" s="3"/>
      <c r="I968" s="3"/>
      <c r="J968" s="3"/>
      <c r="K968" s="3"/>
      <c r="L968" s="3"/>
      <c r="M968" s="3"/>
      <c r="N968" s="3"/>
      <c r="O968" s="3"/>
      <c r="P968" s="3"/>
      <c r="Q968" s="3"/>
      <c r="R968" s="3"/>
      <c r="S968" s="3"/>
      <c r="T968" s="3"/>
      <c r="U968" s="3"/>
      <c r="V968" s="3"/>
    </row>
    <row r="969" ht="12.75" customHeight="1" spans="1:22" x14ac:dyDescent="0.25">
      <c r="A969" s="3"/>
      <c r="B969" s="3"/>
      <c r="C969" s="3"/>
      <c r="D969" s="3"/>
      <c r="E969" s="3"/>
      <c r="F969" s="3"/>
      <c r="G969" s="3"/>
      <c r="H969" s="3"/>
      <c r="I969" s="3"/>
      <c r="J969" s="3"/>
      <c r="K969" s="3"/>
      <c r="L969" s="3"/>
      <c r="M969" s="3"/>
      <c r="N969" s="3"/>
      <c r="O969" s="3"/>
      <c r="P969" s="3"/>
      <c r="Q969" s="3"/>
      <c r="R969" s="3"/>
      <c r="S969" s="3"/>
      <c r="T969" s="3"/>
      <c r="U969" s="3"/>
      <c r="V969" s="3"/>
    </row>
    <row r="970" ht="12.75" customHeight="1" spans="1:22" x14ac:dyDescent="0.25">
      <c r="A970" s="3"/>
      <c r="B970" s="3"/>
      <c r="C970" s="3"/>
      <c r="D970" s="3"/>
      <c r="E970" s="3"/>
      <c r="F970" s="3"/>
      <c r="G970" s="3"/>
      <c r="H970" s="3"/>
      <c r="I970" s="3"/>
      <c r="J970" s="3"/>
      <c r="K970" s="3"/>
      <c r="L970" s="3"/>
      <c r="M970" s="3"/>
      <c r="N970" s="3"/>
      <c r="O970" s="3"/>
      <c r="P970" s="3"/>
      <c r="Q970" s="3"/>
      <c r="R970" s="3"/>
      <c r="S970" s="3"/>
      <c r="T970" s="3"/>
      <c r="U970" s="3"/>
      <c r="V970" s="3"/>
    </row>
    <row r="971" ht="12.75" customHeight="1" spans="1:22" x14ac:dyDescent="0.25">
      <c r="A971" s="3"/>
      <c r="B971" s="3"/>
      <c r="C971" s="3"/>
      <c r="D971" s="3"/>
      <c r="E971" s="3"/>
      <c r="F971" s="3"/>
      <c r="G971" s="3"/>
      <c r="H971" s="3"/>
      <c r="I971" s="3"/>
      <c r="J971" s="3"/>
      <c r="K971" s="3"/>
      <c r="L971" s="3"/>
      <c r="M971" s="3"/>
      <c r="N971" s="3"/>
      <c r="O971" s="3"/>
      <c r="P971" s="3"/>
      <c r="Q971" s="3"/>
      <c r="R971" s="3"/>
      <c r="S971" s="3"/>
      <c r="T971" s="3"/>
      <c r="U971" s="3"/>
      <c r="V971" s="3"/>
    </row>
    <row r="972" ht="12.75" customHeight="1" spans="1:22" x14ac:dyDescent="0.25">
      <c r="A972" s="3"/>
      <c r="B972" s="3"/>
      <c r="C972" s="3"/>
      <c r="D972" s="3"/>
      <c r="E972" s="3"/>
      <c r="F972" s="3"/>
      <c r="G972" s="3"/>
      <c r="H972" s="3"/>
      <c r="I972" s="3"/>
      <c r="J972" s="3"/>
      <c r="K972" s="3"/>
      <c r="L972" s="3"/>
      <c r="M972" s="3"/>
      <c r="N972" s="3"/>
      <c r="O972" s="3"/>
      <c r="P972" s="3"/>
      <c r="Q972" s="3"/>
      <c r="R972" s="3"/>
      <c r="S972" s="3"/>
      <c r="T972" s="3"/>
      <c r="U972" s="3"/>
      <c r="V972" s="3"/>
    </row>
    <row r="973" ht="12.75" customHeight="1" spans="1:22" x14ac:dyDescent="0.25">
      <c r="A973" s="3"/>
      <c r="B973" s="3"/>
      <c r="C973" s="3"/>
      <c r="D973" s="3"/>
      <c r="E973" s="3"/>
      <c r="F973" s="3"/>
      <c r="G973" s="3"/>
      <c r="H973" s="3"/>
      <c r="I973" s="3"/>
      <c r="J973" s="3"/>
      <c r="K973" s="3"/>
      <c r="L973" s="3"/>
      <c r="M973" s="3"/>
      <c r="N973" s="3"/>
      <c r="O973" s="3"/>
      <c r="P973" s="3"/>
      <c r="Q973" s="3"/>
      <c r="R973" s="3"/>
      <c r="S973" s="3"/>
      <c r="T973" s="3"/>
      <c r="U973" s="3"/>
      <c r="V973" s="3"/>
    </row>
    <row r="974" ht="12.75" customHeight="1" spans="1:22" x14ac:dyDescent="0.25">
      <c r="A974" s="3"/>
      <c r="B974" s="3"/>
      <c r="C974" s="3"/>
      <c r="D974" s="3"/>
      <c r="E974" s="3"/>
      <c r="F974" s="3"/>
      <c r="G974" s="3"/>
      <c r="H974" s="3"/>
      <c r="I974" s="3"/>
      <c r="J974" s="3"/>
      <c r="K974" s="3"/>
      <c r="L974" s="3"/>
      <c r="M974" s="3"/>
      <c r="N974" s="3"/>
      <c r="O974" s="3"/>
      <c r="P974" s="3"/>
      <c r="Q974" s="3"/>
      <c r="R974" s="3"/>
      <c r="S974" s="3"/>
      <c r="T974" s="3"/>
      <c r="U974" s="3"/>
      <c r="V974" s="3"/>
    </row>
    <row r="975" ht="12.75" customHeight="1" spans="1:22" x14ac:dyDescent="0.25">
      <c r="A975" s="3"/>
      <c r="B975" s="3"/>
      <c r="C975" s="3"/>
      <c r="D975" s="3"/>
      <c r="E975" s="3"/>
      <c r="F975" s="3"/>
      <c r="G975" s="3"/>
      <c r="H975" s="3"/>
      <c r="I975" s="3"/>
      <c r="J975" s="3"/>
      <c r="K975" s="3"/>
      <c r="L975" s="3"/>
      <c r="M975" s="3"/>
      <c r="N975" s="3"/>
      <c r="O975" s="3"/>
      <c r="P975" s="3"/>
      <c r="Q975" s="3"/>
      <c r="R975" s="3"/>
      <c r="S975" s="3"/>
      <c r="T975" s="3"/>
      <c r="U975" s="3"/>
      <c r="V975" s="3"/>
    </row>
    <row r="976" ht="12.75" customHeight="1" spans="1:22" x14ac:dyDescent="0.25">
      <c r="A976" s="3"/>
      <c r="B976" s="3"/>
      <c r="C976" s="3"/>
      <c r="D976" s="3"/>
      <c r="E976" s="3"/>
      <c r="F976" s="3"/>
      <c r="G976" s="3"/>
      <c r="H976" s="3"/>
      <c r="I976" s="3"/>
      <c r="J976" s="3"/>
      <c r="K976" s="3"/>
      <c r="L976" s="3"/>
      <c r="M976" s="3"/>
      <c r="N976" s="3"/>
      <c r="O976" s="3"/>
      <c r="P976" s="3"/>
      <c r="Q976" s="3"/>
      <c r="R976" s="3"/>
      <c r="S976" s="3"/>
      <c r="T976" s="3"/>
      <c r="U976" s="3"/>
      <c r="V976" s="3"/>
    </row>
    <row r="977" ht="12.75" customHeight="1" spans="1:22" x14ac:dyDescent="0.25">
      <c r="A977" s="3"/>
      <c r="B977" s="3"/>
      <c r="C977" s="3"/>
      <c r="D977" s="3"/>
      <c r="E977" s="3"/>
      <c r="F977" s="3"/>
      <c r="G977" s="3"/>
      <c r="H977" s="3"/>
      <c r="I977" s="3"/>
      <c r="J977" s="3"/>
      <c r="K977" s="3"/>
      <c r="L977" s="3"/>
      <c r="M977" s="3"/>
      <c r="N977" s="3"/>
      <c r="O977" s="3"/>
      <c r="P977" s="3"/>
      <c r="Q977" s="3"/>
      <c r="R977" s="3"/>
      <c r="S977" s="3"/>
      <c r="T977" s="3"/>
      <c r="U977" s="3"/>
      <c r="V977" s="3"/>
    </row>
    <row r="978" ht="12.75" customHeight="1" spans="1:22" x14ac:dyDescent="0.25">
      <c r="A978" s="3"/>
      <c r="B978" s="3"/>
      <c r="C978" s="3"/>
      <c r="D978" s="3"/>
      <c r="E978" s="3"/>
      <c r="F978" s="3"/>
      <c r="G978" s="3"/>
      <c r="H978" s="3"/>
      <c r="I978" s="3"/>
      <c r="J978" s="3"/>
      <c r="K978" s="3"/>
      <c r="L978" s="3"/>
      <c r="M978" s="3"/>
      <c r="N978" s="3"/>
      <c r="O978" s="3"/>
      <c r="P978" s="3"/>
      <c r="Q978" s="3"/>
      <c r="R978" s="3"/>
      <c r="S978" s="3"/>
      <c r="T978" s="3"/>
      <c r="U978" s="3"/>
      <c r="V978" s="3"/>
    </row>
    <row r="979" ht="12.75" customHeight="1" spans="1:22" x14ac:dyDescent="0.25">
      <c r="A979" s="3"/>
      <c r="B979" s="3"/>
      <c r="C979" s="3"/>
      <c r="D979" s="3"/>
      <c r="E979" s="3"/>
      <c r="F979" s="3"/>
      <c r="G979" s="3"/>
      <c r="H979" s="3"/>
      <c r="I979" s="3"/>
      <c r="J979" s="3"/>
      <c r="K979" s="3"/>
      <c r="L979" s="3"/>
      <c r="M979" s="3"/>
      <c r="N979" s="3"/>
      <c r="O979" s="3"/>
      <c r="P979" s="3"/>
      <c r="Q979" s="3"/>
      <c r="R979" s="3"/>
      <c r="S979" s="3"/>
      <c r="T979" s="3"/>
      <c r="U979" s="3"/>
      <c r="V979" s="3"/>
    </row>
    <row r="980" ht="12.75" customHeight="1" spans="1:22" x14ac:dyDescent="0.25">
      <c r="A980" s="3"/>
      <c r="B980" s="3"/>
      <c r="C980" s="3"/>
      <c r="D980" s="3"/>
      <c r="E980" s="3"/>
      <c r="F980" s="3"/>
      <c r="G980" s="3"/>
      <c r="H980" s="3"/>
      <c r="I980" s="3"/>
      <c r="J980" s="3"/>
      <c r="K980" s="3"/>
      <c r="L980" s="3"/>
      <c r="M980" s="3"/>
      <c r="N980" s="3"/>
      <c r="O980" s="3"/>
      <c r="P980" s="3"/>
      <c r="Q980" s="3"/>
      <c r="R980" s="3"/>
      <c r="S980" s="3"/>
      <c r="T980" s="3"/>
      <c r="U980" s="3"/>
      <c r="V980" s="3"/>
    </row>
    <row r="981" ht="12.75" customHeight="1" spans="1:22" x14ac:dyDescent="0.25">
      <c r="A981" s="3"/>
      <c r="B981" s="3"/>
      <c r="C981" s="3"/>
      <c r="D981" s="3"/>
      <c r="E981" s="3"/>
      <c r="F981" s="3"/>
      <c r="G981" s="3"/>
      <c r="H981" s="3"/>
      <c r="I981" s="3"/>
      <c r="J981" s="3"/>
      <c r="K981" s="3"/>
      <c r="L981" s="3"/>
      <c r="M981" s="3"/>
      <c r="N981" s="3"/>
      <c r="O981" s="3"/>
      <c r="P981" s="3"/>
      <c r="Q981" s="3"/>
      <c r="R981" s="3"/>
      <c r="S981" s="3"/>
      <c r="T981" s="3"/>
      <c r="U981" s="3"/>
      <c r="V981" s="3"/>
    </row>
    <row r="982" ht="12.75" customHeight="1" spans="1:22" x14ac:dyDescent="0.25">
      <c r="A982" s="3"/>
      <c r="B982" s="3"/>
      <c r="C982" s="3"/>
      <c r="D982" s="3"/>
      <c r="E982" s="3"/>
      <c r="F982" s="3"/>
      <c r="G982" s="3"/>
      <c r="H982" s="3"/>
      <c r="I982" s="3"/>
      <c r="J982" s="3"/>
      <c r="K982" s="3"/>
      <c r="L982" s="3"/>
      <c r="M982" s="3"/>
      <c r="N982" s="3"/>
      <c r="O982" s="3"/>
      <c r="P982" s="3"/>
      <c r="Q982" s="3"/>
      <c r="R982" s="3"/>
      <c r="S982" s="3"/>
      <c r="T982" s="3"/>
      <c r="U982" s="3"/>
      <c r="V982" s="3"/>
    </row>
    <row r="983" ht="12.75" customHeight="1" spans="1:22" x14ac:dyDescent="0.25">
      <c r="A983" s="3"/>
      <c r="B983" s="3"/>
      <c r="C983" s="3"/>
      <c r="D983" s="3"/>
      <c r="E983" s="3"/>
      <c r="F983" s="3"/>
      <c r="G983" s="3"/>
      <c r="H983" s="3"/>
      <c r="I983" s="3"/>
      <c r="J983" s="3"/>
      <c r="K983" s="3"/>
      <c r="L983" s="3"/>
      <c r="M983" s="3"/>
      <c r="N983" s="3"/>
      <c r="O983" s="3"/>
      <c r="P983" s="3"/>
      <c r="Q983" s="3"/>
      <c r="R983" s="3"/>
      <c r="S983" s="3"/>
      <c r="T983" s="3"/>
      <c r="U983" s="3"/>
      <c r="V983" s="3"/>
    </row>
    <row r="984" ht="12.75" customHeight="1" spans="1:22" x14ac:dyDescent="0.25">
      <c r="A984" s="3"/>
      <c r="B984" s="3"/>
      <c r="C984" s="3"/>
      <c r="D984" s="3"/>
      <c r="E984" s="3"/>
      <c r="F984" s="3"/>
      <c r="G984" s="3"/>
      <c r="H984" s="3"/>
      <c r="I984" s="3"/>
      <c r="J984" s="3"/>
      <c r="K984" s="3"/>
      <c r="L984" s="3"/>
      <c r="M984" s="3"/>
      <c r="N984" s="3"/>
      <c r="O984" s="3"/>
      <c r="P984" s="3"/>
      <c r="Q984" s="3"/>
      <c r="R984" s="3"/>
      <c r="S984" s="3"/>
      <c r="T984" s="3"/>
      <c r="U984" s="3"/>
      <c r="V984" s="3"/>
    </row>
    <row r="985" ht="12.75" customHeight="1" spans="1:22" x14ac:dyDescent="0.25">
      <c r="A985" s="3"/>
      <c r="B985" s="3"/>
      <c r="C985" s="3"/>
      <c r="D985" s="3"/>
      <c r="E985" s="3"/>
      <c r="F985" s="3"/>
      <c r="G985" s="3"/>
      <c r="H985" s="3"/>
      <c r="I985" s="3"/>
      <c r="J985" s="3"/>
      <c r="K985" s="3"/>
      <c r="L985" s="3"/>
      <c r="M985" s="3"/>
      <c r="N985" s="3"/>
      <c r="O985" s="3"/>
      <c r="P985" s="3"/>
      <c r="Q985" s="3"/>
      <c r="R985" s="3"/>
      <c r="S985" s="3"/>
      <c r="T985" s="3"/>
      <c r="U985" s="3"/>
      <c r="V985" s="3"/>
    </row>
    <row r="986" ht="12.75" customHeight="1" spans="1:22" x14ac:dyDescent="0.25">
      <c r="A986" s="3"/>
      <c r="B986" s="3"/>
      <c r="C986" s="3"/>
      <c r="D986" s="3"/>
      <c r="E986" s="3"/>
      <c r="F986" s="3"/>
      <c r="G986" s="3"/>
      <c r="H986" s="3"/>
      <c r="I986" s="3"/>
      <c r="J986" s="3"/>
      <c r="K986" s="3"/>
      <c r="L986" s="3"/>
      <c r="M986" s="3"/>
      <c r="N986" s="3"/>
      <c r="O986" s="3"/>
      <c r="P986" s="3"/>
      <c r="Q986" s="3"/>
      <c r="R986" s="3"/>
      <c r="S986" s="3"/>
      <c r="T986" s="3"/>
      <c r="U986" s="3"/>
      <c r="V986" s="3"/>
    </row>
    <row r="987" ht="12.75" customHeight="1" spans="1:22" x14ac:dyDescent="0.25">
      <c r="A987" s="3"/>
      <c r="B987" s="3"/>
      <c r="C987" s="3"/>
      <c r="D987" s="3"/>
      <c r="E987" s="3"/>
      <c r="F987" s="3"/>
      <c r="G987" s="3"/>
      <c r="H987" s="3"/>
      <c r="I987" s="3"/>
      <c r="J987" s="3"/>
      <c r="K987" s="3"/>
      <c r="L987" s="3"/>
      <c r="M987" s="3"/>
      <c r="N987" s="3"/>
      <c r="O987" s="3"/>
      <c r="P987" s="3"/>
      <c r="Q987" s="3"/>
      <c r="R987" s="3"/>
      <c r="S987" s="3"/>
      <c r="T987" s="3"/>
      <c r="U987" s="3"/>
      <c r="V987" s="3"/>
    </row>
    <row r="988" ht="12.75" customHeight="1" spans="1:22" x14ac:dyDescent="0.25">
      <c r="A988" s="3"/>
      <c r="B988" s="3"/>
      <c r="C988" s="3"/>
      <c r="D988" s="3"/>
      <c r="E988" s="3"/>
      <c r="F988" s="3"/>
      <c r="G988" s="3"/>
      <c r="H988" s="3"/>
      <c r="I988" s="3"/>
      <c r="J988" s="3"/>
      <c r="K988" s="3"/>
      <c r="L988" s="3"/>
      <c r="M988" s="3"/>
      <c r="N988" s="3"/>
      <c r="O988" s="3"/>
      <c r="P988" s="3"/>
      <c r="Q988" s="3"/>
      <c r="R988" s="3"/>
      <c r="S988" s="3"/>
      <c r="T988" s="3"/>
      <c r="U988" s="3"/>
      <c r="V988" s="3"/>
    </row>
    <row r="989" ht="12.75" customHeight="1" spans="1:22" x14ac:dyDescent="0.25">
      <c r="A989" s="3"/>
      <c r="B989" s="3"/>
      <c r="C989" s="3"/>
      <c r="D989" s="3"/>
      <c r="E989" s="3"/>
      <c r="F989" s="3"/>
      <c r="G989" s="3"/>
      <c r="H989" s="3"/>
      <c r="I989" s="3"/>
      <c r="J989" s="3"/>
      <c r="K989" s="3"/>
      <c r="L989" s="3"/>
      <c r="M989" s="3"/>
      <c r="N989" s="3"/>
      <c r="O989" s="3"/>
      <c r="P989" s="3"/>
      <c r="Q989" s="3"/>
      <c r="R989" s="3"/>
      <c r="S989" s="3"/>
      <c r="T989" s="3"/>
      <c r="U989" s="3"/>
      <c r="V989" s="3"/>
    </row>
    <row r="990" ht="12.75" customHeight="1" spans="1:22" x14ac:dyDescent="0.25">
      <c r="A990" s="3"/>
      <c r="B990" s="3"/>
      <c r="C990" s="3"/>
      <c r="D990" s="3"/>
      <c r="E990" s="3"/>
      <c r="F990" s="3"/>
      <c r="G990" s="3"/>
      <c r="H990" s="3"/>
      <c r="I990" s="3"/>
      <c r="J990" s="3"/>
      <c r="K990" s="3"/>
      <c r="L990" s="3"/>
      <c r="M990" s="3"/>
      <c r="N990" s="3"/>
      <c r="O990" s="3"/>
      <c r="P990" s="3"/>
      <c r="Q990" s="3"/>
      <c r="R990" s="3"/>
      <c r="S990" s="3"/>
      <c r="T990" s="3"/>
      <c r="U990" s="3"/>
      <c r="V990" s="3"/>
    </row>
    <row r="991" ht="12.75" customHeight="1" spans="1:22" x14ac:dyDescent="0.25">
      <c r="A991" s="3"/>
      <c r="B991" s="3"/>
      <c r="C991" s="3"/>
      <c r="D991" s="3"/>
      <c r="E991" s="3"/>
      <c r="F991" s="3"/>
      <c r="G991" s="3"/>
      <c r="H991" s="3"/>
      <c r="I991" s="3"/>
      <c r="J991" s="3"/>
      <c r="K991" s="3"/>
      <c r="L991" s="3"/>
      <c r="M991" s="3"/>
      <c r="N991" s="3"/>
      <c r="O991" s="3"/>
      <c r="P991" s="3"/>
      <c r="Q991" s="3"/>
      <c r="R991" s="3"/>
      <c r="S991" s="3"/>
      <c r="T991" s="3"/>
      <c r="U991" s="3"/>
      <c r="V991" s="3"/>
    </row>
    <row r="992" ht="12.75" customHeight="1" spans="1:22" x14ac:dyDescent="0.25">
      <c r="A992" s="3"/>
      <c r="B992" s="3"/>
      <c r="C992" s="3"/>
      <c r="D992" s="3"/>
      <c r="E992" s="3"/>
      <c r="F992" s="3"/>
      <c r="G992" s="3"/>
      <c r="H992" s="3"/>
      <c r="I992" s="3"/>
      <c r="J992" s="3"/>
      <c r="K992" s="3"/>
      <c r="L992" s="3"/>
      <c r="M992" s="3"/>
      <c r="N992" s="3"/>
      <c r="O992" s="3"/>
      <c r="P992" s="3"/>
      <c r="Q992" s="3"/>
      <c r="R992" s="3"/>
      <c r="S992" s="3"/>
      <c r="T992" s="3"/>
      <c r="U992" s="3"/>
      <c r="V992" s="3"/>
    </row>
    <row r="993" ht="12.75" customHeight="1" spans="1:22" x14ac:dyDescent="0.25">
      <c r="A993" s="3"/>
      <c r="B993" s="3"/>
      <c r="C993" s="3"/>
      <c r="D993" s="3"/>
      <c r="E993" s="3"/>
      <c r="F993" s="3"/>
      <c r="G993" s="3"/>
      <c r="H993" s="3"/>
      <c r="I993" s="3"/>
      <c r="J993" s="3"/>
      <c r="K993" s="3"/>
      <c r="L993" s="3"/>
      <c r="M993" s="3"/>
      <c r="N993" s="3"/>
      <c r="O993" s="3"/>
      <c r="P993" s="3"/>
      <c r="Q993" s="3"/>
      <c r="R993" s="3"/>
      <c r="S993" s="3"/>
      <c r="T993" s="3"/>
      <c r="U993" s="3"/>
      <c r="V993" s="3"/>
    </row>
    <row r="994" ht="12.75" customHeight="1" spans="1:22" x14ac:dyDescent="0.25">
      <c r="A994" s="3"/>
      <c r="B994" s="3"/>
      <c r="C994" s="3"/>
      <c r="D994" s="3"/>
      <c r="E994" s="3"/>
      <c r="F994" s="3"/>
      <c r="G994" s="3"/>
      <c r="H994" s="3"/>
      <c r="I994" s="3"/>
      <c r="J994" s="3"/>
      <c r="K994" s="3"/>
      <c r="L994" s="3"/>
      <c r="M994" s="3"/>
      <c r="N994" s="3"/>
      <c r="O994" s="3"/>
      <c r="P994" s="3"/>
      <c r="Q994" s="3"/>
      <c r="R994" s="3"/>
      <c r="S994" s="3"/>
      <c r="T994" s="3"/>
      <c r="U994" s="3"/>
      <c r="V994" s="3"/>
    </row>
  </sheetData>
  <mergeCells count="118">
    <mergeCell ref="A1:U1"/>
    <mergeCell ref="A2:G2"/>
    <mergeCell ref="H2:I2"/>
    <mergeCell ref="N2:U2"/>
    <mergeCell ref="A3:G4"/>
    <mergeCell ref="H3:I4"/>
    <mergeCell ref="A7:B7"/>
    <mergeCell ref="C7:G7"/>
    <mergeCell ref="H7:I7"/>
    <mergeCell ref="J7:N7"/>
    <mergeCell ref="O7:P7"/>
    <mergeCell ref="Q7:U7"/>
    <mergeCell ref="T8:U8"/>
    <mergeCell ref="A9:K9"/>
    <mergeCell ref="L9:P9"/>
    <mergeCell ref="Q9:U9"/>
    <mergeCell ref="B10:K10"/>
    <mergeCell ref="L10:O10"/>
    <mergeCell ref="Q10:U10"/>
    <mergeCell ref="A10:A16"/>
    <mergeCell ref="C11:K11"/>
    <mergeCell ref="L11:O11"/>
    <mergeCell ref="Q11:S11"/>
    <mergeCell ref="T11:U11"/>
    <mergeCell ref="B11:B14"/>
    <mergeCell ref="C12:K12"/>
    <mergeCell ref="L12:O12"/>
    <mergeCell ref="Q12:S12"/>
    <mergeCell ref="T12:U12"/>
    <mergeCell ref="C13:K13"/>
    <mergeCell ref="L13:O13"/>
    <mergeCell ref="Q13:S13"/>
    <mergeCell ref="T13:U13"/>
    <mergeCell ref="C14:K14"/>
    <mergeCell ref="L14:O14"/>
    <mergeCell ref="Q14:S14"/>
    <mergeCell ref="T14:U14"/>
    <mergeCell ref="B15:K15"/>
    <mergeCell ref="L15:O15"/>
    <mergeCell ref="Q15:U15"/>
    <mergeCell ref="B16:G16"/>
    <mergeCell ref="H16:K16"/>
    <mergeCell ref="L16:O16"/>
    <mergeCell ref="Q16:U16"/>
    <mergeCell ref="B17:F17"/>
    <mergeCell ref="H17:J17"/>
    <mergeCell ref="L17:P17"/>
    <mergeCell ref="R17:T17"/>
    <mergeCell ref="A17:A20"/>
    <mergeCell ref="B18:F18"/>
    <mergeCell ref="H18:J18"/>
    <mergeCell ref="L18:P18"/>
    <mergeCell ref="R18:T18"/>
    <mergeCell ref="B19:F19"/>
    <mergeCell ref="H19:J19"/>
    <mergeCell ref="L19:P19"/>
    <mergeCell ref="R19:T19"/>
    <mergeCell ref="B20:K20"/>
    <mergeCell ref="L20:T20"/>
    <mergeCell ref="B21:K21"/>
    <mergeCell ref="M21:T21"/>
    <mergeCell ref="A22:U22"/>
    <mergeCell ref="B23:F23"/>
    <mergeCell ref="H23:J23"/>
    <mergeCell ref="L23:P23"/>
    <mergeCell ref="R23:T23"/>
    <mergeCell ref="B24:F24"/>
    <mergeCell ref="H24:J24"/>
    <mergeCell ref="L24:P24"/>
    <mergeCell ref="R24:T24"/>
    <mergeCell ref="B25:K25"/>
    <mergeCell ref="M25:T25"/>
    <mergeCell ref="B26:F26"/>
    <mergeCell ref="H26:J26"/>
    <mergeCell ref="L26:P26"/>
    <mergeCell ref="R26:T26"/>
    <mergeCell ref="A26:A28"/>
    <mergeCell ref="B27:F27"/>
    <mergeCell ref="H27:J27"/>
    <mergeCell ref="L27:P27"/>
    <mergeCell ref="R27:T27"/>
    <mergeCell ref="B28:K28"/>
    <mergeCell ref="L28:T28"/>
    <mergeCell ref="B29:K29"/>
    <mergeCell ref="M29:T29"/>
    <mergeCell ref="B30:H30"/>
    <mergeCell ref="I30:O30"/>
    <mergeCell ref="P30:U30"/>
    <mergeCell ref="A30:A31"/>
    <mergeCell ref="B31:H31"/>
    <mergeCell ref="I31:O31"/>
    <mergeCell ref="P31:U31"/>
    <mergeCell ref="A32:U32"/>
    <mergeCell ref="A33:O33"/>
    <mergeCell ref="P33:Q33"/>
    <mergeCell ref="R33:S33"/>
    <mergeCell ref="T33:U33"/>
    <mergeCell ref="A34:O34"/>
    <mergeCell ref="P34:Q35"/>
    <mergeCell ref="R34:S35"/>
    <mergeCell ref="T34:U35"/>
    <mergeCell ref="A35:O35"/>
    <mergeCell ref="A37:B37"/>
    <mergeCell ref="C37:G37"/>
    <mergeCell ref="H37:I37"/>
    <mergeCell ref="J37:N37"/>
    <mergeCell ref="A38:B38"/>
    <mergeCell ref="C38:G38"/>
    <mergeCell ref="H38:I38"/>
    <mergeCell ref="J38:N38"/>
    <mergeCell ref="A44:B44"/>
    <mergeCell ref="C44:G44"/>
    <mergeCell ref="H44:I44"/>
    <mergeCell ref="J44:N44"/>
    <mergeCell ref="A45:B45"/>
    <mergeCell ref="C45:G45"/>
    <mergeCell ref="H45:I45"/>
    <mergeCell ref="J45:N45"/>
  </mergeCells>
  <dataValidations count="16">
    <dataValidation showInputMessage="1" showErrorMessage="1" sqref="A23:B23"/>
    <dataValidation showInputMessage="1" showErrorMessage="1" sqref="B19"/>
    <dataValidation showInputMessage="1" showErrorMessage="1" sqref="B26"/>
    <dataValidation showInputMessage="1" showErrorMessage="1" sqref="B31:I31"/>
    <dataValidation showInputMessage="1" showErrorMessage="1" sqref="C7:G7"/>
    <dataValidation showInputMessage="1" showErrorMessage="1" sqref="H17:J19"/>
    <dataValidation showInputMessage="1" showErrorMessage="1" sqref="H23:J24"/>
    <dataValidation showInputMessage="1" showErrorMessage="1" sqref="H26:J27"/>
    <dataValidation showInputMessage="1" showErrorMessage="1" sqref="L10:L16"/>
    <dataValidation showInputMessage="1" showErrorMessage="1" sqref="L19:L20"/>
    <dataValidation showInputMessage="1" showErrorMessage="1" sqref="L28"/>
    <dataValidation showInputMessage="1" showErrorMessage="1" sqref="M21:T21"/>
    <dataValidation showInputMessage="1" showErrorMessage="1" sqref="M25:T25"/>
    <dataValidation showInputMessage="1" showErrorMessage="1" sqref="M29:T29"/>
    <dataValidation showInputMessage="1" showErrorMessage="1" sqref="R17:T19"/>
    <dataValidation showInputMessage="1" showErrorMessage="1" sqref="R23:T27"/>
  </dataValidations>
  <pageMargins left="0.3937007874015748" right="0.3937007874015748" top="0.35433070866141736" bottom="0.15748031496062992" header="0.31496062992125984" footer="0.31496062992125984"/>
  <pageSetup paperSize="9" orientation="portrait" horizontalDpi="4294967295" verticalDpi="4294967295" scale="72" fitToWidth="1" fitToHeight="1" firstPageNumber="1" useFirstPageNumber="1" copies="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H52"/>
  <sheetViews>
    <sheetView workbookViewId="0" zoomScale="90" zoomScaleNormal="100" view="pageBreakPreview">
      <selection activeCell="D1" sqref="D1"/>
    </sheetView>
  </sheetViews>
  <sheetFormatPr defaultRowHeight="13.5" outlineLevelRow="0" outlineLevelCol="0" x14ac:dyDescent="0" defaultColWidth="9.28515625" customHeight="1"/>
  <cols>
    <col min="1" max="34" width="2.5703125" style="1" customWidth="1"/>
    <col min="35" max="16384" width="9.28515625" style="1" customWidth="1"/>
  </cols>
  <sheetData>
    <row r="1" ht="13.5" customHeight="1" spans="1:34" x14ac:dyDescent="0.25">
      <c r="A1" s="143"/>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row>
    <row r="2" ht="13.5" customHeight="1" spans="1:34" x14ac:dyDescent="0.25">
      <c r="A2" s="143"/>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row>
    <row r="3" ht="13.5" customHeight="1" spans="1:34" x14ac:dyDescent="0.25">
      <c r="A3" s="143"/>
      <c r="B3" s="143"/>
      <c r="C3" s="143"/>
      <c r="D3" s="143"/>
      <c r="E3" s="143"/>
      <c r="H3" s="1095" t="s">
        <v>1965</v>
      </c>
      <c r="I3" s="1096"/>
      <c r="J3" s="1096"/>
      <c r="K3" s="1096"/>
      <c r="L3" s="1096"/>
      <c r="M3" s="1096"/>
      <c r="N3" s="1096"/>
      <c r="O3" s="1096"/>
      <c r="P3" s="1096"/>
      <c r="Q3" s="1096"/>
      <c r="R3" s="1096"/>
      <c r="S3" s="1096"/>
      <c r="T3" s="1096"/>
      <c r="U3" s="1096"/>
      <c r="V3" s="1096"/>
      <c r="W3" s="1096"/>
      <c r="X3" s="1096"/>
      <c r="Y3" s="1096"/>
      <c r="Z3" s="1096"/>
      <c r="AA3" s="1096"/>
      <c r="AB3" s="1097"/>
      <c r="AC3" s="143"/>
      <c r="AD3" s="143"/>
      <c r="AE3" s="143"/>
      <c r="AF3" s="143"/>
      <c r="AG3" s="143"/>
      <c r="AH3" s="143"/>
    </row>
    <row r="4" ht="13.5" customHeight="1" spans="1:28" x14ac:dyDescent="0.25">
      <c r="A4" s="143"/>
      <c r="B4" s="143"/>
      <c r="C4" s="143"/>
      <c r="D4" s="143"/>
      <c r="E4" s="143"/>
      <c r="G4" s="143"/>
      <c r="H4" s="1098"/>
      <c r="I4" s="1099"/>
      <c r="J4" s="1099"/>
      <c r="K4" s="1099"/>
      <c r="L4" s="1099"/>
      <c r="M4" s="1099"/>
      <c r="N4" s="1099"/>
      <c r="O4" s="1099"/>
      <c r="P4" s="1099"/>
      <c r="Q4" s="1099"/>
      <c r="R4" s="1099"/>
      <c r="S4" s="1099"/>
      <c r="T4" s="1099"/>
      <c r="U4" s="1099"/>
      <c r="V4" s="1099"/>
      <c r="W4" s="1099"/>
      <c r="X4" s="1099"/>
      <c r="Y4" s="1099"/>
      <c r="Z4" s="1099"/>
      <c r="AA4" s="1099"/>
      <c r="AB4" s="1100"/>
    </row>
    <row r="5" ht="13.5" customHeight="1" spans="1:28" x14ac:dyDescent="0.25">
      <c r="A5" s="143"/>
      <c r="B5" s="143"/>
      <c r="C5" s="143"/>
      <c r="D5" s="143"/>
      <c r="E5" s="143"/>
      <c r="G5" s="143"/>
      <c r="H5" s="171"/>
      <c r="I5" s="171"/>
      <c r="J5" s="171"/>
      <c r="K5" s="171"/>
      <c r="L5" s="171"/>
      <c r="M5" s="171"/>
      <c r="N5" s="171"/>
      <c r="O5" s="171"/>
      <c r="P5" s="171"/>
      <c r="Q5" s="171"/>
      <c r="R5" s="171"/>
      <c r="S5" s="171"/>
      <c r="T5" s="171"/>
      <c r="U5" s="171"/>
      <c r="V5" s="171"/>
      <c r="W5" s="171"/>
      <c r="X5" s="171"/>
      <c r="Y5" s="171"/>
      <c r="Z5" s="171"/>
      <c r="AA5" s="171"/>
      <c r="AB5" s="171"/>
    </row>
    <row r="6" ht="13.5" customHeight="1" spans="1:31" x14ac:dyDescent="0.25">
      <c r="A6" s="143"/>
      <c r="B6" s="143"/>
      <c r="C6" s="143"/>
      <c r="D6" s="143"/>
      <c r="E6" s="143"/>
      <c r="H6" s="170" t="str">
        <f>初期入力!B15</f>
        <v>大阪府大阪市旭区新森</v>
      </c>
      <c r="I6" s="170"/>
      <c r="J6" s="170"/>
      <c r="K6" s="170"/>
      <c r="L6" s="170"/>
      <c r="M6" s="170"/>
      <c r="N6" s="170"/>
      <c r="O6" s="170"/>
      <c r="P6" s="170"/>
      <c r="Q6" s="170"/>
      <c r="R6" s="170"/>
      <c r="S6" s="170"/>
      <c r="T6" s="170"/>
      <c r="U6" s="170"/>
      <c r="V6" s="170"/>
      <c r="W6" s="170"/>
      <c r="X6" s="170"/>
      <c r="Y6" s="170"/>
      <c r="Z6" s="170"/>
      <c r="AA6" s="170"/>
      <c r="AB6" s="170"/>
      <c r="AC6" s="170"/>
      <c r="AD6" s="170"/>
      <c r="AE6" s="170"/>
    </row>
    <row r="7" ht="13.5" customHeight="1" spans="1:33" x14ac:dyDescent="0.25">
      <c r="A7" s="143"/>
      <c r="B7" s="143"/>
      <c r="C7" s="143"/>
      <c r="D7" s="1101" t="s">
        <v>40</v>
      </c>
      <c r="E7" s="1101"/>
      <c r="F7" s="1102"/>
      <c r="G7" s="1102"/>
      <c r="H7" s="1103"/>
      <c r="I7" s="1103"/>
      <c r="J7" s="1103"/>
      <c r="K7" s="1103"/>
      <c r="L7" s="1103"/>
      <c r="M7" s="1103"/>
      <c r="N7" s="1103"/>
      <c r="O7" s="1103"/>
      <c r="P7" s="1103"/>
      <c r="Q7" s="1103"/>
      <c r="R7" s="1103"/>
      <c r="S7" s="1103"/>
      <c r="T7" s="1103"/>
      <c r="U7" s="1103"/>
      <c r="V7" s="1103"/>
      <c r="W7" s="1103"/>
      <c r="X7" s="1103"/>
      <c r="Y7" s="1103"/>
      <c r="Z7" s="1103"/>
      <c r="AA7" s="1103"/>
      <c r="AB7" s="1103"/>
      <c r="AC7" s="1103"/>
      <c r="AD7" s="1103"/>
      <c r="AE7" s="1103"/>
      <c r="AF7" s="143"/>
      <c r="AG7" s="143"/>
    </row>
    <row r="8" ht="13.5" customHeight="1" spans="1:33" x14ac:dyDescent="0.25">
      <c r="A8" s="143"/>
      <c r="B8" s="143"/>
      <c r="C8" s="143"/>
      <c r="D8" s="1104"/>
      <c r="E8" s="1104"/>
      <c r="F8" s="1105"/>
      <c r="G8" s="1105"/>
      <c r="H8" s="1106" t="str">
        <f>初期入力!B3</f>
        <v>大阪市旭区新森　池田様邸新築工事						</v>
      </c>
      <c r="I8" s="1106"/>
      <c r="J8" s="1106"/>
      <c r="K8" s="1106"/>
      <c r="L8" s="1106"/>
      <c r="M8" s="1106"/>
      <c r="N8" s="1106"/>
      <c r="O8" s="1106"/>
      <c r="P8" s="1106"/>
      <c r="Q8" s="1106"/>
      <c r="R8" s="1106"/>
      <c r="S8" s="1106"/>
      <c r="T8" s="1106"/>
      <c r="U8" s="1106"/>
      <c r="V8" s="1106"/>
      <c r="W8" s="1106"/>
      <c r="X8" s="1106"/>
      <c r="Y8" s="1106"/>
      <c r="Z8" s="1106"/>
      <c r="AA8" s="1106"/>
      <c r="AB8" s="1106"/>
      <c r="AC8" s="1106"/>
      <c r="AD8" s="1106"/>
      <c r="AE8" s="1106"/>
      <c r="AF8" s="143"/>
      <c r="AG8" s="143"/>
    </row>
    <row r="9" ht="13.5" customHeight="1" spans="1:31" x14ac:dyDescent="0.25">
      <c r="A9" s="143"/>
      <c r="B9" s="143"/>
      <c r="C9" s="143"/>
      <c r="D9" s="1101" t="s">
        <v>945</v>
      </c>
      <c r="E9" s="1101"/>
      <c r="F9" s="1102"/>
      <c r="G9" s="1102"/>
      <c r="H9" s="1103"/>
      <c r="I9" s="1103"/>
      <c r="J9" s="1103"/>
      <c r="K9" s="1103"/>
      <c r="L9" s="1103"/>
      <c r="M9" s="1103"/>
      <c r="N9" s="1103"/>
      <c r="O9" s="1103"/>
      <c r="P9" s="1103"/>
      <c r="Q9" s="1103"/>
      <c r="R9" s="1103"/>
      <c r="S9" s="1103"/>
      <c r="T9" s="1103"/>
      <c r="U9" s="1103"/>
      <c r="V9" s="1103"/>
      <c r="W9" s="1103"/>
      <c r="X9" s="1103"/>
      <c r="Y9" s="1103"/>
      <c r="Z9" s="1103"/>
      <c r="AA9" s="1103"/>
      <c r="AB9" s="1103"/>
      <c r="AC9" s="1103"/>
      <c r="AD9" s="1103"/>
      <c r="AE9" s="1103"/>
    </row>
    <row r="10" ht="13.5" customHeight="1" spans="1:34" x14ac:dyDescent="0.25">
      <c r="A10" s="143"/>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row>
    <row r="11" ht="13.5" customHeight="1" spans="1:34" x14ac:dyDescent="0.25">
      <c r="A11" s="143"/>
      <c r="B11" s="143"/>
      <c r="C11" s="143"/>
      <c r="D11" s="143" t="s">
        <v>1966</v>
      </c>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row>
    <row r="12" ht="13.5" customHeight="1" spans="1:34" x14ac:dyDescent="0.25">
      <c r="A12" s="143"/>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row>
    <row r="13" ht="13.5" customHeight="1" spans="1:34" x14ac:dyDescent="0.25">
      <c r="A13" s="143"/>
      <c r="B13" s="143"/>
      <c r="C13" s="143"/>
      <c r="D13" s="143" t="s">
        <v>1967</v>
      </c>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row>
    <row r="14" ht="13.5" customHeight="1" spans="1:34" x14ac:dyDescent="0.25">
      <c r="A14" s="143"/>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row>
    <row r="15" ht="13.5" customHeight="1" spans="1:34" x14ac:dyDescent="0.25">
      <c r="A15" s="143"/>
      <c r="B15" s="143"/>
      <c r="C15" s="143"/>
      <c r="D15" s="143"/>
      <c r="E15" s="143"/>
      <c r="F15" s="143"/>
      <c r="G15" s="143"/>
      <c r="H15" s="143"/>
      <c r="I15" s="143"/>
      <c r="J15" s="143"/>
      <c r="K15" s="143"/>
      <c r="L15" s="143"/>
      <c r="M15" s="143"/>
      <c r="N15" s="143"/>
      <c r="O15" s="143"/>
      <c r="P15" s="143"/>
      <c r="Q15" s="143"/>
      <c r="R15" s="143"/>
      <c r="S15" s="1107"/>
      <c r="T15" s="1107"/>
      <c r="U15" s="1107"/>
      <c r="V15" s="1107"/>
      <c r="W15" s="1108" t="s">
        <v>33</v>
      </c>
      <c r="X15" s="1107"/>
      <c r="Y15" s="1107"/>
      <c r="Z15" s="1108" t="s">
        <v>34</v>
      </c>
      <c r="AA15" s="1107"/>
      <c r="AB15" s="1107"/>
      <c r="AC15" s="1109" t="s">
        <v>35</v>
      </c>
      <c r="AD15" s="143"/>
      <c r="AE15" s="143"/>
      <c r="AF15" s="143"/>
      <c r="AG15" s="143"/>
      <c r="AH15" s="143"/>
    </row>
    <row r="16" ht="13.5" customHeight="1" spans="1:34" x14ac:dyDescent="0.25">
      <c r="A16" s="143"/>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row>
    <row r="17" ht="13.5" customHeight="1" spans="1:34" x14ac:dyDescent="0.25">
      <c r="A17" s="143"/>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3"/>
      <c r="AF17" s="143"/>
      <c r="AG17" s="143"/>
      <c r="AH17" s="143"/>
    </row>
    <row r="18" ht="13.5" customHeight="1" spans="1:34" x14ac:dyDescent="0.25">
      <c r="A18" s="143"/>
      <c r="B18" s="143"/>
      <c r="C18" s="143"/>
      <c r="D18" s="1101" t="s">
        <v>1540</v>
      </c>
      <c r="E18" s="1101"/>
      <c r="F18" s="1101"/>
      <c r="G18" s="1101"/>
      <c r="H18" s="1110">
        <f>初期入力!B5</f>
        <v>0</v>
      </c>
      <c r="I18" s="1110"/>
      <c r="J18" s="1110"/>
      <c r="K18" s="1110"/>
      <c r="L18" s="1110"/>
      <c r="M18" s="1110"/>
      <c r="N18" s="1110"/>
      <c r="O18" s="1110"/>
      <c r="P18" s="1110"/>
      <c r="Q18" s="1110"/>
      <c r="R18" s="1110"/>
      <c r="S18" s="1110"/>
      <c r="T18" s="1110"/>
      <c r="U18" s="1110"/>
      <c r="V18" s="1110"/>
      <c r="W18" s="1110"/>
      <c r="X18" s="1110"/>
      <c r="Y18" s="1110"/>
      <c r="Z18" s="143"/>
      <c r="AA18" s="143"/>
      <c r="AB18" s="143"/>
      <c r="AC18" s="143"/>
      <c r="AD18" s="143"/>
      <c r="AE18" s="143"/>
      <c r="AF18" s="143"/>
      <c r="AG18" s="143"/>
      <c r="AH18" s="143"/>
    </row>
    <row r="19" ht="13.5" customHeight="1" spans="1:34" x14ac:dyDescent="0.25">
      <c r="A19" s="143"/>
      <c r="B19" s="143"/>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row>
    <row r="20" ht="13.5" customHeight="1" spans="1:34" x14ac:dyDescent="0.25">
      <c r="A20" s="143"/>
      <c r="B20" s="143"/>
      <c r="C20" s="143"/>
      <c r="D20" s="1101" t="s">
        <v>198</v>
      </c>
      <c r="E20" s="1101"/>
      <c r="F20" s="1101"/>
      <c r="G20" s="1101"/>
      <c r="H20" s="1110">
        <f>初期入力!B4</f>
        <v>0</v>
      </c>
      <c r="I20" s="1110"/>
      <c r="J20" s="1110"/>
      <c r="K20" s="1110"/>
      <c r="L20" s="1110"/>
      <c r="M20" s="1110"/>
      <c r="N20" s="1110"/>
      <c r="O20" s="1110"/>
      <c r="P20" s="1110"/>
      <c r="Q20" s="1110"/>
      <c r="R20" s="1110"/>
      <c r="S20" s="1110"/>
      <c r="T20" s="1110"/>
      <c r="U20" s="1110"/>
      <c r="V20" s="1110"/>
      <c r="W20" s="1110"/>
      <c r="X20" s="1110"/>
      <c r="Y20" s="1110"/>
      <c r="Z20" s="143" t="s">
        <v>222</v>
      </c>
      <c r="AA20" s="143"/>
      <c r="AB20" s="143"/>
      <c r="AC20" s="143"/>
      <c r="AD20" s="143"/>
      <c r="AE20" s="143"/>
      <c r="AF20" s="143"/>
      <c r="AG20" s="143"/>
      <c r="AH20" s="143"/>
    </row>
    <row r="21" ht="13.5" customHeight="1" spans="1:34" x14ac:dyDescent="0.25">
      <c r="A21" s="143"/>
      <c r="B21" s="143"/>
      <c r="C21" s="143"/>
      <c r="D21" s="143"/>
      <c r="E21" s="143"/>
      <c r="F21" s="143"/>
      <c r="G21" s="143"/>
      <c r="H21" s="1111"/>
      <c r="I21" s="1111"/>
      <c r="J21" s="1111"/>
      <c r="K21" s="1111"/>
      <c r="L21" s="1111"/>
      <c r="M21" s="1111"/>
      <c r="N21" s="1111"/>
      <c r="O21" s="1111"/>
      <c r="P21" s="1111"/>
      <c r="Q21" s="1111"/>
      <c r="R21" s="1111"/>
      <c r="S21" s="1111"/>
      <c r="T21" s="1111"/>
      <c r="U21" s="1111"/>
      <c r="V21" s="1111"/>
      <c r="W21" s="1111"/>
      <c r="X21" s="1111"/>
      <c r="Y21" s="1111"/>
      <c r="Z21" s="143"/>
      <c r="AA21" s="143"/>
      <c r="AB21" s="143"/>
      <c r="AC21" s="143"/>
      <c r="AD21" s="143"/>
      <c r="AE21" s="143"/>
      <c r="AF21" s="143"/>
      <c r="AG21" s="143"/>
      <c r="AH21" s="143"/>
    </row>
    <row r="22" ht="13.5" customHeight="1" spans="1:34" x14ac:dyDescent="0.25">
      <c r="A22" s="143"/>
      <c r="B22" s="143"/>
      <c r="C22" s="143"/>
      <c r="D22" s="1101" t="s">
        <v>198</v>
      </c>
      <c r="E22" s="1101"/>
      <c r="F22" s="1101"/>
      <c r="G22" s="1101"/>
      <c r="H22" s="1110">
        <f>初期入力!B6</f>
        <v>0</v>
      </c>
      <c r="I22" s="1110"/>
      <c r="J22" s="1110"/>
      <c r="K22" s="1110"/>
      <c r="L22" s="1110"/>
      <c r="M22" s="1110"/>
      <c r="N22" s="1110"/>
      <c r="O22" s="1110"/>
      <c r="P22" s="1110"/>
      <c r="Q22" s="1110"/>
      <c r="R22" s="1110"/>
      <c r="S22" s="1110"/>
      <c r="T22" s="1110"/>
      <c r="U22" s="1110"/>
      <c r="V22" s="1110"/>
      <c r="W22" s="1110"/>
      <c r="X22" s="1110"/>
      <c r="Y22" s="1110"/>
      <c r="Z22" s="143" t="s">
        <v>222</v>
      </c>
      <c r="AA22" s="143"/>
      <c r="AB22" s="143"/>
      <c r="AC22" s="143"/>
      <c r="AD22" s="143"/>
      <c r="AE22" s="143"/>
      <c r="AF22" s="143"/>
      <c r="AG22" s="143"/>
      <c r="AH22" s="143"/>
    </row>
    <row r="23" ht="13.5" customHeight="1" spans="1:34" x14ac:dyDescent="0.25">
      <c r="A23" s="143"/>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row>
    <row r="24" ht="13.5" customHeight="1" spans="1:34" x14ac:dyDescent="0.25">
      <c r="A24" s="143"/>
      <c r="B24" s="143"/>
      <c r="C24" s="143"/>
      <c r="D24" s="1112" t="s">
        <v>1968</v>
      </c>
      <c r="E24" s="1113"/>
      <c r="F24" s="1114" t="s">
        <v>1969</v>
      </c>
      <c r="G24" s="1115"/>
      <c r="H24" s="1115"/>
      <c r="I24" s="1115"/>
      <c r="J24" s="1115"/>
      <c r="K24" s="1115"/>
      <c r="L24" s="1115"/>
      <c r="M24" s="1115"/>
      <c r="N24" s="1115"/>
      <c r="O24" s="1115"/>
      <c r="P24" s="1115"/>
      <c r="Q24" s="1115"/>
      <c r="R24" s="1113"/>
      <c r="S24" s="1114"/>
      <c r="T24" s="1115"/>
      <c r="U24" s="1115"/>
      <c r="V24" s="1115"/>
      <c r="W24" s="1115"/>
      <c r="X24" s="1113"/>
      <c r="Y24" s="1116" t="s">
        <v>1970</v>
      </c>
      <c r="Z24" s="1117"/>
      <c r="AA24" s="1117"/>
      <c r="AB24" s="1117"/>
      <c r="AC24" s="1117"/>
      <c r="AD24" s="1118"/>
      <c r="AE24" s="1119" t="s">
        <v>1971</v>
      </c>
      <c r="AF24" s="1120"/>
      <c r="AG24" s="1120"/>
      <c r="AH24" s="1121"/>
    </row>
    <row r="25" ht="13.5" customHeight="1" spans="1:34" x14ac:dyDescent="0.25">
      <c r="A25" s="143"/>
      <c r="B25" s="143"/>
      <c r="C25" s="143"/>
      <c r="D25" s="1122">
        <v>1</v>
      </c>
      <c r="E25" s="1123"/>
      <c r="F25" s="1124"/>
      <c r="G25" s="1125"/>
      <c r="H25" s="1125"/>
      <c r="I25" s="1125"/>
      <c r="J25" s="1125"/>
      <c r="K25" s="1125"/>
      <c r="L25" s="1125"/>
      <c r="M25" s="1125"/>
      <c r="N25" s="1125"/>
      <c r="O25" s="1125"/>
      <c r="P25" s="1125"/>
      <c r="Q25" s="1125"/>
      <c r="R25" s="1126"/>
      <c r="S25" s="1127"/>
      <c r="T25" s="1128"/>
      <c r="U25" s="1128"/>
      <c r="V25" s="1128"/>
      <c r="W25" s="1128"/>
      <c r="X25" s="1129"/>
      <c r="Y25" s="1130">
        <v>50000</v>
      </c>
      <c r="Z25" s="1131"/>
      <c r="AA25" s="1131"/>
      <c r="AB25" s="1131"/>
      <c r="AC25" s="1131"/>
      <c r="AD25" s="1132"/>
      <c r="AE25" s="1133"/>
      <c r="AF25" s="1134"/>
      <c r="AG25" s="1134"/>
      <c r="AH25" s="1135"/>
    </row>
    <row r="26" ht="13.5" customHeight="1" spans="1:34" x14ac:dyDescent="0.25">
      <c r="A26" s="143"/>
      <c r="B26" s="143"/>
      <c r="C26" s="143"/>
      <c r="D26" s="1136"/>
      <c r="E26" s="203"/>
      <c r="F26" s="1137"/>
      <c r="G26" s="1138"/>
      <c r="H26" s="1138"/>
      <c r="I26" s="1138"/>
      <c r="J26" s="1138"/>
      <c r="K26" s="1138"/>
      <c r="L26" s="1138"/>
      <c r="M26" s="1138"/>
      <c r="N26" s="1138"/>
      <c r="O26" s="1138"/>
      <c r="P26" s="1138"/>
      <c r="Q26" s="1138"/>
      <c r="R26" s="1139"/>
      <c r="S26" s="1140"/>
      <c r="T26" s="1141"/>
      <c r="U26" s="1141"/>
      <c r="V26" s="1141"/>
      <c r="W26" s="1141"/>
      <c r="X26" s="1142"/>
      <c r="Y26" s="1143"/>
      <c r="Z26" s="1144"/>
      <c r="AA26" s="1144"/>
      <c r="AB26" s="1144"/>
      <c r="AC26" s="1144"/>
      <c r="AD26" s="1145"/>
      <c r="AE26" s="1146"/>
      <c r="AF26" s="1147"/>
      <c r="AG26" s="1147"/>
      <c r="AH26" s="1148"/>
    </row>
    <row r="27" ht="13.5" customHeight="1" spans="1:34" x14ac:dyDescent="0.25">
      <c r="A27" s="143"/>
      <c r="B27" s="143"/>
      <c r="C27" s="143"/>
      <c r="D27" s="1122">
        <v>2</v>
      </c>
      <c r="E27" s="1123"/>
      <c r="F27" s="1124"/>
      <c r="G27" s="1125"/>
      <c r="H27" s="1125"/>
      <c r="I27" s="1125"/>
      <c r="J27" s="1125"/>
      <c r="K27" s="1125"/>
      <c r="L27" s="1125"/>
      <c r="M27" s="1125"/>
      <c r="N27" s="1125"/>
      <c r="O27" s="1125"/>
      <c r="P27" s="1125"/>
      <c r="Q27" s="1125"/>
      <c r="R27" s="1126"/>
      <c r="S27" s="1149"/>
      <c r="T27" s="1150"/>
      <c r="U27" s="1150"/>
      <c r="V27" s="1150"/>
      <c r="W27" s="1150"/>
      <c r="X27" s="1151"/>
      <c r="Y27" s="1152"/>
      <c r="Z27" s="1131"/>
      <c r="AA27" s="1131"/>
      <c r="AB27" s="1131"/>
      <c r="AC27" s="1131"/>
      <c r="AD27" s="1132"/>
      <c r="AE27" s="1133"/>
      <c r="AF27" s="1134"/>
      <c r="AG27" s="1134"/>
      <c r="AH27" s="1135"/>
    </row>
    <row r="28" ht="13.5" customHeight="1" spans="1:34" x14ac:dyDescent="0.25">
      <c r="A28" s="143"/>
      <c r="B28" s="143"/>
      <c r="C28" s="143"/>
      <c r="D28" s="1136"/>
      <c r="E28" s="203"/>
      <c r="F28" s="1137"/>
      <c r="G28" s="1138"/>
      <c r="H28" s="1138"/>
      <c r="I28" s="1138"/>
      <c r="J28" s="1138"/>
      <c r="K28" s="1138"/>
      <c r="L28" s="1138"/>
      <c r="M28" s="1138"/>
      <c r="N28" s="1138"/>
      <c r="O28" s="1138"/>
      <c r="P28" s="1138"/>
      <c r="Q28" s="1138"/>
      <c r="R28" s="1139"/>
      <c r="S28" s="1153"/>
      <c r="T28" s="1154"/>
      <c r="U28" s="1154"/>
      <c r="V28" s="1154"/>
      <c r="W28" s="1154"/>
      <c r="X28" s="1155"/>
      <c r="Y28" s="1143"/>
      <c r="Z28" s="1144"/>
      <c r="AA28" s="1144"/>
      <c r="AB28" s="1144"/>
      <c r="AC28" s="1144"/>
      <c r="AD28" s="1145"/>
      <c r="AE28" s="1146"/>
      <c r="AF28" s="1147"/>
      <c r="AG28" s="1147"/>
      <c r="AH28" s="1148"/>
    </row>
    <row r="29" ht="13.5" customHeight="1" spans="1:34" x14ac:dyDescent="0.25">
      <c r="A29" s="143"/>
      <c r="B29" s="143"/>
      <c r="C29" s="143"/>
      <c r="D29" s="1122">
        <v>3</v>
      </c>
      <c r="E29" s="1123"/>
      <c r="F29" s="1124"/>
      <c r="G29" s="1125"/>
      <c r="H29" s="1125"/>
      <c r="I29" s="1125"/>
      <c r="J29" s="1125"/>
      <c r="K29" s="1125"/>
      <c r="L29" s="1125"/>
      <c r="M29" s="1125"/>
      <c r="N29" s="1125"/>
      <c r="O29" s="1125"/>
      <c r="P29" s="1125"/>
      <c r="Q29" s="1125"/>
      <c r="R29" s="1126"/>
      <c r="S29" s="1149"/>
      <c r="T29" s="1150"/>
      <c r="U29" s="1150"/>
      <c r="V29" s="1150"/>
      <c r="W29" s="1150"/>
      <c r="X29" s="1151"/>
      <c r="Y29" s="1152"/>
      <c r="Z29" s="1131"/>
      <c r="AA29" s="1131"/>
      <c r="AB29" s="1131"/>
      <c r="AC29" s="1131"/>
      <c r="AD29" s="1132"/>
      <c r="AE29" s="1133"/>
      <c r="AF29" s="1134"/>
      <c r="AG29" s="1134"/>
      <c r="AH29" s="1135"/>
    </row>
    <row r="30" ht="13.5" customHeight="1" spans="1:34" x14ac:dyDescent="0.25">
      <c r="A30" s="143"/>
      <c r="B30" s="143"/>
      <c r="C30" s="143"/>
      <c r="D30" s="1136"/>
      <c r="E30" s="203"/>
      <c r="F30" s="1137"/>
      <c r="G30" s="1138"/>
      <c r="H30" s="1138"/>
      <c r="I30" s="1138"/>
      <c r="J30" s="1138"/>
      <c r="K30" s="1138"/>
      <c r="L30" s="1138"/>
      <c r="M30" s="1138"/>
      <c r="N30" s="1138"/>
      <c r="O30" s="1138"/>
      <c r="P30" s="1138"/>
      <c r="Q30" s="1138"/>
      <c r="R30" s="1139"/>
      <c r="S30" s="1153"/>
      <c r="T30" s="1154"/>
      <c r="U30" s="1154"/>
      <c r="V30" s="1154"/>
      <c r="W30" s="1154"/>
      <c r="X30" s="1155"/>
      <c r="Y30" s="1143"/>
      <c r="Z30" s="1144"/>
      <c r="AA30" s="1144"/>
      <c r="AB30" s="1144"/>
      <c r="AC30" s="1144"/>
      <c r="AD30" s="1145"/>
      <c r="AE30" s="1146"/>
      <c r="AF30" s="1147"/>
      <c r="AG30" s="1147"/>
      <c r="AH30" s="1148"/>
    </row>
    <row r="31" ht="13.5" customHeight="1" spans="1:34" x14ac:dyDescent="0.25">
      <c r="A31" s="143"/>
      <c r="B31" s="143"/>
      <c r="C31" s="143"/>
      <c r="D31" s="1122">
        <v>4</v>
      </c>
      <c r="E31" s="1123"/>
      <c r="F31" s="1124"/>
      <c r="G31" s="1125"/>
      <c r="H31" s="1125"/>
      <c r="I31" s="1125"/>
      <c r="J31" s="1125"/>
      <c r="K31" s="1125"/>
      <c r="L31" s="1125"/>
      <c r="M31" s="1125"/>
      <c r="N31" s="1125"/>
      <c r="O31" s="1125"/>
      <c r="P31" s="1125"/>
      <c r="Q31" s="1125"/>
      <c r="R31" s="1126"/>
      <c r="S31" s="1156"/>
      <c r="T31" s="1157"/>
      <c r="U31" s="1157"/>
      <c r="V31" s="1157"/>
      <c r="W31" s="1157"/>
      <c r="X31" s="1158"/>
      <c r="Y31" s="1152"/>
      <c r="Z31" s="1131"/>
      <c r="AA31" s="1131"/>
      <c r="AB31" s="1131"/>
      <c r="AC31" s="1131"/>
      <c r="AD31" s="1132"/>
      <c r="AE31" s="1159"/>
      <c r="AF31" s="1160"/>
      <c r="AG31" s="1160"/>
      <c r="AH31" s="1161"/>
    </row>
    <row r="32" ht="13.5" customHeight="1" spans="1:34" x14ac:dyDescent="0.25">
      <c r="A32" s="143"/>
      <c r="B32" s="143"/>
      <c r="C32" s="143"/>
      <c r="D32" s="1136"/>
      <c r="E32" s="203"/>
      <c r="F32" s="1137"/>
      <c r="G32" s="1138"/>
      <c r="H32" s="1138"/>
      <c r="I32" s="1138"/>
      <c r="J32" s="1138"/>
      <c r="K32" s="1138"/>
      <c r="L32" s="1138"/>
      <c r="M32" s="1138"/>
      <c r="N32" s="1138"/>
      <c r="O32" s="1138"/>
      <c r="P32" s="1138"/>
      <c r="Q32" s="1138"/>
      <c r="R32" s="1139"/>
      <c r="S32" s="1153"/>
      <c r="T32" s="1154"/>
      <c r="U32" s="1154"/>
      <c r="V32" s="1154"/>
      <c r="W32" s="1154"/>
      <c r="X32" s="1155"/>
      <c r="Y32" s="1143"/>
      <c r="Z32" s="1144"/>
      <c r="AA32" s="1144"/>
      <c r="AB32" s="1144"/>
      <c r="AC32" s="1144"/>
      <c r="AD32" s="1145"/>
      <c r="AE32" s="1146"/>
      <c r="AF32" s="1147"/>
      <c r="AG32" s="1147"/>
      <c r="AH32" s="1148"/>
    </row>
    <row r="33" ht="13.5" customHeight="1" spans="1:34" x14ac:dyDescent="0.25">
      <c r="A33" s="143"/>
      <c r="B33" s="143"/>
      <c r="C33" s="143"/>
      <c r="D33" s="1122">
        <v>5</v>
      </c>
      <c r="E33" s="1123"/>
      <c r="F33" s="1124"/>
      <c r="G33" s="1125"/>
      <c r="H33" s="1125"/>
      <c r="I33" s="1125"/>
      <c r="J33" s="1125"/>
      <c r="K33" s="1125"/>
      <c r="L33" s="1125"/>
      <c r="M33" s="1125"/>
      <c r="N33" s="1125"/>
      <c r="O33" s="1125"/>
      <c r="P33" s="1125"/>
      <c r="Q33" s="1125"/>
      <c r="R33" s="1126"/>
      <c r="S33" s="1156"/>
      <c r="T33" s="1157"/>
      <c r="U33" s="1157"/>
      <c r="V33" s="1157"/>
      <c r="W33" s="1157"/>
      <c r="X33" s="1158"/>
      <c r="Y33" s="1152"/>
      <c r="Z33" s="1131"/>
      <c r="AA33" s="1131"/>
      <c r="AB33" s="1131"/>
      <c r="AC33" s="1131"/>
      <c r="AD33" s="1132"/>
      <c r="AE33" s="1133"/>
      <c r="AF33" s="1134"/>
      <c r="AG33" s="1134"/>
      <c r="AH33" s="1135"/>
    </row>
    <row r="34" ht="13.5" customHeight="1" spans="1:34" x14ac:dyDescent="0.25">
      <c r="A34" s="143"/>
      <c r="B34" s="143"/>
      <c r="C34" s="143"/>
      <c r="D34" s="1136"/>
      <c r="E34" s="203"/>
      <c r="F34" s="1137"/>
      <c r="G34" s="1138"/>
      <c r="H34" s="1138"/>
      <c r="I34" s="1138"/>
      <c r="J34" s="1138"/>
      <c r="K34" s="1138"/>
      <c r="L34" s="1138"/>
      <c r="M34" s="1138"/>
      <c r="N34" s="1138"/>
      <c r="O34" s="1138"/>
      <c r="P34" s="1138"/>
      <c r="Q34" s="1138"/>
      <c r="R34" s="1139"/>
      <c r="S34" s="1153"/>
      <c r="T34" s="1154"/>
      <c r="U34" s="1154"/>
      <c r="V34" s="1154"/>
      <c r="W34" s="1154"/>
      <c r="X34" s="1155"/>
      <c r="Y34" s="1143"/>
      <c r="Z34" s="1144"/>
      <c r="AA34" s="1144"/>
      <c r="AB34" s="1144"/>
      <c r="AC34" s="1144"/>
      <c r="AD34" s="1145"/>
      <c r="AE34" s="1146"/>
      <c r="AF34" s="1147"/>
      <c r="AG34" s="1147"/>
      <c r="AH34" s="1148"/>
    </row>
    <row r="35" ht="13.5" customHeight="1" spans="1:34" x14ac:dyDescent="0.25">
      <c r="A35" s="143"/>
      <c r="B35" s="143"/>
      <c r="C35" s="143"/>
      <c r="D35" s="1122">
        <v>6</v>
      </c>
      <c r="E35" s="1123"/>
      <c r="F35" s="1124"/>
      <c r="G35" s="1125"/>
      <c r="H35" s="1125"/>
      <c r="I35" s="1125"/>
      <c r="J35" s="1125"/>
      <c r="K35" s="1125"/>
      <c r="L35" s="1125"/>
      <c r="M35" s="1125"/>
      <c r="N35" s="1125"/>
      <c r="O35" s="1125"/>
      <c r="P35" s="1125"/>
      <c r="Q35" s="1125"/>
      <c r="R35" s="1126"/>
      <c r="S35" s="1156"/>
      <c r="T35" s="1157"/>
      <c r="U35" s="1157"/>
      <c r="V35" s="1157"/>
      <c r="W35" s="1157"/>
      <c r="X35" s="1158"/>
      <c r="Y35" s="1152"/>
      <c r="Z35" s="1131"/>
      <c r="AA35" s="1131"/>
      <c r="AB35" s="1131"/>
      <c r="AC35" s="1131"/>
      <c r="AD35" s="1132"/>
      <c r="AE35" s="1133"/>
      <c r="AF35" s="1134"/>
      <c r="AG35" s="1134"/>
      <c r="AH35" s="1135"/>
    </row>
    <row r="36" ht="13.5" customHeight="1" spans="1:34" x14ac:dyDescent="0.25">
      <c r="A36" s="143"/>
      <c r="B36" s="143"/>
      <c r="C36" s="143"/>
      <c r="D36" s="1136"/>
      <c r="E36" s="203"/>
      <c r="F36" s="1137"/>
      <c r="G36" s="1138"/>
      <c r="H36" s="1138"/>
      <c r="I36" s="1138"/>
      <c r="J36" s="1138"/>
      <c r="K36" s="1138"/>
      <c r="L36" s="1138"/>
      <c r="M36" s="1138"/>
      <c r="N36" s="1138"/>
      <c r="O36" s="1138"/>
      <c r="P36" s="1138"/>
      <c r="Q36" s="1138"/>
      <c r="R36" s="1139"/>
      <c r="S36" s="1153"/>
      <c r="T36" s="1154"/>
      <c r="U36" s="1154"/>
      <c r="V36" s="1154"/>
      <c r="W36" s="1154"/>
      <c r="X36" s="1155"/>
      <c r="Y36" s="1143"/>
      <c r="Z36" s="1144"/>
      <c r="AA36" s="1144"/>
      <c r="AB36" s="1144"/>
      <c r="AC36" s="1144"/>
      <c r="AD36" s="1145"/>
      <c r="AE36" s="1146"/>
      <c r="AF36" s="1147"/>
      <c r="AG36" s="1147"/>
      <c r="AH36" s="1148"/>
    </row>
    <row r="37" ht="13.5" customHeight="1" spans="1:34" x14ac:dyDescent="0.25">
      <c r="A37" s="143"/>
      <c r="B37" s="143"/>
      <c r="C37" s="143"/>
      <c r="D37" s="1122">
        <v>7</v>
      </c>
      <c r="E37" s="1123"/>
      <c r="F37" s="1124"/>
      <c r="G37" s="1125"/>
      <c r="H37" s="1125"/>
      <c r="I37" s="1125"/>
      <c r="J37" s="1125"/>
      <c r="K37" s="1125"/>
      <c r="L37" s="1125"/>
      <c r="M37" s="1125"/>
      <c r="N37" s="1125"/>
      <c r="O37" s="1125"/>
      <c r="P37" s="1125"/>
      <c r="Q37" s="1125"/>
      <c r="R37" s="1126"/>
      <c r="S37" s="1149"/>
      <c r="T37" s="1150"/>
      <c r="U37" s="1150"/>
      <c r="V37" s="1150"/>
      <c r="W37" s="1150"/>
      <c r="X37" s="1151"/>
      <c r="Y37" s="1152"/>
      <c r="Z37" s="1131"/>
      <c r="AA37" s="1131"/>
      <c r="AB37" s="1131"/>
      <c r="AC37" s="1131"/>
      <c r="AD37" s="1132"/>
      <c r="AE37" s="1133"/>
      <c r="AF37" s="1134"/>
      <c r="AG37" s="1134"/>
      <c r="AH37" s="1135"/>
    </row>
    <row r="38" ht="13.5" customHeight="1" spans="1:34" x14ac:dyDescent="0.25">
      <c r="A38" s="143"/>
      <c r="B38" s="143"/>
      <c r="C38" s="143"/>
      <c r="D38" s="1136"/>
      <c r="E38" s="203"/>
      <c r="F38" s="1137"/>
      <c r="G38" s="1138"/>
      <c r="H38" s="1138"/>
      <c r="I38" s="1138"/>
      <c r="J38" s="1138"/>
      <c r="K38" s="1138"/>
      <c r="L38" s="1138"/>
      <c r="M38" s="1138"/>
      <c r="N38" s="1138"/>
      <c r="O38" s="1138"/>
      <c r="P38" s="1138"/>
      <c r="Q38" s="1138"/>
      <c r="R38" s="1139"/>
      <c r="S38" s="1153"/>
      <c r="T38" s="1154"/>
      <c r="U38" s="1154"/>
      <c r="V38" s="1154"/>
      <c r="W38" s="1154"/>
      <c r="X38" s="1155"/>
      <c r="Y38" s="1143"/>
      <c r="Z38" s="1144"/>
      <c r="AA38" s="1144"/>
      <c r="AB38" s="1144"/>
      <c r="AC38" s="1144"/>
      <c r="AD38" s="1145"/>
      <c r="AE38" s="1146"/>
      <c r="AF38" s="1147"/>
      <c r="AG38" s="1147"/>
      <c r="AH38" s="1148"/>
    </row>
    <row r="39" ht="13.5" customHeight="1" spans="1:34" x14ac:dyDescent="0.25">
      <c r="A39" s="143"/>
      <c r="B39" s="143"/>
      <c r="C39" s="143"/>
      <c r="D39" s="1122">
        <v>8</v>
      </c>
      <c r="E39" s="1123"/>
      <c r="F39" s="1124"/>
      <c r="G39" s="1125"/>
      <c r="H39" s="1125"/>
      <c r="I39" s="1125"/>
      <c r="J39" s="1125"/>
      <c r="K39" s="1125"/>
      <c r="L39" s="1125"/>
      <c r="M39" s="1125"/>
      <c r="N39" s="1125"/>
      <c r="O39" s="1125"/>
      <c r="P39" s="1125"/>
      <c r="Q39" s="1125"/>
      <c r="R39" s="1126"/>
      <c r="S39" s="1156"/>
      <c r="T39" s="1157"/>
      <c r="U39" s="1157"/>
      <c r="V39" s="1157"/>
      <c r="W39" s="1157"/>
      <c r="X39" s="1158"/>
      <c r="Y39" s="1152"/>
      <c r="Z39" s="1131"/>
      <c r="AA39" s="1131"/>
      <c r="AB39" s="1131"/>
      <c r="AC39" s="1131"/>
      <c r="AD39" s="1132"/>
      <c r="AE39" s="1159"/>
      <c r="AF39" s="1160"/>
      <c r="AG39" s="1160"/>
      <c r="AH39" s="1161"/>
    </row>
    <row r="40" ht="13.5" customHeight="1" spans="1:34" x14ac:dyDescent="0.25">
      <c r="A40" s="143"/>
      <c r="B40" s="143"/>
      <c r="C40" s="143"/>
      <c r="D40" s="1136"/>
      <c r="E40" s="203"/>
      <c r="F40" s="1137"/>
      <c r="G40" s="1138"/>
      <c r="H40" s="1138"/>
      <c r="I40" s="1138"/>
      <c r="J40" s="1138"/>
      <c r="K40" s="1138"/>
      <c r="L40" s="1138"/>
      <c r="M40" s="1138"/>
      <c r="N40" s="1138"/>
      <c r="O40" s="1138"/>
      <c r="P40" s="1138"/>
      <c r="Q40" s="1138"/>
      <c r="R40" s="1139"/>
      <c r="S40" s="1153"/>
      <c r="T40" s="1154"/>
      <c r="U40" s="1154"/>
      <c r="V40" s="1154"/>
      <c r="W40" s="1154"/>
      <c r="X40" s="1155"/>
      <c r="Y40" s="1143"/>
      <c r="Z40" s="1144"/>
      <c r="AA40" s="1144"/>
      <c r="AB40" s="1144"/>
      <c r="AC40" s="1144"/>
      <c r="AD40" s="1145"/>
      <c r="AE40" s="1146"/>
      <c r="AF40" s="1147"/>
      <c r="AG40" s="1147"/>
      <c r="AH40" s="1148"/>
    </row>
    <row r="41" ht="13.5" customHeight="1" spans="1:34" x14ac:dyDescent="0.25">
      <c r="A41" s="143"/>
      <c r="B41" s="143"/>
      <c r="C41" s="143"/>
      <c r="D41" s="1122">
        <v>9</v>
      </c>
      <c r="E41" s="1123"/>
      <c r="F41" s="1124"/>
      <c r="G41" s="1125"/>
      <c r="H41" s="1125"/>
      <c r="I41" s="1125"/>
      <c r="J41" s="1125"/>
      <c r="K41" s="1125"/>
      <c r="L41" s="1125"/>
      <c r="M41" s="1125"/>
      <c r="N41" s="1125"/>
      <c r="O41" s="1125"/>
      <c r="P41" s="1125"/>
      <c r="Q41" s="1125"/>
      <c r="R41" s="1126"/>
      <c r="S41" s="1149"/>
      <c r="T41" s="1150"/>
      <c r="U41" s="1150"/>
      <c r="V41" s="1150"/>
      <c r="W41" s="1150"/>
      <c r="X41" s="1151"/>
      <c r="Y41" s="1152"/>
      <c r="Z41" s="1131"/>
      <c r="AA41" s="1131"/>
      <c r="AB41" s="1131"/>
      <c r="AC41" s="1131"/>
      <c r="AD41" s="1132"/>
      <c r="AE41" s="1133"/>
      <c r="AF41" s="1134"/>
      <c r="AG41" s="1134"/>
      <c r="AH41" s="1135"/>
    </row>
    <row r="42" ht="13.5" customHeight="1" spans="1:34" x14ac:dyDescent="0.25">
      <c r="A42" s="143"/>
      <c r="B42" s="143"/>
      <c r="C42" s="143"/>
      <c r="D42" s="1136"/>
      <c r="E42" s="203"/>
      <c r="F42" s="1137"/>
      <c r="G42" s="1138"/>
      <c r="H42" s="1138"/>
      <c r="I42" s="1138"/>
      <c r="J42" s="1138"/>
      <c r="K42" s="1138"/>
      <c r="L42" s="1138"/>
      <c r="M42" s="1138"/>
      <c r="N42" s="1138"/>
      <c r="O42" s="1138"/>
      <c r="P42" s="1138"/>
      <c r="Q42" s="1138"/>
      <c r="R42" s="1139"/>
      <c r="S42" s="1153"/>
      <c r="T42" s="1154"/>
      <c r="U42" s="1154"/>
      <c r="V42" s="1154"/>
      <c r="W42" s="1154"/>
      <c r="X42" s="1155"/>
      <c r="Y42" s="1143"/>
      <c r="Z42" s="1144"/>
      <c r="AA42" s="1144"/>
      <c r="AB42" s="1144"/>
      <c r="AC42" s="1144"/>
      <c r="AD42" s="1145"/>
      <c r="AE42" s="1146"/>
      <c r="AF42" s="1147"/>
      <c r="AG42" s="1147"/>
      <c r="AH42" s="1148"/>
    </row>
    <row r="43" ht="13.5" customHeight="1" spans="1:34" x14ac:dyDescent="0.25">
      <c r="A43" s="143"/>
      <c r="B43" s="143"/>
      <c r="C43" s="143"/>
      <c r="D43" s="1122">
        <v>10</v>
      </c>
      <c r="E43" s="1123"/>
      <c r="F43" s="1124"/>
      <c r="G43" s="1125"/>
      <c r="H43" s="1125"/>
      <c r="I43" s="1125"/>
      <c r="J43" s="1125"/>
      <c r="K43" s="1125"/>
      <c r="L43" s="1125"/>
      <c r="M43" s="1125"/>
      <c r="N43" s="1125"/>
      <c r="O43" s="1125"/>
      <c r="P43" s="1125"/>
      <c r="Q43" s="1125"/>
      <c r="R43" s="1126"/>
      <c r="S43" s="1149"/>
      <c r="T43" s="1150"/>
      <c r="U43" s="1150"/>
      <c r="V43" s="1150"/>
      <c r="W43" s="1150"/>
      <c r="X43" s="1151"/>
      <c r="Y43" s="1152"/>
      <c r="Z43" s="1131"/>
      <c r="AA43" s="1131"/>
      <c r="AB43" s="1131"/>
      <c r="AC43" s="1131"/>
      <c r="AD43" s="1132"/>
      <c r="AE43" s="1133"/>
      <c r="AF43" s="1134"/>
      <c r="AG43" s="1134"/>
      <c r="AH43" s="1135"/>
    </row>
    <row r="44" ht="13.5" customHeight="1" spans="1:34" x14ac:dyDescent="0.25">
      <c r="A44" s="143"/>
      <c r="B44" s="143"/>
      <c r="C44" s="143"/>
      <c r="D44" s="1136"/>
      <c r="E44" s="203"/>
      <c r="F44" s="1137"/>
      <c r="G44" s="1138"/>
      <c r="H44" s="1138"/>
      <c r="I44" s="1138"/>
      <c r="J44" s="1138"/>
      <c r="K44" s="1138"/>
      <c r="L44" s="1138"/>
      <c r="M44" s="1138"/>
      <c r="N44" s="1138"/>
      <c r="O44" s="1138"/>
      <c r="P44" s="1138"/>
      <c r="Q44" s="1138"/>
      <c r="R44" s="1139"/>
      <c r="S44" s="1153"/>
      <c r="T44" s="1154"/>
      <c r="U44" s="1154"/>
      <c r="V44" s="1154"/>
      <c r="W44" s="1154"/>
      <c r="X44" s="1155"/>
      <c r="Y44" s="1143"/>
      <c r="Z44" s="1144"/>
      <c r="AA44" s="1144"/>
      <c r="AB44" s="1144"/>
      <c r="AC44" s="1144"/>
      <c r="AD44" s="1145"/>
      <c r="AE44" s="1146"/>
      <c r="AF44" s="1147"/>
      <c r="AG44" s="1147"/>
      <c r="AH44" s="1148"/>
    </row>
    <row r="45" ht="13.5" customHeight="1" spans="1:34" x14ac:dyDescent="0.25">
      <c r="A45" s="143"/>
      <c r="B45" s="143"/>
      <c r="C45" s="143"/>
      <c r="D45" s="1122">
        <v>11</v>
      </c>
      <c r="E45" s="1123"/>
      <c r="F45" s="1124"/>
      <c r="G45" s="1125"/>
      <c r="H45" s="1125"/>
      <c r="I45" s="1125"/>
      <c r="J45" s="1125"/>
      <c r="K45" s="1125"/>
      <c r="L45" s="1125"/>
      <c r="M45" s="1125"/>
      <c r="N45" s="1125"/>
      <c r="O45" s="1125"/>
      <c r="P45" s="1125"/>
      <c r="Q45" s="1125"/>
      <c r="R45" s="1126"/>
      <c r="S45" s="1149"/>
      <c r="T45" s="1150"/>
      <c r="U45" s="1150"/>
      <c r="V45" s="1150"/>
      <c r="W45" s="1150"/>
      <c r="X45" s="1151"/>
      <c r="Y45" s="1152"/>
      <c r="Z45" s="1131"/>
      <c r="AA45" s="1131"/>
      <c r="AB45" s="1131"/>
      <c r="AC45" s="1131"/>
      <c r="AD45" s="1132"/>
      <c r="AE45" s="1133"/>
      <c r="AF45" s="1134"/>
      <c r="AG45" s="1134"/>
      <c r="AH45" s="1135"/>
    </row>
    <row r="46" ht="13.5" customHeight="1" spans="1:34" x14ac:dyDescent="0.25">
      <c r="A46" s="143"/>
      <c r="B46" s="143"/>
      <c r="C46" s="143"/>
      <c r="D46" s="1136"/>
      <c r="E46" s="203"/>
      <c r="F46" s="1137"/>
      <c r="G46" s="1138"/>
      <c r="H46" s="1138"/>
      <c r="I46" s="1138"/>
      <c r="J46" s="1138"/>
      <c r="K46" s="1138"/>
      <c r="L46" s="1138"/>
      <c r="M46" s="1138"/>
      <c r="N46" s="1138"/>
      <c r="O46" s="1138"/>
      <c r="P46" s="1138"/>
      <c r="Q46" s="1138"/>
      <c r="R46" s="1139"/>
      <c r="S46" s="1153"/>
      <c r="T46" s="1154"/>
      <c r="U46" s="1154"/>
      <c r="V46" s="1154"/>
      <c r="W46" s="1154"/>
      <c r="X46" s="1155"/>
      <c r="Y46" s="1143"/>
      <c r="Z46" s="1144"/>
      <c r="AA46" s="1144"/>
      <c r="AB46" s="1144"/>
      <c r="AC46" s="1144"/>
      <c r="AD46" s="1145"/>
      <c r="AE46" s="1146"/>
      <c r="AF46" s="1147"/>
      <c r="AG46" s="1147"/>
      <c r="AH46" s="1148"/>
    </row>
    <row r="47" ht="13.5" customHeight="1" spans="1:34" x14ac:dyDescent="0.25">
      <c r="A47" s="143"/>
      <c r="B47" s="143"/>
      <c r="C47" s="143"/>
      <c r="D47" s="1122">
        <v>12</v>
      </c>
      <c r="E47" s="1123"/>
      <c r="F47" s="1124"/>
      <c r="G47" s="1125"/>
      <c r="H47" s="1125"/>
      <c r="I47" s="1125"/>
      <c r="J47" s="1125"/>
      <c r="K47" s="1125"/>
      <c r="L47" s="1125"/>
      <c r="M47" s="1125"/>
      <c r="N47" s="1125"/>
      <c r="O47" s="1125"/>
      <c r="P47" s="1125"/>
      <c r="Q47" s="1125"/>
      <c r="R47" s="1126"/>
      <c r="S47" s="1156"/>
      <c r="T47" s="1157"/>
      <c r="U47" s="1157"/>
      <c r="V47" s="1157"/>
      <c r="W47" s="1157"/>
      <c r="X47" s="1158"/>
      <c r="Y47" s="1152"/>
      <c r="Z47" s="1131"/>
      <c r="AA47" s="1131"/>
      <c r="AB47" s="1131"/>
      <c r="AC47" s="1131"/>
      <c r="AD47" s="1132"/>
      <c r="AE47" s="1159"/>
      <c r="AF47" s="1160"/>
      <c r="AG47" s="1160"/>
      <c r="AH47" s="1161"/>
    </row>
    <row r="48" ht="13.5" customHeight="1" spans="1:34" x14ac:dyDescent="0.25">
      <c r="A48" s="143"/>
      <c r="B48" s="143"/>
      <c r="C48" s="143"/>
      <c r="D48" s="1136"/>
      <c r="E48" s="203"/>
      <c r="F48" s="1137"/>
      <c r="G48" s="1138"/>
      <c r="H48" s="1138"/>
      <c r="I48" s="1138"/>
      <c r="J48" s="1138"/>
      <c r="K48" s="1138"/>
      <c r="L48" s="1138"/>
      <c r="M48" s="1138"/>
      <c r="N48" s="1138"/>
      <c r="O48" s="1138"/>
      <c r="P48" s="1138"/>
      <c r="Q48" s="1138"/>
      <c r="R48" s="1139"/>
      <c r="S48" s="1153"/>
      <c r="T48" s="1154"/>
      <c r="U48" s="1154"/>
      <c r="V48" s="1154"/>
      <c r="W48" s="1154"/>
      <c r="X48" s="1155"/>
      <c r="Y48" s="1143"/>
      <c r="Z48" s="1144"/>
      <c r="AA48" s="1144"/>
      <c r="AB48" s="1144"/>
      <c r="AC48" s="1144"/>
      <c r="AD48" s="1145"/>
      <c r="AE48" s="1146"/>
      <c r="AF48" s="1147"/>
      <c r="AG48" s="1147"/>
      <c r="AH48" s="1148"/>
    </row>
    <row r="49" ht="13.5" customHeight="1" spans="1:34" x14ac:dyDescent="0.25">
      <c r="A49" s="143"/>
      <c r="B49" s="143"/>
      <c r="C49" s="143"/>
      <c r="D49" s="1162"/>
      <c r="E49" s="1163"/>
      <c r="F49" s="1164" t="s">
        <v>1972</v>
      </c>
      <c r="G49" s="1165"/>
      <c r="H49" s="1165"/>
      <c r="I49" s="1165"/>
      <c r="J49" s="1165"/>
      <c r="K49" s="1165"/>
      <c r="L49" s="1165"/>
      <c r="M49" s="1165"/>
      <c r="N49" s="1165"/>
      <c r="O49" s="1165"/>
      <c r="P49" s="1165"/>
      <c r="Q49" s="1165"/>
      <c r="R49" s="1166"/>
      <c r="S49" s="1167"/>
      <c r="T49" s="1168"/>
      <c r="U49" s="1168"/>
      <c r="V49" s="1168"/>
      <c r="W49" s="1168"/>
      <c r="X49" s="1169"/>
      <c r="Y49" s="1170">
        <f>SUM(Y25:AD48)</f>
        <v>50000</v>
      </c>
      <c r="Z49" s="1171"/>
      <c r="AA49" s="1171"/>
      <c r="AB49" s="1171"/>
      <c r="AC49" s="1171"/>
      <c r="AD49" s="1172"/>
      <c r="AE49" s="1173"/>
      <c r="AF49" s="1174"/>
      <c r="AG49" s="1174"/>
      <c r="AH49" s="1175"/>
    </row>
    <row r="50" ht="13.5" customHeight="1" spans="1:34" x14ac:dyDescent="0.25">
      <c r="A50" s="143"/>
      <c r="B50" s="143"/>
      <c r="C50" s="143"/>
      <c r="D50" s="1176"/>
      <c r="E50" s="1177"/>
      <c r="F50" s="1178"/>
      <c r="G50" s="1179"/>
      <c r="H50" s="1179"/>
      <c r="I50" s="1179"/>
      <c r="J50" s="1179"/>
      <c r="K50" s="1179"/>
      <c r="L50" s="1179"/>
      <c r="M50" s="1179"/>
      <c r="N50" s="1179"/>
      <c r="O50" s="1179"/>
      <c r="P50" s="1179"/>
      <c r="Q50" s="1179"/>
      <c r="R50" s="1180"/>
      <c r="S50" s="1181"/>
      <c r="T50" s="1182"/>
      <c r="U50" s="1182"/>
      <c r="V50" s="1182"/>
      <c r="W50" s="1182"/>
      <c r="X50" s="1183"/>
      <c r="Y50" s="1184"/>
      <c r="Z50" s="1185"/>
      <c r="AA50" s="1185"/>
      <c r="AB50" s="1185"/>
      <c r="AC50" s="1185"/>
      <c r="AD50" s="1186"/>
      <c r="AE50" s="1187"/>
      <c r="AF50" s="1188"/>
      <c r="AG50" s="1188"/>
      <c r="AH50" s="1189"/>
    </row>
    <row r="51" ht="13.5" customHeight="1" spans="1:34" x14ac:dyDescent="0.25">
      <c r="A51" s="143"/>
      <c r="B51" s="143"/>
      <c r="C51" s="143"/>
      <c r="D51" s="1190"/>
      <c r="E51" s="1191"/>
      <c r="F51" s="1192" t="s">
        <v>1973</v>
      </c>
      <c r="G51" s="166"/>
      <c r="H51" s="166"/>
      <c r="I51" s="166"/>
      <c r="J51" s="166"/>
      <c r="K51" s="166"/>
      <c r="L51" s="166"/>
      <c r="M51" s="166"/>
      <c r="N51" s="166"/>
      <c r="O51" s="166"/>
      <c r="P51" s="166"/>
      <c r="Q51" s="166"/>
      <c r="R51" s="1193"/>
      <c r="S51" s="1194">
        <f>SUM(Y49:AD50)*1.1</f>
        <v>55000.00000000001</v>
      </c>
      <c r="T51" s="1195"/>
      <c r="U51" s="1195"/>
      <c r="V51" s="1195"/>
      <c r="W51" s="1195"/>
      <c r="X51" s="1195"/>
      <c r="Y51" s="1195"/>
      <c r="Z51" s="1195"/>
      <c r="AA51" s="1195"/>
      <c r="AB51" s="1195"/>
      <c r="AC51" s="1195"/>
      <c r="AD51" s="1196"/>
      <c r="AE51" s="1159"/>
      <c r="AF51" s="1160"/>
      <c r="AG51" s="1160"/>
      <c r="AH51" s="1161"/>
    </row>
    <row r="52" ht="14.25" customHeight="1" spans="1:34" x14ac:dyDescent="0.25">
      <c r="A52" s="143"/>
      <c r="B52" s="143"/>
      <c r="C52" s="143"/>
      <c r="D52" s="1197"/>
      <c r="E52" s="1198"/>
      <c r="F52" s="1199"/>
      <c r="G52" s="1200"/>
      <c r="H52" s="1200"/>
      <c r="I52" s="1200"/>
      <c r="J52" s="1200"/>
      <c r="K52" s="1200"/>
      <c r="L52" s="1200"/>
      <c r="M52" s="1200"/>
      <c r="N52" s="1200"/>
      <c r="O52" s="1200"/>
      <c r="P52" s="1200"/>
      <c r="Q52" s="1200"/>
      <c r="R52" s="1201"/>
      <c r="S52" s="1202"/>
      <c r="T52" s="1203"/>
      <c r="U52" s="1203"/>
      <c r="V52" s="1203"/>
      <c r="W52" s="1203"/>
      <c r="X52" s="1203"/>
      <c r="Y52" s="1203"/>
      <c r="Z52" s="1203"/>
      <c r="AA52" s="1203"/>
      <c r="AB52" s="1203"/>
      <c r="AC52" s="1203"/>
      <c r="AD52" s="1204"/>
      <c r="AE52" s="1205"/>
      <c r="AF52" s="1206"/>
      <c r="AG52" s="1206"/>
      <c r="AH52" s="1207"/>
    </row>
  </sheetData>
  <mergeCells count="83">
    <mergeCell ref="H3:AB4"/>
    <mergeCell ref="H6:AE7"/>
    <mergeCell ref="H8:AE9"/>
    <mergeCell ref="S15:V15"/>
    <mergeCell ref="X15:Y15"/>
    <mergeCell ref="AA15:AB15"/>
    <mergeCell ref="H18:Y18"/>
    <mergeCell ref="H20:Y20"/>
    <mergeCell ref="H22:Y22"/>
    <mergeCell ref="D24:E24"/>
    <mergeCell ref="F24:R24"/>
    <mergeCell ref="S24:X24"/>
    <mergeCell ref="Y24:AD24"/>
    <mergeCell ref="AE24:AH24"/>
    <mergeCell ref="D25:E26"/>
    <mergeCell ref="F25:R26"/>
    <mergeCell ref="S25:X26"/>
    <mergeCell ref="Y25:AD26"/>
    <mergeCell ref="AE25:AH26"/>
    <mergeCell ref="D27:E28"/>
    <mergeCell ref="F27:R28"/>
    <mergeCell ref="S27:X28"/>
    <mergeCell ref="Y27:AD28"/>
    <mergeCell ref="AE27:AH28"/>
    <mergeCell ref="D29:E30"/>
    <mergeCell ref="F29:R30"/>
    <mergeCell ref="S29:X30"/>
    <mergeCell ref="Y29:AD30"/>
    <mergeCell ref="AE29:AH30"/>
    <mergeCell ref="D31:E32"/>
    <mergeCell ref="F31:R32"/>
    <mergeCell ref="S31:X32"/>
    <mergeCell ref="Y31:AD32"/>
    <mergeCell ref="AE31:AH32"/>
    <mergeCell ref="D33:E34"/>
    <mergeCell ref="F33:R34"/>
    <mergeCell ref="S33:X34"/>
    <mergeCell ref="Y33:AD34"/>
    <mergeCell ref="AE33:AH34"/>
    <mergeCell ref="D35:E36"/>
    <mergeCell ref="F35:R36"/>
    <mergeCell ref="S35:X36"/>
    <mergeCell ref="Y35:AD36"/>
    <mergeCell ref="AE35:AH36"/>
    <mergeCell ref="D37:E38"/>
    <mergeCell ref="F37:R38"/>
    <mergeCell ref="S37:X38"/>
    <mergeCell ref="Y37:AD38"/>
    <mergeCell ref="AE37:AH38"/>
    <mergeCell ref="D39:E40"/>
    <mergeCell ref="F39:R40"/>
    <mergeCell ref="S39:X40"/>
    <mergeCell ref="Y39:AD40"/>
    <mergeCell ref="AE39:AH40"/>
    <mergeCell ref="D41:E42"/>
    <mergeCell ref="F41:R42"/>
    <mergeCell ref="S41:X42"/>
    <mergeCell ref="Y41:AD42"/>
    <mergeCell ref="AE41:AH42"/>
    <mergeCell ref="D43:E44"/>
    <mergeCell ref="F43:R44"/>
    <mergeCell ref="S43:X44"/>
    <mergeCell ref="Y43:AD44"/>
    <mergeCell ref="AE43:AH44"/>
    <mergeCell ref="D45:E46"/>
    <mergeCell ref="F45:R46"/>
    <mergeCell ref="S45:X46"/>
    <mergeCell ref="Y45:AD46"/>
    <mergeCell ref="AE45:AH46"/>
    <mergeCell ref="D47:E48"/>
    <mergeCell ref="F47:R48"/>
    <mergeCell ref="S47:X48"/>
    <mergeCell ref="Y47:AD48"/>
    <mergeCell ref="AE47:AH48"/>
    <mergeCell ref="D49:E50"/>
    <mergeCell ref="F49:R50"/>
    <mergeCell ref="S49:X50"/>
    <mergeCell ref="Y49:AD50"/>
    <mergeCell ref="AE49:AH50"/>
    <mergeCell ref="D51:E52"/>
    <mergeCell ref="F51:R52"/>
    <mergeCell ref="S51:AD52"/>
    <mergeCell ref="AE51:AH52"/>
  </mergeCells>
  <pageMargins left="0.7" right="0.7" top="0.75" bottom="0.75" header="0.3" footer="0.3"/>
  <pageSetup paperSize="9" orientation="portrait" horizontalDpi="4294967295" verticalDpi="4294967295" scale="99" fitToWidth="1" fitToHeight="1"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L66"/>
  <sheetViews>
    <sheetView workbookViewId="0" zoomScale="80" zoomScaleNormal="100" view="pageBreakPreview">
      <selection activeCell="D20" sqref="D20"/>
    </sheetView>
  </sheetViews>
  <sheetFormatPr defaultRowHeight="15" outlineLevelRow="0" outlineLevelCol="0" x14ac:dyDescent="0"/>
  <cols>
    <col min="1" max="1" width="4" customWidth="1"/>
    <col min="2" max="3" width="7.28515625" customWidth="1"/>
    <col min="4" max="8" width="8.7109375" customWidth="1"/>
    <col min="9" max="9" width="7.7109375" customWidth="1"/>
    <col min="10" max="11" width="8.7109375" customWidth="1"/>
  </cols>
  <sheetData>
    <row r="1" ht="28.5" customHeight="1" spans="2:11" x14ac:dyDescent="0.25">
      <c r="B1" s="1366"/>
      <c r="C1" s="1367" t="s">
        <v>2019</v>
      </c>
      <c r="D1" s="1367"/>
      <c r="E1" s="1367"/>
      <c r="F1" s="1367"/>
      <c r="G1" s="1367"/>
      <c r="H1" s="1367"/>
      <c r="I1" s="1367"/>
      <c r="J1" s="1366"/>
      <c r="K1" s="1366"/>
    </row>
    <row r="2" ht="28.5" customHeight="1" spans="2:11" x14ac:dyDescent="0.25">
      <c r="B2" s="1366"/>
      <c r="C2" s="1367"/>
      <c r="D2" s="1367"/>
      <c r="E2" s="1367"/>
      <c r="F2" s="1367"/>
      <c r="G2" s="1367"/>
      <c r="H2" s="1367"/>
      <c r="I2" s="1367"/>
      <c r="J2" s="1366"/>
      <c r="K2" s="1366"/>
    </row>
    <row r="3" ht="18" customHeight="1" spans="1:11" x14ac:dyDescent="0.25">
      <c r="A3" s="1368"/>
      <c r="B3" s="1368"/>
      <c r="C3" s="507"/>
      <c r="D3" s="507"/>
      <c r="E3" s="507"/>
      <c r="F3" s="507"/>
      <c r="G3" s="507"/>
      <c r="H3" s="507"/>
      <c r="I3" s="507"/>
      <c r="J3" s="1369">
        <f>TODAY()</f>
        <v>46026</v>
      </c>
      <c r="K3" s="1369"/>
    </row>
    <row r="4" ht="18" customHeight="1" spans="1:10" x14ac:dyDescent="0.25">
      <c r="A4" s="515"/>
      <c r="C4" s="507"/>
      <c r="D4" s="507"/>
      <c r="E4" s="507"/>
      <c r="F4" s="507"/>
      <c r="G4" s="507"/>
      <c r="H4" s="507"/>
      <c r="I4" s="507"/>
      <c r="J4" s="137"/>
    </row>
    <row r="5" ht="18" customHeight="1" spans="1:11" x14ac:dyDescent="0.25">
      <c r="A5" s="515"/>
      <c r="C5" s="507"/>
      <c r="D5" s="507"/>
      <c r="E5" s="507"/>
      <c r="F5" s="507"/>
      <c r="G5" s="507"/>
      <c r="H5" s="507"/>
      <c r="I5" s="507"/>
      <c r="J5" s="331"/>
      <c r="K5" s="331" t="s">
        <v>2020</v>
      </c>
    </row>
    <row r="6" ht="20.1" customHeight="1" spans="1:11" x14ac:dyDescent="0.25">
      <c r="A6" s="507"/>
      <c r="B6" s="507"/>
      <c r="C6" s="507"/>
      <c r="D6" s="507"/>
      <c r="E6" s="507"/>
      <c r="F6" s="507"/>
      <c r="G6" s="507"/>
      <c r="H6" s="507"/>
      <c r="I6" s="507"/>
      <c r="J6" s="1370"/>
      <c r="K6" s="1371"/>
    </row>
    <row r="7" ht="20.1" customHeight="1" spans="1:11" x14ac:dyDescent="0.25">
      <c r="A7" s="507"/>
      <c r="B7" s="507"/>
      <c r="C7" s="507"/>
      <c r="D7" s="507"/>
      <c r="E7" s="507"/>
      <c r="F7" s="507"/>
      <c r="G7" s="507"/>
      <c r="H7" s="507"/>
      <c r="I7" s="507"/>
      <c r="J7" s="1372"/>
      <c r="K7" s="1373"/>
    </row>
    <row r="8" ht="18" customHeight="1" spans="1:11" x14ac:dyDescent="0.25">
      <c r="A8" s="507"/>
      <c r="B8" s="507" t="s">
        <v>2021</v>
      </c>
      <c r="C8" s="507"/>
      <c r="D8" s="507"/>
      <c r="E8" s="507"/>
      <c r="F8" s="507"/>
      <c r="G8" s="507"/>
      <c r="H8" s="507"/>
      <c r="I8" s="507"/>
      <c r="J8" s="507"/>
      <c r="K8" s="507"/>
    </row>
    <row r="9" ht="18" customHeight="1" spans="1:11" x14ac:dyDescent="0.25">
      <c r="A9" s="507"/>
      <c r="B9" s="507" t="s">
        <v>2022</v>
      </c>
      <c r="C9" s="507"/>
      <c r="D9" s="507"/>
      <c r="E9" s="507"/>
      <c r="F9" s="507"/>
      <c r="G9" s="507"/>
      <c r="H9" s="507"/>
      <c r="I9" s="507"/>
      <c r="J9" s="507"/>
      <c r="K9" s="507"/>
    </row>
    <row r="10" ht="18" customHeight="1" spans="1:11" x14ac:dyDescent="0.25">
      <c r="A10" s="507"/>
      <c r="B10" s="507"/>
      <c r="C10" s="507"/>
      <c r="D10" s="507"/>
      <c r="E10" s="507"/>
      <c r="F10" s="507"/>
      <c r="G10" s="507"/>
      <c r="H10" s="507"/>
      <c r="I10" s="507"/>
      <c r="J10" s="507"/>
      <c r="K10" s="507"/>
    </row>
    <row r="11" ht="18" customHeight="1" spans="1:9" x14ac:dyDescent="0.25">
      <c r="A11" s="507"/>
      <c r="B11" s="515" t="s">
        <v>2023</v>
      </c>
      <c r="C11" s="507" t="s">
        <v>2024</v>
      </c>
      <c r="D11" s="507"/>
      <c r="E11" s="507"/>
      <c r="F11" s="507"/>
      <c r="G11" s="507"/>
      <c r="H11" s="507"/>
      <c r="I11" s="507"/>
    </row>
    <row r="12" ht="18" customHeight="1" spans="1:11" x14ac:dyDescent="0.25">
      <c r="A12" s="507"/>
      <c r="B12" s="515" t="s">
        <v>2023</v>
      </c>
      <c r="C12" s="507" t="s">
        <v>2025</v>
      </c>
      <c r="D12" s="1366"/>
      <c r="E12" s="1366"/>
      <c r="F12" s="1366"/>
      <c r="G12" s="1366"/>
      <c r="H12" s="507"/>
      <c r="J12" s="1374"/>
      <c r="K12" s="1374"/>
    </row>
    <row r="13" ht="18" customHeight="1" spans="2:11" x14ac:dyDescent="0.25">
      <c r="B13" s="515" t="s">
        <v>2026</v>
      </c>
      <c r="C13" s="507" t="s">
        <v>2027</v>
      </c>
      <c r="D13" s="1375"/>
      <c r="E13" s="507"/>
      <c r="F13" s="507"/>
      <c r="G13" s="1009"/>
      <c r="H13" s="1009"/>
      <c r="I13" s="137"/>
      <c r="J13" s="137"/>
      <c r="K13" s="137"/>
    </row>
    <row r="14" ht="18" customHeight="1" spans="2:11" x14ac:dyDescent="0.25">
      <c r="B14" s="515" t="s">
        <v>2026</v>
      </c>
      <c r="C14" s="1012" t="s">
        <v>2028</v>
      </c>
      <c r="D14" s="1375"/>
      <c r="E14" s="507"/>
      <c r="F14" s="507"/>
      <c r="G14" s="1009"/>
      <c r="H14" s="1009"/>
      <c r="I14" s="137"/>
      <c r="J14" s="137"/>
      <c r="K14" s="137"/>
    </row>
    <row r="15" ht="18" customHeight="1" spans="2:11" x14ac:dyDescent="0.25">
      <c r="B15" s="515" t="s">
        <v>2029</v>
      </c>
      <c r="C15" s="507" t="s">
        <v>1814</v>
      </c>
      <c r="D15" s="507"/>
      <c r="E15" s="507"/>
      <c r="F15" s="507"/>
      <c r="G15" s="507"/>
      <c r="H15" s="1009"/>
      <c r="I15" s="137"/>
      <c r="J15" s="137"/>
      <c r="K15" s="137"/>
    </row>
    <row r="16" ht="18" customHeight="1" spans="4:11" x14ac:dyDescent="0.25">
      <c r="D16" s="1375"/>
      <c r="E16" s="507"/>
      <c r="F16" s="507"/>
      <c r="G16" s="507"/>
      <c r="H16" s="507"/>
      <c r="I16" s="507"/>
      <c r="J16" s="507"/>
      <c r="K16" s="507"/>
    </row>
    <row r="17" ht="18" customHeight="1" spans="1:11" x14ac:dyDescent="0.25">
      <c r="A17" s="507"/>
      <c r="B17" s="507"/>
      <c r="C17" s="507"/>
      <c r="D17" s="507"/>
      <c r="E17" s="507"/>
      <c r="F17" s="1376" t="s">
        <v>2030</v>
      </c>
      <c r="G17" s="1009" t="s">
        <v>2031</v>
      </c>
      <c r="H17" s="1009"/>
      <c r="I17" s="1009"/>
      <c r="J17" s="1009"/>
      <c r="K17" s="1377"/>
    </row>
    <row r="18" ht="18" customHeight="1" spans="1:11" x14ac:dyDescent="0.25">
      <c r="A18" s="507"/>
      <c r="B18" s="507"/>
      <c r="C18" s="507"/>
      <c r="D18" s="507"/>
      <c r="E18" s="507"/>
      <c r="F18" s="1376" t="s">
        <v>2032</v>
      </c>
      <c r="G18" s="1009" t="str">
        <f>初期入力!B12</f>
        <v>田畑　美香</v>
      </c>
      <c r="H18" s="1009"/>
      <c r="I18" s="1009"/>
      <c r="J18" s="1009"/>
      <c r="K18" s="1378" t="s">
        <v>2033</v>
      </c>
    </row>
    <row r="19" ht="18" customHeight="1" spans="1:5" x14ac:dyDescent="0.25">
      <c r="A19" s="507"/>
      <c r="B19" s="507"/>
      <c r="C19" s="507"/>
      <c r="D19" s="507"/>
      <c r="E19" s="507"/>
    </row>
    <row r="20" ht="18" customHeight="1" spans="1:11" x14ac:dyDescent="0.25">
      <c r="A20" s="1379" t="s">
        <v>2034</v>
      </c>
      <c r="B20" s="1380" t="s">
        <v>2035</v>
      </c>
      <c r="C20" s="1380"/>
      <c r="D20" s="1381">
        <f>初期入力!B4</f>
        <v>0</v>
      </c>
      <c r="E20" s="1011"/>
      <c r="F20" s="1011"/>
      <c r="G20" s="1011"/>
      <c r="H20" s="1011">
        <f>初期入力!B6</f>
        <v>0</v>
      </c>
      <c r="I20" s="1011"/>
      <c r="J20" s="1011"/>
      <c r="K20" s="1382"/>
    </row>
    <row r="21" ht="18" customHeight="1" spans="1:11" x14ac:dyDescent="0.25">
      <c r="A21" s="1383"/>
      <c r="B21" s="1380" t="s">
        <v>2036</v>
      </c>
      <c r="C21" s="1380"/>
      <c r="D21" s="1384"/>
      <c r="E21" s="1010"/>
      <c r="F21" s="1010"/>
      <c r="G21" s="1010"/>
      <c r="H21" s="1010"/>
      <c r="I21" s="1010"/>
      <c r="J21" s="1010"/>
      <c r="K21" s="1385"/>
    </row>
    <row r="22" ht="18" customHeight="1" spans="1:11" x14ac:dyDescent="0.25">
      <c r="A22" s="1383"/>
      <c r="B22" s="1380" t="s">
        <v>32</v>
      </c>
      <c r="C22" s="1380"/>
      <c r="D22" s="1386"/>
      <c r="E22" s="1386"/>
      <c r="F22" s="1386"/>
      <c r="G22" s="1380" t="s">
        <v>2037</v>
      </c>
      <c r="H22" s="1380"/>
      <c r="I22" s="1387"/>
      <c r="J22" s="1388"/>
      <c r="K22" s="1389"/>
    </row>
    <row r="23" ht="18" customHeight="1" spans="1:11" x14ac:dyDescent="0.25">
      <c r="A23" s="1383"/>
      <c r="B23" s="1390" t="s">
        <v>2038</v>
      </c>
      <c r="C23" s="1391"/>
      <c r="D23" s="1392"/>
      <c r="E23" s="1392"/>
      <c r="F23" s="1392"/>
      <c r="G23" s="1392"/>
      <c r="H23" s="1392"/>
      <c r="I23" s="1392"/>
      <c r="J23" s="1392"/>
      <c r="K23" s="1393"/>
    </row>
    <row r="24" ht="18" customHeight="1" spans="1:11" x14ac:dyDescent="0.25">
      <c r="A24" s="1383"/>
      <c r="B24" s="1394"/>
      <c r="C24" s="1395"/>
      <c r="D24" s="1395"/>
      <c r="E24" s="1395"/>
      <c r="F24" s="1395"/>
      <c r="G24" s="1395"/>
      <c r="H24" s="1395"/>
      <c r="I24" s="1395"/>
      <c r="J24" s="1395"/>
      <c r="K24" s="1396"/>
    </row>
    <row r="25" ht="18" customHeight="1" spans="1:11" x14ac:dyDescent="0.25">
      <c r="A25" s="1383"/>
      <c r="B25" s="1394"/>
      <c r="C25" s="1395"/>
      <c r="D25" s="1395"/>
      <c r="E25" s="1395"/>
      <c r="F25" s="1395"/>
      <c r="G25" s="1395"/>
      <c r="H25" s="1395"/>
      <c r="I25" s="1395"/>
      <c r="J25" s="1395"/>
      <c r="K25" s="1396"/>
    </row>
    <row r="26" ht="18" customHeight="1" spans="1:11" x14ac:dyDescent="0.25">
      <c r="A26" s="1397"/>
      <c r="B26" s="1398"/>
      <c r="C26" s="1399"/>
      <c r="D26" s="1399"/>
      <c r="E26" s="1399"/>
      <c r="F26" s="1399"/>
      <c r="G26" s="1399"/>
      <c r="H26" s="1399"/>
      <c r="I26" s="1399"/>
      <c r="J26" s="1399"/>
      <c r="K26" s="1400"/>
    </row>
    <row r="27" ht="18" customHeight="1" spans="1:12" x14ac:dyDescent="0.25">
      <c r="A27" s="1401" t="s">
        <v>2039</v>
      </c>
      <c r="B27" s="1402"/>
      <c r="C27" s="1403"/>
      <c r="D27" s="1403"/>
      <c r="E27" s="1403"/>
      <c r="F27" s="1404"/>
      <c r="G27" s="1405" t="s">
        <v>2040</v>
      </c>
      <c r="H27" s="1406" t="s">
        <v>2041</v>
      </c>
      <c r="I27" s="1407"/>
      <c r="J27" s="1407"/>
      <c r="K27" s="1408"/>
      <c r="L27" s="70" t="s">
        <v>1824</v>
      </c>
    </row>
    <row r="28" ht="18" customHeight="1" spans="1:12" x14ac:dyDescent="0.25">
      <c r="A28" s="1409"/>
      <c r="B28" s="1410"/>
      <c r="C28" s="1411"/>
      <c r="D28" s="1411"/>
      <c r="E28" s="1411"/>
      <c r="F28" s="1412"/>
      <c r="G28" s="1413"/>
      <c r="H28" s="1414"/>
      <c r="I28" s="294"/>
      <c r="J28" s="294"/>
      <c r="K28" s="1415"/>
      <c r="L28" s="70" t="s">
        <v>2042</v>
      </c>
    </row>
    <row r="29" ht="18" customHeight="1" spans="1:12" x14ac:dyDescent="0.25">
      <c r="A29" s="1409"/>
      <c r="B29" s="1410"/>
      <c r="C29" s="1411"/>
      <c r="D29" s="1411"/>
      <c r="E29" s="1411"/>
      <c r="F29" s="1412"/>
      <c r="G29" s="1413"/>
      <c r="H29" s="1414"/>
      <c r="I29" s="294"/>
      <c r="J29" s="294"/>
      <c r="K29" s="1415"/>
      <c r="L29" s="70" t="s">
        <v>2043</v>
      </c>
    </row>
    <row r="30" ht="28.15" customHeight="1" spans="1:12" x14ac:dyDescent="0.25">
      <c r="A30" s="1416"/>
      <c r="B30" s="1417" t="s">
        <v>2044</v>
      </c>
      <c r="C30" s="1418"/>
      <c r="D30" s="1418"/>
      <c r="E30" s="1418"/>
      <c r="F30" s="1419"/>
      <c r="G30" s="1420"/>
      <c r="H30" s="1417"/>
      <c r="I30" s="1418"/>
      <c r="J30" s="1418"/>
      <c r="K30" s="1419"/>
      <c r="L30" s="70" t="s">
        <v>2045</v>
      </c>
    </row>
    <row r="31" ht="18" customHeight="1" spans="1:11" x14ac:dyDescent="0.25">
      <c r="A31" s="1421"/>
      <c r="B31" s="507"/>
      <c r="C31" s="507"/>
      <c r="D31" s="507"/>
      <c r="E31" s="1422"/>
      <c r="F31" s="507"/>
      <c r="G31" s="507"/>
      <c r="H31" s="507"/>
      <c r="I31" s="507"/>
      <c r="J31" s="507"/>
      <c r="K31" s="1422"/>
    </row>
    <row r="32" ht="18" customHeight="1" spans="1:1" x14ac:dyDescent="0.25">
      <c r="A32" s="1421"/>
    </row>
    <row r="33" ht="18" customHeight="1" spans="1:1" x14ac:dyDescent="0.25">
      <c r="A33" s="1421"/>
    </row>
    <row r="34" ht="18" customHeight="1" spans="1:1" x14ac:dyDescent="0.25">
      <c r="A34" s="1421"/>
    </row>
    <row r="35" ht="18" customHeight="1" spans="1:1" x14ac:dyDescent="0.25">
      <c r="A35" s="507"/>
    </row>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sheetData>
  <mergeCells count="24">
    <mergeCell ref="C1:I1"/>
    <mergeCell ref="J3:K3"/>
    <mergeCell ref="G17:J17"/>
    <mergeCell ref="G18:J18"/>
    <mergeCell ref="B20:C20"/>
    <mergeCell ref="D20:G20"/>
    <mergeCell ref="H20:K20"/>
    <mergeCell ref="A20:A26"/>
    <mergeCell ref="B21:C21"/>
    <mergeCell ref="D21:G21"/>
    <mergeCell ref="H21:K21"/>
    <mergeCell ref="B22:C22"/>
    <mergeCell ref="D22:F22"/>
    <mergeCell ref="G22:H22"/>
    <mergeCell ref="I22:K22"/>
    <mergeCell ref="B23:C23"/>
    <mergeCell ref="B24:K24"/>
    <mergeCell ref="B25:K25"/>
    <mergeCell ref="B26:K26"/>
    <mergeCell ref="B27:F29"/>
    <mergeCell ref="H27:K30"/>
    <mergeCell ref="A27:A30"/>
    <mergeCell ref="G27:G30"/>
    <mergeCell ref="B30:F30"/>
  </mergeCells>
  <pageMargins left="0.7086614173228347" right="0.31496062992125984" top="0.9448818897637796" bottom="0.7480314960629921" header="0.31496062992125984" footer="0.31496062992125984"/>
  <pageSetup paperSize="9" orientation="portrait" horizontalDpi="4294967295" verticalDpi="4294967295" scale="100"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8"/>
  <sheetViews>
    <sheetView workbookViewId="0" zoomScale="95" zoomScaleNormal="100" view="pageBreakPreview">
      <selection activeCell="G25" sqref="G25"/>
    </sheetView>
  </sheetViews>
  <sheetFormatPr defaultRowHeight="13.5" outlineLevelRow="0" outlineLevelCol="0" x14ac:dyDescent="0" defaultColWidth="9.28515625" customHeight="1"/>
  <cols>
    <col min="1" max="18" width="4.7109375" style="1" customWidth="1"/>
    <col min="19" max="16384" width="9.28515625" style="1" customWidth="1"/>
  </cols>
  <sheetData>
    <row r="1" ht="20.25" customHeight="1" x14ac:dyDescent="0.25"/>
    <row r="2" ht="20.25" customHeight="1" spans="1:19" x14ac:dyDescent="0.25">
      <c r="A2" s="137"/>
      <c r="B2" s="137"/>
      <c r="C2" s="137"/>
      <c r="D2" s="137"/>
      <c r="E2" s="137"/>
      <c r="F2" s="137"/>
      <c r="G2" s="137"/>
      <c r="H2" s="1007" t="s">
        <v>1897</v>
      </c>
      <c r="J2" s="137"/>
      <c r="K2" s="137"/>
      <c r="L2" s="137"/>
      <c r="M2" s="137"/>
      <c r="N2" s="137"/>
      <c r="O2" s="137"/>
      <c r="P2" s="137"/>
      <c r="Q2" s="137"/>
      <c r="R2" s="137"/>
      <c r="S2" s="137"/>
    </row>
    <row r="3" ht="20.25" customHeight="1" spans="1:19" x14ac:dyDescent="0.25">
      <c r="A3" s="137"/>
      <c r="B3" s="137"/>
      <c r="C3" s="137"/>
      <c r="D3" s="137"/>
      <c r="E3" s="137"/>
      <c r="F3" s="137"/>
      <c r="G3" s="137"/>
      <c r="H3" s="137"/>
      <c r="I3" s="137"/>
      <c r="J3" s="137"/>
      <c r="K3" s="137"/>
      <c r="L3" s="137"/>
      <c r="M3" s="137"/>
      <c r="N3" s="137"/>
      <c r="O3" s="137"/>
      <c r="P3" s="137"/>
      <c r="Q3" s="137"/>
      <c r="R3" s="137"/>
      <c r="S3" s="137"/>
    </row>
    <row r="4" ht="20.25" customHeight="1" spans="1:19" x14ac:dyDescent="0.25">
      <c r="A4" s="137"/>
      <c r="B4" s="137"/>
      <c r="C4" s="137"/>
      <c r="D4" s="137"/>
      <c r="E4" s="137"/>
      <c r="F4" s="137"/>
      <c r="G4" s="137"/>
      <c r="H4" s="137"/>
      <c r="I4" s="137"/>
      <c r="J4" s="137"/>
      <c r="K4" s="137"/>
      <c r="L4" s="1008"/>
      <c r="M4" s="1008"/>
      <c r="N4" s="1009" t="s">
        <v>33</v>
      </c>
      <c r="O4" s="1008"/>
      <c r="P4" s="1009" t="s">
        <v>34</v>
      </c>
      <c r="R4" s="1009" t="s">
        <v>35</v>
      </c>
      <c r="S4" s="137"/>
    </row>
    <row r="5" ht="20.25" customHeight="1" spans="1:19" x14ac:dyDescent="0.25">
      <c r="A5" s="137"/>
      <c r="B5" s="137"/>
      <c r="C5" s="137"/>
      <c r="D5" s="137"/>
      <c r="E5" s="137"/>
      <c r="F5" s="137"/>
      <c r="G5" s="137"/>
      <c r="H5" s="137"/>
      <c r="I5" s="137"/>
      <c r="J5" s="137"/>
      <c r="K5" s="137"/>
      <c r="L5" s="137"/>
      <c r="M5" s="137"/>
      <c r="N5" s="137"/>
      <c r="O5" s="137"/>
      <c r="P5" s="137"/>
      <c r="Q5" s="137"/>
      <c r="R5" s="137"/>
      <c r="S5" s="137"/>
    </row>
    <row r="6" ht="20.25" customHeight="1" spans="2:20" x14ac:dyDescent="0.25">
      <c r="B6" s="1010" t="s">
        <v>1538</v>
      </c>
      <c r="C6" s="1010"/>
      <c r="D6" s="1010"/>
      <c r="E6" s="1010"/>
      <c r="F6" s="1010"/>
      <c r="G6" s="1010"/>
      <c r="H6" s="137"/>
      <c r="I6" s="137"/>
      <c r="J6" s="137"/>
      <c r="K6" s="137"/>
      <c r="L6" s="137"/>
      <c r="M6" s="137"/>
      <c r="N6" s="137"/>
      <c r="O6" s="137"/>
      <c r="P6" s="137"/>
      <c r="Q6" s="137"/>
      <c r="R6" s="137"/>
      <c r="S6" s="137"/>
      <c r="T6" s="137"/>
    </row>
    <row r="7" ht="20.25" customHeight="1" spans="2:20" x14ac:dyDescent="0.25">
      <c r="B7" s="1011" t="s">
        <v>1898</v>
      </c>
      <c r="C7" s="1011"/>
      <c r="D7" s="1011"/>
      <c r="E7" s="1011"/>
      <c r="F7" s="1011"/>
      <c r="G7" s="1011"/>
      <c r="H7" s="137"/>
      <c r="I7" s="137"/>
      <c r="J7" s="137"/>
      <c r="K7" s="137"/>
      <c r="L7" s="137"/>
      <c r="M7" s="137"/>
      <c r="N7" s="137"/>
      <c r="O7" s="137"/>
      <c r="P7" s="137"/>
      <c r="Q7" s="137"/>
      <c r="R7" s="137"/>
      <c r="S7" s="137"/>
      <c r="T7" s="137"/>
    </row>
    <row r="8" ht="20.25" customHeight="1" spans="1:19" x14ac:dyDescent="0.25">
      <c r="A8" s="1012"/>
      <c r="B8" s="1012"/>
      <c r="C8" s="1012"/>
      <c r="D8" s="1012"/>
      <c r="E8" s="1012"/>
      <c r="F8" s="1012"/>
      <c r="G8" s="1012"/>
      <c r="H8" s="137"/>
      <c r="I8" s="137"/>
      <c r="J8" s="142" t="s">
        <v>1540</v>
      </c>
      <c r="K8" s="1013">
        <f>初期入力!B5</f>
        <v>0</v>
      </c>
      <c r="L8" s="1013"/>
      <c r="M8" s="1013"/>
      <c r="N8" s="1013"/>
      <c r="O8" s="1013"/>
      <c r="P8" s="1013"/>
      <c r="Q8" s="1013"/>
      <c r="R8" s="1013"/>
      <c r="S8" s="137"/>
    </row>
    <row r="9" ht="20.1" customHeight="1" spans="1:19" x14ac:dyDescent="0.25">
      <c r="A9" s="1012"/>
      <c r="B9" s="1012"/>
      <c r="C9" s="1012"/>
      <c r="D9" s="1012"/>
      <c r="E9" s="1012"/>
      <c r="F9" s="1012"/>
      <c r="G9" s="1012"/>
      <c r="H9" s="137"/>
      <c r="I9" s="137"/>
      <c r="J9" s="142" t="s">
        <v>198</v>
      </c>
      <c r="K9" s="1014">
        <f>初期入力!B4</f>
        <v>0</v>
      </c>
      <c r="L9" s="1014"/>
      <c r="M9" s="1014"/>
      <c r="N9" s="1014"/>
      <c r="O9" s="1014"/>
      <c r="P9" s="1014"/>
      <c r="Q9" s="1014"/>
      <c r="R9" s="1014"/>
      <c r="S9" s="137"/>
    </row>
    <row r="10" ht="20.25" customHeight="1" spans="1:19" x14ac:dyDescent="0.25">
      <c r="A10" s="1012"/>
      <c r="B10" s="1012"/>
      <c r="C10" s="1012"/>
      <c r="D10" s="1012"/>
      <c r="E10" s="1012"/>
      <c r="F10" s="1012"/>
      <c r="G10" s="1012"/>
      <c r="H10" s="137"/>
      <c r="I10" s="137"/>
      <c r="J10" s="142" t="s">
        <v>198</v>
      </c>
      <c r="K10" s="1014">
        <f>IF(初期入力!B6="","",初期入力!B6)</f>
      </c>
      <c r="L10" s="1014"/>
      <c r="M10" s="1014"/>
      <c r="N10" s="1014"/>
      <c r="O10" s="1014"/>
      <c r="P10" s="1014"/>
      <c r="Q10" s="1014"/>
      <c r="R10" s="1014"/>
      <c r="S10" s="137"/>
    </row>
    <row r="11" ht="20.25" customHeight="1" spans="1:19" x14ac:dyDescent="0.25">
      <c r="A11" s="137"/>
      <c r="B11" s="137"/>
      <c r="C11" s="137"/>
      <c r="D11" s="137"/>
      <c r="E11" s="137"/>
      <c r="F11" s="137"/>
      <c r="G11" s="137"/>
      <c r="H11" s="137"/>
      <c r="I11" s="137"/>
      <c r="J11" s="507"/>
      <c r="K11" s="507"/>
      <c r="L11" s="507"/>
      <c r="M11" s="507"/>
      <c r="N11" s="507"/>
      <c r="O11" s="507"/>
      <c r="P11" s="507"/>
      <c r="Q11" s="507"/>
      <c r="R11" s="507"/>
      <c r="S11" s="137"/>
    </row>
    <row r="12" ht="20.25" customHeight="1" spans="1:19" x14ac:dyDescent="0.25">
      <c r="A12" s="137"/>
      <c r="B12" s="137"/>
      <c r="C12" s="137"/>
      <c r="D12" s="137"/>
      <c r="E12" s="137"/>
      <c r="F12" s="137"/>
      <c r="G12" s="137"/>
      <c r="H12" s="137"/>
      <c r="I12" s="137"/>
      <c r="J12" s="137"/>
      <c r="K12" s="137"/>
      <c r="L12" s="137"/>
      <c r="M12" s="137"/>
      <c r="N12" s="137"/>
      <c r="O12" s="137"/>
      <c r="P12" s="137"/>
      <c r="Q12" s="137"/>
      <c r="R12" s="137"/>
      <c r="S12" s="137"/>
    </row>
    <row r="13" ht="20.25" customHeight="1" spans="1:19" x14ac:dyDescent="0.25">
      <c r="A13" s="170"/>
      <c r="B13" s="170"/>
      <c r="C13" s="170"/>
      <c r="D13" s="170"/>
      <c r="E13" s="170"/>
      <c r="F13" s="170"/>
      <c r="G13" s="170"/>
      <c r="H13" s="170"/>
      <c r="I13" s="170"/>
      <c r="J13" s="170"/>
      <c r="K13" s="170"/>
      <c r="L13" s="170"/>
      <c r="M13" s="170"/>
      <c r="N13" s="170"/>
      <c r="O13" s="170"/>
      <c r="P13" s="170"/>
      <c r="Q13" s="170"/>
      <c r="R13" s="137"/>
      <c r="S13" s="137"/>
    </row>
    <row r="14" ht="20.25" customHeight="1" spans="1:19" x14ac:dyDescent="0.25">
      <c r="A14" s="170"/>
      <c r="B14" s="170"/>
      <c r="C14" s="170"/>
      <c r="D14" s="170"/>
      <c r="E14" s="170"/>
      <c r="F14" s="170"/>
      <c r="G14" s="170"/>
      <c r="H14" s="170"/>
      <c r="I14" s="170"/>
      <c r="J14" s="170"/>
      <c r="K14" s="170"/>
      <c r="L14" s="170"/>
      <c r="M14" s="170"/>
      <c r="N14" s="170"/>
      <c r="O14" s="170"/>
      <c r="P14" s="170"/>
      <c r="Q14" s="137"/>
      <c r="R14" s="137"/>
      <c r="S14" s="137"/>
    </row>
    <row r="15" ht="20.25" customHeight="1" spans="3:18" x14ac:dyDescent="0.25">
      <c r="C15" s="137" t="s">
        <v>1899</v>
      </c>
      <c r="D15" s="137"/>
      <c r="E15" s="137"/>
      <c r="F15" s="137"/>
      <c r="G15" s="137"/>
      <c r="H15" s="137"/>
      <c r="I15" s="137"/>
      <c r="J15" s="137"/>
      <c r="K15" s="137"/>
      <c r="L15" s="137"/>
      <c r="M15" s="137"/>
      <c r="N15" s="137"/>
      <c r="O15" s="137"/>
      <c r="P15" s="137"/>
      <c r="Q15" s="137"/>
      <c r="R15" s="137"/>
    </row>
    <row r="16" ht="20.25" customHeight="1" spans="3:18" x14ac:dyDescent="0.25">
      <c r="C16" s="137" t="s">
        <v>1900</v>
      </c>
      <c r="D16" s="137"/>
      <c r="E16" s="137"/>
      <c r="F16" s="137"/>
      <c r="G16" s="137"/>
      <c r="H16" s="137"/>
      <c r="I16" s="137"/>
      <c r="J16" s="137"/>
      <c r="K16" s="137"/>
      <c r="L16" s="137"/>
      <c r="M16" s="137"/>
      <c r="N16" s="137"/>
      <c r="O16" s="137"/>
      <c r="P16" s="137"/>
      <c r="Q16" s="137"/>
      <c r="R16" s="137"/>
    </row>
    <row r="17" ht="20.25" customHeight="1" spans="3:18" x14ac:dyDescent="0.25">
      <c r="C17" s="137"/>
      <c r="D17" s="137"/>
      <c r="E17" s="137"/>
      <c r="F17" s="137"/>
      <c r="G17" s="137"/>
      <c r="H17" s="137"/>
      <c r="I17" s="137"/>
      <c r="J17" s="137"/>
      <c r="K17" s="137"/>
      <c r="L17" s="137"/>
      <c r="M17" s="137"/>
      <c r="N17" s="137"/>
      <c r="O17" s="137"/>
      <c r="P17" s="137"/>
      <c r="Q17" s="137"/>
      <c r="R17" s="137"/>
    </row>
    <row r="18" ht="20.25" customHeight="1" spans="1:18" x14ac:dyDescent="0.25">
      <c r="A18" s="137"/>
      <c r="B18" s="137"/>
      <c r="C18" s="137"/>
      <c r="D18" s="137"/>
      <c r="E18" s="137"/>
      <c r="F18" s="137"/>
      <c r="G18" s="137"/>
      <c r="H18" s="137"/>
      <c r="I18" s="137"/>
      <c r="J18" s="137"/>
      <c r="K18" s="137"/>
      <c r="L18" s="137"/>
      <c r="M18" s="137"/>
      <c r="N18" s="137"/>
      <c r="O18" s="137"/>
      <c r="P18" s="137"/>
      <c r="Q18" s="137"/>
      <c r="R18" s="137"/>
    </row>
    <row r="19" ht="20.25" customHeight="1" spans="1:18" x14ac:dyDescent="0.25">
      <c r="A19" s="137"/>
      <c r="B19" s="137"/>
      <c r="C19" s="137"/>
      <c r="D19" s="137"/>
      <c r="E19" s="137"/>
      <c r="F19" s="137"/>
      <c r="G19" s="137"/>
      <c r="H19" s="137"/>
      <c r="I19" s="137" t="s">
        <v>1073</v>
      </c>
      <c r="K19" s="137"/>
      <c r="L19" s="137"/>
      <c r="M19" s="137"/>
      <c r="N19" s="137"/>
      <c r="O19" s="137"/>
      <c r="P19" s="137"/>
      <c r="Q19" s="137"/>
      <c r="R19" s="137"/>
    </row>
    <row r="20" ht="20.25" customHeight="1" spans="1:18" x14ac:dyDescent="0.25">
      <c r="A20" s="137"/>
      <c r="B20" s="488"/>
      <c r="C20" s="488"/>
      <c r="D20" s="488"/>
      <c r="E20" s="488"/>
      <c r="F20" s="488"/>
      <c r="G20" s="488"/>
      <c r="H20" s="488"/>
      <c r="I20" s="488"/>
      <c r="J20" s="488"/>
      <c r="K20" s="488"/>
      <c r="L20" s="488"/>
      <c r="M20" s="488"/>
      <c r="N20" s="488"/>
      <c r="O20" s="488"/>
      <c r="P20" s="137"/>
      <c r="Q20" s="137"/>
      <c r="R20" s="137"/>
    </row>
    <row r="21" ht="20.25" customHeight="1" spans="1:20" x14ac:dyDescent="0.25">
      <c r="A21" s="137"/>
      <c r="B21" s="137"/>
      <c r="C21" s="137"/>
      <c r="D21" s="137" t="s">
        <v>1901</v>
      </c>
      <c r="E21" s="488"/>
      <c r="F21" s="488"/>
      <c r="G21" s="488"/>
      <c r="H21" s="488"/>
      <c r="I21" s="488"/>
      <c r="J21" s="488"/>
      <c r="K21" s="488"/>
      <c r="L21" s="488"/>
      <c r="M21" s="488"/>
      <c r="N21" s="488"/>
      <c r="O21" s="488"/>
      <c r="P21" s="488"/>
      <c r="Q21" s="488"/>
      <c r="R21" s="137"/>
      <c r="S21" s="137"/>
      <c r="T21" s="137"/>
    </row>
    <row r="22" ht="20.25" customHeight="1" spans="1:20" x14ac:dyDescent="0.25">
      <c r="A22" s="137"/>
      <c r="B22" s="137"/>
      <c r="C22" s="137"/>
      <c r="D22" s="488"/>
      <c r="E22" s="137" t="s">
        <v>1902</v>
      </c>
      <c r="G22" s="535" t="str">
        <f>初期入力!B15</f>
        <v>大阪府大阪市旭区新森</v>
      </c>
      <c r="H22" s="535"/>
      <c r="I22" s="535"/>
      <c r="J22" s="535"/>
      <c r="K22" s="535"/>
      <c r="L22" s="535"/>
      <c r="M22" s="535"/>
      <c r="N22" s="535"/>
      <c r="O22" s="535"/>
      <c r="P22" s="535"/>
      <c r="Q22" s="488"/>
      <c r="R22" s="137"/>
      <c r="S22" s="137"/>
      <c r="T22" s="137"/>
    </row>
    <row r="23" ht="20.25" customHeight="1" spans="1:20" x14ac:dyDescent="0.25">
      <c r="A23" s="137"/>
      <c r="B23" s="137"/>
      <c r="C23" s="137"/>
      <c r="D23" s="488"/>
      <c r="E23" s="114" t="s">
        <v>1903</v>
      </c>
      <c r="F23" s="488"/>
      <c r="G23" s="535"/>
      <c r="H23" s="535"/>
      <c r="I23" s="535"/>
      <c r="J23" s="535"/>
      <c r="K23" s="535"/>
      <c r="L23" s="535"/>
      <c r="M23" s="535"/>
      <c r="N23" s="535"/>
      <c r="O23" s="535"/>
      <c r="P23" s="535"/>
      <c r="Q23" s="488"/>
      <c r="R23" s="137"/>
      <c r="S23" s="137"/>
      <c r="T23" s="137"/>
    </row>
    <row r="24" ht="20.25" customHeight="1" spans="1:20" x14ac:dyDescent="0.25">
      <c r="A24" s="137"/>
      <c r="B24" s="137"/>
      <c r="C24" s="137"/>
      <c r="D24" s="488"/>
      <c r="E24" s="137" t="s">
        <v>1904</v>
      </c>
      <c r="F24" s="488"/>
      <c r="G24" s="535"/>
      <c r="H24" s="535"/>
      <c r="I24" s="535"/>
      <c r="J24" s="535"/>
      <c r="K24" s="535"/>
      <c r="L24" s="535"/>
      <c r="M24" s="535"/>
      <c r="N24" s="535"/>
      <c r="O24" s="535"/>
      <c r="P24" s="535"/>
      <c r="Q24" s="488"/>
      <c r="R24" s="137"/>
      <c r="S24" s="137"/>
      <c r="T24" s="137"/>
    </row>
    <row r="25" ht="20.25" customHeight="1" spans="1:20" x14ac:dyDescent="0.25">
      <c r="A25" s="312"/>
      <c r="B25" s="312"/>
      <c r="C25" s="312"/>
      <c r="D25" s="488"/>
      <c r="E25" s="137" t="s">
        <v>1905</v>
      </c>
      <c r="F25" s="488"/>
      <c r="G25" s="535"/>
      <c r="H25" s="535"/>
      <c r="I25" s="535"/>
      <c r="J25" s="535"/>
      <c r="K25" s="535"/>
      <c r="L25" s="535"/>
      <c r="M25" s="535"/>
      <c r="N25" s="535"/>
      <c r="O25" s="535"/>
      <c r="P25" s="535"/>
      <c r="Q25" s="488"/>
      <c r="R25" s="137"/>
      <c r="S25" s="137"/>
      <c r="T25" s="137"/>
    </row>
    <row r="26" ht="20.25" customHeight="1" spans="1:20" x14ac:dyDescent="0.25">
      <c r="A26" s="137"/>
      <c r="B26" s="137"/>
      <c r="C26" s="137"/>
      <c r="D26" s="535"/>
      <c r="E26" s="166" t="s">
        <v>1906</v>
      </c>
      <c r="F26" s="535"/>
      <c r="G26" s="535"/>
      <c r="H26" s="535"/>
      <c r="I26" s="535"/>
      <c r="J26" s="535"/>
      <c r="K26" s="535"/>
      <c r="L26" s="535"/>
      <c r="M26" s="535"/>
      <c r="N26" s="535"/>
      <c r="O26" s="535"/>
      <c r="P26" s="535"/>
      <c r="Q26" s="535"/>
      <c r="R26" s="137"/>
      <c r="S26" s="137"/>
      <c r="T26" s="137"/>
    </row>
    <row r="27" ht="20.25" customHeight="1" spans="1:20" x14ac:dyDescent="0.25">
      <c r="A27" s="1015"/>
      <c r="B27" s="1015"/>
      <c r="C27" s="1015"/>
      <c r="D27" s="1015"/>
      <c r="E27" s="1015"/>
      <c r="F27" s="1015"/>
      <c r="G27" s="1015"/>
      <c r="H27" s="1015"/>
      <c r="I27" s="1015"/>
      <c r="J27" s="1015"/>
      <c r="K27" s="1015"/>
      <c r="L27" s="1015"/>
      <c r="M27" s="1015"/>
      <c r="N27" s="1015"/>
      <c r="O27" s="1015"/>
      <c r="P27" s="1015"/>
      <c r="Q27" s="1015"/>
      <c r="R27" s="1015"/>
      <c r="S27" s="1015"/>
      <c r="T27" s="1015"/>
    </row>
    <row r="28" ht="20.25" customHeight="1" spans="1:20" x14ac:dyDescent="0.25">
      <c r="A28" s="1015"/>
      <c r="B28" s="1015"/>
      <c r="C28" s="1015"/>
      <c r="D28" s="137" t="s">
        <v>1907</v>
      </c>
      <c r="E28" s="1016"/>
      <c r="F28" s="1017"/>
      <c r="G28" s="1017"/>
      <c r="H28" s="1017"/>
      <c r="I28" s="1017"/>
      <c r="J28" s="1017"/>
      <c r="K28" s="1017"/>
      <c r="L28" s="1017"/>
      <c r="M28" s="1017"/>
      <c r="N28" s="1017"/>
      <c r="O28" s="1017"/>
      <c r="P28" s="1017"/>
      <c r="Q28" s="1017"/>
      <c r="R28" s="1017"/>
      <c r="S28" s="1015"/>
      <c r="T28" s="1015"/>
    </row>
    <row r="29" ht="20.25" customHeight="1" spans="1:20" x14ac:dyDescent="0.25">
      <c r="A29" s="1015"/>
      <c r="B29" s="1015"/>
      <c r="C29" s="1015"/>
      <c r="D29" s="1017"/>
      <c r="E29" s="1016" t="s">
        <v>1908</v>
      </c>
      <c r="F29" s="1017"/>
      <c r="G29" s="1017"/>
      <c r="H29" s="1017"/>
      <c r="I29" s="1017"/>
      <c r="J29" s="1017"/>
      <c r="K29" s="1017"/>
      <c r="L29" s="1017"/>
      <c r="M29" s="1017"/>
      <c r="N29" s="1017"/>
      <c r="O29" s="1017"/>
      <c r="P29" s="1017"/>
      <c r="Q29" s="1017"/>
      <c r="R29" s="1017"/>
      <c r="S29" s="1015"/>
      <c r="T29" s="1015"/>
    </row>
    <row r="30" ht="20.25" customHeight="1" spans="1:20" x14ac:dyDescent="0.25">
      <c r="A30" s="1015"/>
      <c r="B30" s="1015"/>
      <c r="C30" s="1015"/>
      <c r="D30" s="1017"/>
      <c r="E30" s="1016" t="s">
        <v>1909</v>
      </c>
      <c r="F30" s="1017"/>
      <c r="G30" s="1017"/>
      <c r="H30" s="1017"/>
      <c r="I30" s="1017"/>
      <c r="J30" s="1017"/>
      <c r="K30" s="1017"/>
      <c r="L30" s="1017"/>
      <c r="M30" s="1017"/>
      <c r="N30" s="1017"/>
      <c r="O30" s="1017"/>
      <c r="P30" s="1017"/>
      <c r="Q30" s="1017"/>
      <c r="R30" s="1017"/>
      <c r="S30" s="1015"/>
      <c r="T30" s="1015"/>
    </row>
    <row r="31" ht="20.25" customHeight="1" spans="1:19" x14ac:dyDescent="0.25">
      <c r="A31" s="1015"/>
      <c r="B31" s="1015"/>
      <c r="C31" s="137"/>
      <c r="E31" s="1016" t="s">
        <v>1910</v>
      </c>
      <c r="F31" s="1017"/>
      <c r="G31" s="1017"/>
      <c r="H31" s="1017"/>
      <c r="I31" s="1017"/>
      <c r="J31" s="1017"/>
      <c r="K31" s="1017"/>
      <c r="L31" s="1017"/>
      <c r="M31" s="1017"/>
      <c r="N31" s="1017"/>
      <c r="O31" s="1017"/>
      <c r="P31" s="1017"/>
      <c r="Q31" s="1017"/>
      <c r="R31" s="1015"/>
      <c r="S31" s="1015"/>
    </row>
    <row r="32" ht="20.25" customHeight="1" spans="1:20" x14ac:dyDescent="0.25">
      <c r="A32" s="1015"/>
      <c r="B32" s="1015"/>
      <c r="C32" s="1016"/>
      <c r="D32" s="1017"/>
      <c r="E32" s="1017"/>
      <c r="F32" s="1017"/>
      <c r="G32" s="1017"/>
      <c r="H32" s="1017"/>
      <c r="I32" s="1017"/>
      <c r="J32" s="1017"/>
      <c r="K32" s="1017"/>
      <c r="L32" s="1017"/>
      <c r="M32" s="1017"/>
      <c r="N32" s="1017"/>
      <c r="O32" s="1017"/>
      <c r="P32" s="1017"/>
      <c r="Q32" s="1017"/>
      <c r="R32" s="1017"/>
      <c r="S32" s="1015"/>
      <c r="T32" s="1015"/>
    </row>
    <row r="33" ht="20.25" customHeight="1" spans="1:20" x14ac:dyDescent="0.25">
      <c r="A33" s="1015"/>
      <c r="B33" s="1015"/>
      <c r="C33" s="1017"/>
      <c r="D33" s="1017"/>
      <c r="E33" s="1017"/>
      <c r="F33" s="1017"/>
      <c r="G33" s="1017"/>
      <c r="H33" s="1017"/>
      <c r="I33" s="1017"/>
      <c r="J33" s="1017"/>
      <c r="K33" s="1017"/>
      <c r="L33" s="1017"/>
      <c r="M33" s="1017"/>
      <c r="N33" s="1017"/>
      <c r="O33" s="1017"/>
      <c r="P33" s="1017"/>
      <c r="R33" s="1017"/>
      <c r="S33" s="1015"/>
      <c r="T33" s="1015"/>
    </row>
    <row r="34" ht="20.25" customHeight="1" spans="1:20" x14ac:dyDescent="0.25">
      <c r="A34" s="1015"/>
      <c r="B34" s="1015"/>
      <c r="C34" s="1017"/>
      <c r="D34" s="1017"/>
      <c r="E34" s="1017"/>
      <c r="F34" s="1017"/>
      <c r="G34" s="1017"/>
      <c r="H34" s="1017"/>
      <c r="I34" s="1017"/>
      <c r="J34" s="1017"/>
      <c r="K34" s="1017"/>
      <c r="L34" s="1017"/>
      <c r="M34" s="1017"/>
      <c r="N34" s="1017"/>
      <c r="O34" s="1017"/>
      <c r="P34" s="1017"/>
      <c r="Q34" s="1016" t="s">
        <v>943</v>
      </c>
      <c r="R34" s="1017"/>
      <c r="S34" s="1015"/>
      <c r="T34" s="1015"/>
    </row>
    <row r="35" ht="20.25" customHeight="1" spans="1:19" x14ac:dyDescent="0.25">
      <c r="A35" s="1018"/>
      <c r="B35" s="137"/>
      <c r="C35" s="137"/>
      <c r="D35" s="137"/>
      <c r="E35" s="137"/>
      <c r="F35" s="137"/>
      <c r="G35" s="137"/>
      <c r="H35" s="137"/>
      <c r="I35" s="137"/>
      <c r="J35" s="137"/>
      <c r="K35" s="137"/>
      <c r="L35" s="137"/>
      <c r="M35" s="137"/>
      <c r="N35" s="137"/>
      <c r="O35" s="137"/>
      <c r="P35" s="137"/>
      <c r="Q35" s="1015"/>
      <c r="R35" s="1015"/>
      <c r="S35" s="1015"/>
    </row>
    <row r="36" ht="20.25" customHeight="1" spans="1:19" x14ac:dyDescent="0.25">
      <c r="A36" s="1019"/>
      <c r="B36" s="137"/>
      <c r="C36" s="1017"/>
      <c r="D36" s="1017"/>
      <c r="E36" s="1017"/>
      <c r="F36" s="1017"/>
      <c r="G36" s="1017"/>
      <c r="H36" s="1017"/>
      <c r="I36" s="1017"/>
      <c r="J36" s="1017"/>
      <c r="K36" s="1017"/>
      <c r="L36" s="1017"/>
      <c r="M36" s="1017"/>
      <c r="N36" s="1017"/>
      <c r="O36" s="1017"/>
      <c r="P36" s="1017"/>
      <c r="Q36" s="1017"/>
      <c r="R36" s="1019"/>
      <c r="S36" s="1019"/>
    </row>
    <row r="37" ht="20.25" customHeight="1" spans="1:19" x14ac:dyDescent="0.25">
      <c r="A37" s="1015"/>
      <c r="B37" s="137"/>
      <c r="C37" s="1017"/>
      <c r="D37" s="1017"/>
      <c r="E37" s="1017"/>
      <c r="F37" s="1017"/>
      <c r="G37" s="1017"/>
      <c r="H37" s="1017"/>
      <c r="I37" s="1017"/>
      <c r="J37" s="1017"/>
      <c r="K37" s="1017"/>
      <c r="L37" s="1017"/>
      <c r="M37" s="1017"/>
      <c r="N37" s="1017"/>
      <c r="O37" s="1017"/>
      <c r="P37" s="1017"/>
      <c r="Q37" s="1017"/>
      <c r="R37" s="1015"/>
      <c r="S37" s="1015"/>
    </row>
    <row r="38" ht="20.25" customHeight="1" spans="1:19" x14ac:dyDescent="0.25">
      <c r="A38" s="137"/>
      <c r="B38" s="137"/>
      <c r="C38" s="1017"/>
      <c r="D38" s="1017"/>
      <c r="E38" s="1017"/>
      <c r="F38" s="1017"/>
      <c r="G38" s="1017"/>
      <c r="H38" s="1017"/>
      <c r="I38" s="1017"/>
      <c r="J38" s="1017"/>
      <c r="K38" s="1017"/>
      <c r="L38" s="1017"/>
      <c r="M38" s="1017"/>
      <c r="N38" s="1017"/>
      <c r="O38" s="1017"/>
      <c r="P38" s="1017"/>
      <c r="Q38" s="1017"/>
      <c r="R38" s="137"/>
      <c r="S38" s="137"/>
    </row>
    <row r="39" ht="20.25" customHeight="1" spans="1:19" x14ac:dyDescent="0.25">
      <c r="A39" s="137"/>
      <c r="B39" s="137"/>
      <c r="C39" s="137"/>
      <c r="D39" s="137"/>
      <c r="E39" s="137"/>
      <c r="F39" s="137"/>
      <c r="G39" s="137"/>
      <c r="H39" s="137"/>
      <c r="I39" s="137"/>
      <c r="J39" s="137"/>
      <c r="K39" s="137"/>
      <c r="L39" s="137"/>
      <c r="M39" s="137"/>
      <c r="N39" s="137"/>
      <c r="O39" s="137"/>
      <c r="P39" s="137"/>
      <c r="Q39" s="137"/>
      <c r="R39" s="137"/>
      <c r="S39" s="137"/>
    </row>
    <row r="40" ht="20.25" customHeight="1" spans="1:19" x14ac:dyDescent="0.25">
      <c r="A40" s="137"/>
      <c r="B40" s="137"/>
      <c r="C40" s="137"/>
      <c r="D40" s="137"/>
      <c r="E40" s="137"/>
      <c r="F40" s="137"/>
      <c r="G40" s="137"/>
      <c r="H40" s="137"/>
      <c r="I40" s="137"/>
      <c r="J40" s="137"/>
      <c r="K40" s="137"/>
      <c r="L40" s="137"/>
      <c r="M40" s="137"/>
      <c r="N40" s="137"/>
      <c r="O40" s="137"/>
      <c r="P40" s="137"/>
      <c r="Q40" s="137"/>
      <c r="R40" s="137"/>
      <c r="S40" s="137"/>
    </row>
    <row r="41" ht="20.25" customHeight="1" spans="1:19" x14ac:dyDescent="0.25">
      <c r="A41" s="137"/>
      <c r="B41" s="137"/>
      <c r="C41" s="137"/>
      <c r="D41" s="137"/>
      <c r="E41" s="137"/>
      <c r="F41" s="137"/>
      <c r="G41" s="137"/>
      <c r="H41" s="137"/>
      <c r="I41" s="137"/>
      <c r="J41" s="137"/>
      <c r="K41" s="137"/>
      <c r="L41" s="137"/>
      <c r="M41" s="137"/>
      <c r="N41" s="137"/>
      <c r="O41" s="137"/>
      <c r="P41" s="137"/>
      <c r="R41" s="137"/>
      <c r="S41" s="137"/>
    </row>
    <row r="42" ht="20.25" customHeight="1" x14ac:dyDescent="0.25"/>
    <row r="43" ht="20.25" customHeight="1" x14ac:dyDescent="0.25"/>
    <row r="44" ht="20.25" customHeight="1" x14ac:dyDescent="0.25"/>
    <row r="45" ht="20.25" customHeight="1" x14ac:dyDescent="0.25"/>
    <row r="46" ht="20.25" customHeight="1" x14ac:dyDescent="0.25"/>
    <row r="47" ht="20.25" customHeight="1" x14ac:dyDescent="0.25"/>
    <row r="48"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sheetData>
  <mergeCells count="12">
    <mergeCell ref="L4:M4"/>
    <mergeCell ref="B6:G6"/>
    <mergeCell ref="B7:G7"/>
    <mergeCell ref="K8:R8"/>
    <mergeCell ref="K9:R9"/>
    <mergeCell ref="K10:R10"/>
    <mergeCell ref="G22:P22"/>
    <mergeCell ref="G23:P23"/>
    <mergeCell ref="G24:P24"/>
    <mergeCell ref="G25:P25"/>
    <mergeCell ref="G26:P26"/>
    <mergeCell ref="A35:P35"/>
  </mergeCells>
  <pageMargins left="0.7086614173228347" right="0.7086614173228347" top="0.7480314960629921" bottom="0.5511811023622047" header="0.31496062992125984" footer="0.31496062992125984"/>
  <pageSetup paperSize="9"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pageSetUpPr fitToPage="1"/>
  </sheetPr>
  <dimension ref="A1:AH999"/>
  <sheetViews>
    <sheetView workbookViewId="0" zoomScale="100" zoomScaleNormal="100" view="pageBreakPreview">
      <selection activeCell="AJ24" sqref="AJ24"/>
    </sheetView>
  </sheetViews>
  <sheetFormatPr defaultRowHeight="15" outlineLevelRow="0" outlineLevelCol="0" x14ac:dyDescent="0" defaultColWidth="14.42578125"/>
  <cols>
    <col min="1" max="13" width="2.5703125" style="1" customWidth="1"/>
    <col min="14" max="14" width="5.42578125" style="1" customWidth="1"/>
    <col min="15" max="15" width="2.5703125" style="1" customWidth="1"/>
    <col min="16" max="16" width="4" style="1" customWidth="1"/>
    <col min="17" max="32" width="2.5703125" style="1" customWidth="1"/>
    <col min="33" max="33" width="5.42578125" style="1" customWidth="1"/>
    <col min="34" max="34" width="2.5703125" style="1" customWidth="1"/>
    <col min="35" max="16384" width="14.42578125" style="1" customWidth="1"/>
  </cols>
  <sheetData>
    <row r="1" ht="13.5" customHeight="1" spans="1:34" x14ac:dyDescent="0.2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row>
    <row r="2" ht="13.5" customHeight="1" spans="1:34" x14ac:dyDescent="0.25">
      <c r="A2" s="81"/>
      <c r="B2" s="81"/>
      <c r="C2" s="81"/>
      <c r="D2" s="81"/>
      <c r="E2" s="81"/>
      <c r="F2" s="81"/>
      <c r="G2" s="81"/>
      <c r="H2" s="81"/>
      <c r="I2" s="81"/>
      <c r="J2" s="81"/>
      <c r="K2" s="81"/>
      <c r="L2" s="81"/>
      <c r="M2" s="81"/>
      <c r="N2" s="81"/>
      <c r="O2" s="81"/>
      <c r="P2" s="81"/>
      <c r="Q2" s="81"/>
      <c r="R2" s="81"/>
      <c r="S2" s="81"/>
      <c r="T2" s="81"/>
      <c r="U2" s="81"/>
      <c r="V2" s="81"/>
      <c r="W2" s="81"/>
      <c r="X2" s="81"/>
      <c r="Y2" s="81"/>
      <c r="Z2" s="81"/>
      <c r="AA2" s="1020"/>
      <c r="AB2" s="1021">
        <f>TODAY()</f>
        <v>46026</v>
      </c>
      <c r="AC2" s="1022"/>
      <c r="AD2" s="1022"/>
      <c r="AE2" s="1022"/>
      <c r="AF2" s="1022"/>
      <c r="AG2" s="1022"/>
      <c r="AH2" s="81"/>
    </row>
    <row r="3" ht="13.5" customHeight="1" spans="1:34" x14ac:dyDescent="0.25">
      <c r="A3" s="81"/>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row>
    <row r="4" ht="13.5" customHeight="1" spans="1:34" x14ac:dyDescent="0.25">
      <c r="A4" s="81"/>
      <c r="B4" s="814" t="str">
        <f>初期入力!B4&amp;"様　　"&amp;初期入力!B6</f>
        <v>様　　</v>
      </c>
      <c r="C4" s="1"/>
      <c r="D4" s="1"/>
      <c r="E4" s="1"/>
      <c r="F4" s="1"/>
      <c r="G4" s="1"/>
      <c r="H4" s="1"/>
      <c r="I4" s="1"/>
      <c r="J4" s="1"/>
      <c r="K4" s="1"/>
      <c r="L4" s="1"/>
      <c r="M4" s="1"/>
      <c r="N4" s="1"/>
      <c r="O4" s="814" t="s">
        <v>12</v>
      </c>
      <c r="P4" s="1"/>
      <c r="Q4" s="81"/>
      <c r="R4" s="81"/>
      <c r="S4" s="81"/>
      <c r="T4" s="81"/>
      <c r="U4" s="81"/>
      <c r="V4" s="81"/>
      <c r="W4" s="81"/>
      <c r="X4" s="81"/>
      <c r="Y4" s="81"/>
      <c r="Z4" s="81"/>
      <c r="AA4" s="81"/>
      <c r="AB4" s="81"/>
      <c r="AC4" s="81"/>
      <c r="AD4" s="81"/>
      <c r="AE4" s="81"/>
      <c r="AF4" s="81"/>
      <c r="AG4" s="81"/>
      <c r="AH4" s="81"/>
    </row>
    <row r="5" ht="13.5" customHeight="1" spans="1:34" x14ac:dyDescent="0.25">
      <c r="A5" s="81"/>
      <c r="B5" s="221"/>
      <c r="C5" s="221"/>
      <c r="D5" s="221"/>
      <c r="E5" s="221"/>
      <c r="F5" s="221"/>
      <c r="G5" s="221"/>
      <c r="H5" s="221"/>
      <c r="I5" s="221"/>
      <c r="J5" s="221"/>
      <c r="K5" s="221"/>
      <c r="L5" s="221"/>
      <c r="M5" s="221"/>
      <c r="N5" s="221"/>
      <c r="O5" s="1022"/>
      <c r="P5" s="1022"/>
      <c r="Q5" s="814"/>
      <c r="R5" s="814"/>
      <c r="S5" s="814"/>
      <c r="T5" s="814"/>
      <c r="U5" s="81"/>
      <c r="V5" s="81"/>
      <c r="W5" s="81"/>
      <c r="X5" s="81"/>
      <c r="Y5" s="81"/>
      <c r="Z5" s="81"/>
      <c r="AA5" s="81"/>
      <c r="AB5" s="81"/>
      <c r="AC5" s="81"/>
      <c r="AD5" s="81"/>
      <c r="AE5" s="81"/>
      <c r="AF5" s="81"/>
      <c r="AG5" s="81"/>
      <c r="AH5" s="81"/>
    </row>
    <row r="6" ht="13.5" customHeight="1" spans="1:34" x14ac:dyDescent="0.25">
      <c r="A6" s="81"/>
      <c r="B6" s="81"/>
      <c r="C6" s="81"/>
      <c r="D6" s="81"/>
      <c r="E6" s="81"/>
      <c r="F6" s="814"/>
      <c r="G6" s="814"/>
      <c r="H6" s="814"/>
      <c r="I6" s="814"/>
      <c r="J6" s="814"/>
      <c r="K6" s="814"/>
      <c r="L6" s="814"/>
      <c r="M6" s="814"/>
      <c r="N6" s="814"/>
      <c r="O6" s="814"/>
      <c r="P6" s="814"/>
      <c r="Q6" s="814"/>
      <c r="R6" s="814"/>
      <c r="S6" s="814"/>
      <c r="T6" s="814"/>
      <c r="U6" s="81"/>
      <c r="V6" s="81"/>
      <c r="W6" s="81"/>
      <c r="X6" s="81"/>
      <c r="Y6" s="814" t="s">
        <v>1911</v>
      </c>
      <c r="Z6" s="1"/>
      <c r="AA6" s="1"/>
      <c r="AB6" s="1"/>
      <c r="AC6" s="1"/>
      <c r="AD6" s="1"/>
      <c r="AE6" s="1"/>
      <c r="AF6" s="1"/>
      <c r="AG6" s="1"/>
      <c r="AH6" s="81"/>
    </row>
    <row r="7" ht="13.5" customHeight="1" spans="1:34" x14ac:dyDescent="0.25">
      <c r="A7" s="81"/>
      <c r="B7" s="81"/>
      <c r="C7" s="81"/>
      <c r="D7" s="81"/>
      <c r="E7" s="81"/>
      <c r="F7" s="81"/>
      <c r="G7" s="81"/>
      <c r="H7" s="81"/>
      <c r="I7" s="81"/>
      <c r="J7" s="81"/>
      <c r="K7" s="81"/>
      <c r="L7" s="81"/>
      <c r="M7" s="81"/>
      <c r="N7" s="81"/>
      <c r="O7" s="81"/>
      <c r="P7" s="81"/>
      <c r="Q7" s="81"/>
      <c r="R7" s="81"/>
      <c r="S7" s="81"/>
      <c r="T7" s="81"/>
      <c r="U7" s="1023"/>
      <c r="V7" s="1024"/>
      <c r="W7" s="1"/>
      <c r="X7" s="1"/>
      <c r="Y7" s="1025"/>
      <c r="Z7" s="1025"/>
      <c r="AA7" s="1025"/>
      <c r="AB7" s="1025"/>
      <c r="AC7" s="1025"/>
      <c r="AD7" s="1025"/>
      <c r="AE7" s="1025"/>
      <c r="AF7" s="1025"/>
      <c r="AG7" s="1025"/>
      <c r="AH7" s="1025"/>
    </row>
    <row r="8" ht="16.5" customHeight="1" spans="1:34" x14ac:dyDescent="0.25">
      <c r="A8" s="81"/>
      <c r="B8" s="81"/>
      <c r="C8" s="81"/>
      <c r="D8" s="81"/>
      <c r="E8" s="81"/>
      <c r="F8" s="81"/>
      <c r="G8" s="81"/>
      <c r="H8" s="81"/>
      <c r="I8" s="81"/>
      <c r="J8" s="81"/>
      <c r="K8" s="81"/>
      <c r="L8" s="81"/>
      <c r="M8" s="81"/>
      <c r="N8" s="81"/>
      <c r="O8" s="81"/>
      <c r="P8" s="81"/>
      <c r="Q8" s="81"/>
      <c r="R8" s="81"/>
      <c r="S8" s="81"/>
      <c r="T8" s="81"/>
      <c r="U8" s="1023" t="s">
        <v>119</v>
      </c>
      <c r="V8" s="1"/>
      <c r="W8" s="1"/>
      <c r="X8" s="1"/>
      <c r="Y8" s="1"/>
      <c r="Z8" s="1"/>
      <c r="AA8" s="1"/>
      <c r="AB8" s="1"/>
      <c r="AC8" s="1"/>
      <c r="AD8" s="1"/>
      <c r="AE8" s="1"/>
      <c r="AF8" s="1"/>
      <c r="AG8" s="1"/>
      <c r="AH8" s="1025"/>
    </row>
    <row r="9" ht="16.5" customHeight="1" spans="1:34" x14ac:dyDescent="0.25">
      <c r="A9" s="81"/>
      <c r="B9" s="81"/>
      <c r="C9" s="81"/>
      <c r="D9" s="81"/>
      <c r="E9" s="81"/>
      <c r="F9" s="81"/>
      <c r="G9" s="81"/>
      <c r="H9" s="81"/>
      <c r="I9" s="81"/>
      <c r="J9" s="81"/>
      <c r="K9" s="81"/>
      <c r="L9" s="81"/>
      <c r="M9" s="81"/>
      <c r="N9" s="81"/>
      <c r="O9" s="81"/>
      <c r="P9" s="81"/>
      <c r="Q9" s="81"/>
      <c r="R9" s="81"/>
      <c r="S9" s="81"/>
      <c r="T9" s="81"/>
      <c r="U9" s="1026" t="s">
        <v>1912</v>
      </c>
      <c r="V9" s="1026"/>
      <c r="W9" s="1026"/>
      <c r="X9" s="1026"/>
      <c r="Y9" s="1027" t="str">
        <f>初期入力!B12</f>
        <v>田畑　美香</v>
      </c>
      <c r="Z9" s="1028"/>
      <c r="AA9" s="1028"/>
      <c r="AB9" s="1028"/>
      <c r="AC9" s="1028"/>
      <c r="AD9" s="1028"/>
      <c r="AE9" s="1028"/>
      <c r="AF9" s="1028"/>
      <c r="AG9" s="1028"/>
      <c r="AH9" s="714"/>
    </row>
    <row r="10" ht="16.5" customHeight="1" spans="1:34" x14ac:dyDescent="0.25">
      <c r="A10" s="81"/>
      <c r="B10" s="81"/>
      <c r="C10" s="81"/>
      <c r="D10" s="81"/>
      <c r="E10" s="81"/>
      <c r="F10" s="81"/>
      <c r="G10" s="814"/>
      <c r="H10" s="814"/>
      <c r="I10" s="814"/>
      <c r="J10" s="814"/>
      <c r="K10" s="814"/>
      <c r="L10" s="814"/>
      <c r="M10" s="814"/>
      <c r="N10" s="814"/>
      <c r="O10" s="814"/>
      <c r="P10" s="814"/>
      <c r="Q10" s="814"/>
      <c r="R10" s="814"/>
      <c r="S10" s="814"/>
      <c r="T10" s="814"/>
      <c r="U10" s="1029"/>
      <c r="V10" s="1029"/>
      <c r="W10" s="1029"/>
      <c r="X10" s="1029"/>
      <c r="Y10" s="1030"/>
      <c r="Z10" s="1031"/>
      <c r="AA10" s="1031"/>
      <c r="AB10" s="1031"/>
      <c r="AC10" s="1031"/>
      <c r="AD10" s="1031"/>
      <c r="AE10" s="1031"/>
      <c r="AF10" s="1031"/>
      <c r="AG10" s="1031"/>
      <c r="AH10" s="81"/>
    </row>
    <row r="11" ht="13.5" customHeight="1" spans="1:34" x14ac:dyDescent="0.25">
      <c r="A11" s="1032" t="s">
        <v>1913</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ht="13.5" customHeight="1" spans="1:34"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3.5" customHeight="1" spans="1:34" x14ac:dyDescent="0.25">
      <c r="A13" s="81"/>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81"/>
      <c r="AF13" s="81"/>
      <c r="AG13" s="81"/>
      <c r="AH13" s="81"/>
    </row>
    <row r="14" ht="13.5" customHeight="1" spans="1:34" x14ac:dyDescent="0.25">
      <c r="A14" s="81"/>
      <c r="B14" s="3" t="s">
        <v>1914</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81"/>
      <c r="AF14" s="81"/>
      <c r="AG14" s="81"/>
      <c r="AH14" s="81"/>
    </row>
    <row r="15" ht="13.5" customHeight="1" spans="1:34" x14ac:dyDescent="0.25">
      <c r="A15" s="81"/>
      <c r="B15" s="1033" t="s">
        <v>1915</v>
      </c>
      <c r="C15" s="1033"/>
      <c r="D15" s="1033"/>
      <c r="E15" s="1033"/>
      <c r="F15" s="1033"/>
      <c r="G15" s="1033"/>
      <c r="H15" s="1033"/>
      <c r="I15" s="1033"/>
      <c r="J15" s="1033"/>
      <c r="K15" s="1033"/>
      <c r="L15" s="1033"/>
      <c r="M15" s="1033"/>
      <c r="N15" s="1033"/>
      <c r="O15" s="1033"/>
      <c r="P15" s="1033"/>
      <c r="Q15" s="1033"/>
      <c r="R15" s="1033"/>
      <c r="S15" s="1033"/>
      <c r="T15" s="1033"/>
      <c r="U15" s="1033"/>
      <c r="V15" s="1033"/>
      <c r="W15" s="1033"/>
      <c r="X15" s="1033"/>
      <c r="Y15" s="1033"/>
      <c r="Z15" s="1033"/>
      <c r="AA15" s="1033"/>
      <c r="AB15" s="1033"/>
      <c r="AC15" s="1033"/>
      <c r="AD15" s="1033"/>
      <c r="AE15" s="1034"/>
      <c r="AF15" s="1034"/>
      <c r="AG15" s="1034"/>
      <c r="AH15" s="81"/>
    </row>
    <row r="16" ht="13.5" customHeight="1" spans="1:34" x14ac:dyDescent="0.25">
      <c r="A16" s="81"/>
      <c r="B16" s="1035"/>
      <c r="C16" s="1035"/>
      <c r="D16" s="1035"/>
      <c r="E16" s="1035"/>
      <c r="F16" s="1035"/>
      <c r="G16" s="1035"/>
      <c r="H16" s="1035"/>
      <c r="I16" s="1035"/>
      <c r="J16" s="1035"/>
      <c r="K16" s="1035"/>
      <c r="L16" s="1035"/>
      <c r="M16" s="1035"/>
      <c r="N16" s="1035"/>
      <c r="O16" s="1035"/>
      <c r="P16" s="1035"/>
      <c r="Q16" s="1035"/>
      <c r="R16" s="1035"/>
      <c r="S16" s="1035"/>
      <c r="T16" s="1035"/>
      <c r="U16" s="1035"/>
      <c r="V16" s="1035"/>
      <c r="W16" s="1035"/>
      <c r="X16" s="1035"/>
      <c r="Y16" s="1035"/>
      <c r="Z16" s="1035"/>
      <c r="AA16" s="1035"/>
      <c r="AB16" s="1035"/>
      <c r="AC16" s="1035"/>
      <c r="AD16" s="1035"/>
      <c r="AE16" s="1035"/>
      <c r="AF16" s="1035"/>
      <c r="AG16" s="1035"/>
      <c r="AH16" s="738"/>
    </row>
    <row r="17" ht="13.5" customHeight="1" spans="1:34" x14ac:dyDescent="0.25">
      <c r="A17" s="81"/>
      <c r="B17" s="1035" t="s">
        <v>1916</v>
      </c>
      <c r="C17" s="1036"/>
      <c r="D17" s="1036"/>
      <c r="E17" s="1036"/>
      <c r="F17" s="1036"/>
      <c r="G17" s="1036"/>
      <c r="H17" s="1036"/>
      <c r="I17" s="1036"/>
      <c r="J17" s="1036"/>
      <c r="K17" s="1036"/>
      <c r="L17" s="1036"/>
      <c r="M17" s="1036"/>
      <c r="N17" s="1036"/>
      <c r="O17" s="1077" t="s">
        <v>1936</v>
      </c>
      <c r="P17" s="1077"/>
      <c r="Q17" s="1077"/>
      <c r="R17" s="1077"/>
      <c r="S17" s="1077"/>
      <c r="T17" s="1077"/>
      <c r="U17" s="1077"/>
      <c r="V17" s="1077"/>
      <c r="W17" s="1038" t="s">
        <v>1917</v>
      </c>
      <c r="X17" s="1034"/>
      <c r="Y17" s="1033"/>
      <c r="Z17" s="1033"/>
      <c r="AA17" s="1033"/>
      <c r="AB17" s="1033"/>
      <c r="AC17" s="1033"/>
      <c r="AD17" s="1033"/>
      <c r="AE17" s="1033"/>
      <c r="AF17" s="1033"/>
      <c r="AG17" s="1033"/>
      <c r="AH17" s="81"/>
    </row>
    <row r="18" ht="13.5" customHeight="1" spans="1:34" x14ac:dyDescent="0.25">
      <c r="A18" s="81"/>
      <c r="B18" s="1078" t="s">
        <v>1918</v>
      </c>
      <c r="C18" s="1079"/>
      <c r="D18" s="1079"/>
      <c r="E18" s="1079"/>
      <c r="F18" s="1079"/>
      <c r="G18" s="1079"/>
      <c r="H18" s="1079"/>
      <c r="I18" s="1079"/>
      <c r="J18" s="1079"/>
      <c r="K18" s="1079"/>
      <c r="L18" s="1079"/>
      <c r="M18" s="1079"/>
      <c r="N18" s="1079"/>
      <c r="O18" s="1079"/>
      <c r="P18" s="1079"/>
      <c r="Q18" s="1079"/>
      <c r="R18" s="1079"/>
      <c r="S18" s="1079"/>
      <c r="T18" s="1079"/>
      <c r="U18" s="1079"/>
      <c r="V18" s="1079"/>
      <c r="W18" s="1079"/>
      <c r="X18" s="1079"/>
      <c r="Y18" s="1079"/>
      <c r="Z18" s="1079"/>
      <c r="AA18" s="1079"/>
      <c r="AB18" s="1079"/>
      <c r="AC18" s="1079"/>
      <c r="AD18" s="1079"/>
      <c r="AE18" s="1079"/>
      <c r="AF18" s="1079"/>
      <c r="AG18" s="1079"/>
      <c r="AH18" s="3"/>
    </row>
    <row r="19" ht="13.5" customHeight="1" spans="1:34" x14ac:dyDescent="0.25">
      <c r="A19" s="81"/>
      <c r="B19" s="1033"/>
      <c r="C19" s="1033"/>
      <c r="D19" s="1033"/>
      <c r="E19" s="1033"/>
      <c r="F19" s="1033"/>
      <c r="G19" s="1033"/>
      <c r="H19" s="1033"/>
      <c r="I19" s="1033"/>
      <c r="J19" s="1033"/>
      <c r="K19" s="1033"/>
      <c r="L19" s="1033"/>
      <c r="M19" s="1033"/>
      <c r="N19" s="1033"/>
      <c r="O19" s="1033"/>
      <c r="P19" s="1033"/>
      <c r="Q19" s="1033"/>
      <c r="R19" s="1033"/>
      <c r="S19" s="1033"/>
      <c r="T19" s="1033"/>
      <c r="U19" s="1033"/>
      <c r="V19" s="1033"/>
      <c r="W19" s="1033"/>
      <c r="X19" s="1033"/>
      <c r="Y19" s="1033"/>
      <c r="Z19" s="1033"/>
      <c r="AA19" s="1033"/>
      <c r="AB19" s="1033"/>
      <c r="AC19" s="1033"/>
      <c r="AD19" s="1033"/>
      <c r="AE19" s="1034"/>
      <c r="AF19" s="1034"/>
      <c r="AG19" s="1034"/>
      <c r="AH19" s="81"/>
    </row>
    <row r="20" ht="13.5" customHeight="1" spans="1:34" x14ac:dyDescent="0.25">
      <c r="A20" s="81"/>
      <c r="B20" s="1040" t="s">
        <v>1919</v>
      </c>
      <c r="C20" s="1036"/>
      <c r="D20" s="1036"/>
      <c r="E20" s="1036"/>
      <c r="F20" s="1036"/>
      <c r="G20" s="1036"/>
      <c r="H20" s="1036"/>
      <c r="I20" s="1036"/>
      <c r="J20" s="1036"/>
      <c r="K20" s="1036"/>
      <c r="L20" s="1036"/>
      <c r="M20" s="1036"/>
      <c r="N20" s="1036"/>
      <c r="O20" s="1036"/>
      <c r="P20" s="1036"/>
      <c r="Q20" s="1036"/>
      <c r="R20" s="1036"/>
      <c r="S20" s="1036"/>
      <c r="T20" s="1036"/>
      <c r="U20" s="1036"/>
      <c r="V20" s="1036"/>
      <c r="W20" s="1036"/>
      <c r="X20" s="1036"/>
      <c r="Y20" s="1036"/>
      <c r="Z20" s="1036"/>
      <c r="AA20" s="1036"/>
      <c r="AB20" s="1036"/>
      <c r="AC20" s="1036"/>
      <c r="AD20" s="1036"/>
      <c r="AE20" s="1036"/>
      <c r="AF20" s="1036"/>
      <c r="AG20" s="1036"/>
      <c r="AH20" s="81"/>
    </row>
    <row r="21" ht="13.5" customHeight="1" spans="1:34" x14ac:dyDescent="0.25">
      <c r="A21" s="81"/>
      <c r="B21" s="1033" t="s">
        <v>1920</v>
      </c>
      <c r="C21" s="1034"/>
      <c r="D21" s="1034"/>
      <c r="E21" s="1034"/>
      <c r="F21" s="1034"/>
      <c r="G21" s="1034"/>
      <c r="H21" s="1034"/>
      <c r="I21" s="1034"/>
      <c r="J21" s="1034"/>
      <c r="K21" s="1034"/>
      <c r="L21" s="1034"/>
      <c r="M21" s="1034"/>
      <c r="N21" s="1034"/>
      <c r="O21" s="1034"/>
      <c r="P21" s="1034"/>
      <c r="Q21" s="1034"/>
      <c r="R21" s="1034"/>
      <c r="S21" s="1034"/>
      <c r="T21" s="1034"/>
      <c r="U21" s="1034"/>
      <c r="V21" s="1034"/>
      <c r="W21" s="1034"/>
      <c r="X21" s="1034"/>
      <c r="Y21" s="1041"/>
      <c r="Z21" s="1041"/>
      <c r="AA21" s="1041"/>
      <c r="AB21" s="1041"/>
      <c r="AC21" s="1041"/>
      <c r="AD21" s="1041"/>
      <c r="AE21" s="1041"/>
      <c r="AF21" s="1041"/>
      <c r="AG21" s="1041" t="s">
        <v>1921</v>
      </c>
      <c r="AH21" s="81"/>
    </row>
    <row r="22" ht="13.5" customHeight="1" spans="1:34" x14ac:dyDescent="0.25">
      <c r="A22" s="81"/>
      <c r="B22" s="1034"/>
      <c r="C22" s="1034"/>
      <c r="D22" s="1034"/>
      <c r="E22" s="1034"/>
      <c r="F22" s="1034"/>
      <c r="G22" s="1034"/>
      <c r="H22" s="1034"/>
      <c r="I22" s="1034"/>
      <c r="J22" s="1034"/>
      <c r="K22" s="1034"/>
      <c r="L22" s="1034"/>
      <c r="M22" s="1034"/>
      <c r="N22" s="1034"/>
      <c r="O22" s="1042" t="s">
        <v>1073</v>
      </c>
      <c r="P22" s="1036"/>
      <c r="Q22" s="1034"/>
      <c r="R22" s="1034"/>
      <c r="S22" s="1034"/>
      <c r="T22" s="1034"/>
      <c r="U22" s="1034"/>
      <c r="V22" s="1034"/>
      <c r="W22" s="1034"/>
      <c r="X22" s="1034"/>
      <c r="Y22" s="1034"/>
      <c r="Z22" s="1034"/>
      <c r="AA22" s="1034"/>
      <c r="AB22" s="1034"/>
      <c r="AC22" s="1034"/>
      <c r="AD22" s="1034"/>
      <c r="AE22" s="1034"/>
      <c r="AF22" s="1034"/>
      <c r="AG22" s="1034"/>
      <c r="AH22" s="81"/>
    </row>
    <row r="23" ht="13.5" customHeight="1" spans="1:34" x14ac:dyDescent="0.25">
      <c r="A23" s="81"/>
      <c r="B23" s="1034"/>
      <c r="C23" s="1034"/>
      <c r="D23" s="1034"/>
      <c r="E23" s="1034"/>
      <c r="F23" s="1034"/>
      <c r="G23" s="1034"/>
      <c r="H23" s="1034"/>
      <c r="I23" s="1034"/>
      <c r="J23" s="1034"/>
      <c r="K23" s="1034"/>
      <c r="L23" s="1034"/>
      <c r="M23" s="1034"/>
      <c r="N23" s="1034"/>
      <c r="O23" s="1034"/>
      <c r="P23" s="1034"/>
      <c r="Q23" s="1034"/>
      <c r="R23" s="1034"/>
      <c r="S23" s="1034"/>
      <c r="T23" s="1034"/>
      <c r="U23" s="1034"/>
      <c r="V23" s="1034"/>
      <c r="W23" s="1034"/>
      <c r="X23" s="1034"/>
      <c r="Y23" s="1034"/>
      <c r="Z23" s="1034"/>
      <c r="AA23" s="1034"/>
      <c r="AB23" s="1034"/>
      <c r="AC23" s="1034"/>
      <c r="AD23" s="1034"/>
      <c r="AE23" s="1034"/>
      <c r="AF23" s="1034"/>
      <c r="AG23" s="1034"/>
      <c r="AH23" s="81"/>
    </row>
    <row r="24" ht="21" customHeight="1" spans="1:34" x14ac:dyDescent="0.25">
      <c r="A24" s="81"/>
      <c r="B24" s="1043" t="s">
        <v>1922</v>
      </c>
      <c r="C24" s="1044"/>
      <c r="D24" s="1044"/>
      <c r="E24" s="1044"/>
      <c r="F24" s="1044"/>
      <c r="G24" s="1044"/>
      <c r="H24" s="1044"/>
      <c r="I24" s="1044"/>
      <c r="J24" s="1044"/>
      <c r="K24" s="1044"/>
      <c r="L24" s="1044"/>
      <c r="M24" s="1045"/>
      <c r="N24" s="1046" t="s">
        <v>1622</v>
      </c>
      <c r="O24" s="1044"/>
      <c r="P24" s="1044"/>
      <c r="Q24" s="1044"/>
      <c r="R24" s="1044"/>
      <c r="S24" s="1044"/>
      <c r="T24" s="1044"/>
      <c r="U24" s="1044"/>
      <c r="V24" s="1044"/>
      <c r="W24" s="1047"/>
      <c r="X24" s="1048" t="s">
        <v>1923</v>
      </c>
      <c r="Y24" s="1044"/>
      <c r="Z24" s="1044"/>
      <c r="AA24" s="1044"/>
      <c r="AB24" s="1044"/>
      <c r="AC24" s="1044"/>
      <c r="AD24" s="1044"/>
      <c r="AE24" s="1044"/>
      <c r="AF24" s="1044"/>
      <c r="AG24" s="1047"/>
      <c r="AH24" s="81"/>
    </row>
    <row r="25" ht="21" customHeight="1" spans="1:34" x14ac:dyDescent="0.25">
      <c r="A25" s="81"/>
      <c r="B25" s="1049" t="s">
        <v>1626</v>
      </c>
      <c r="C25" s="1050"/>
      <c r="D25" s="1050"/>
      <c r="E25" s="1050"/>
      <c r="F25" s="1050"/>
      <c r="G25" s="1050"/>
      <c r="H25" s="1050"/>
      <c r="I25" s="1050"/>
      <c r="J25" s="1050"/>
      <c r="K25" s="1050"/>
      <c r="L25" s="1050"/>
      <c r="M25" s="1050"/>
      <c r="N25" s="1051">
        <f>初期入力!F38</f>
        <v>8300000</v>
      </c>
      <c r="O25" s="1052"/>
      <c r="P25" s="1052"/>
      <c r="Q25" s="1052"/>
      <c r="R25" s="1052"/>
      <c r="S25" s="1052"/>
      <c r="T25" s="1052"/>
      <c r="U25" s="1052"/>
      <c r="V25" s="1052"/>
      <c r="W25" s="1053" t="s">
        <v>1616</v>
      </c>
      <c r="X25" s="1054">
        <f>初期入力!F39</f>
        <v>46233</v>
      </c>
      <c r="Y25" s="1050"/>
      <c r="Z25" s="1050"/>
      <c r="AA25" s="1050"/>
      <c r="AB25" s="1050"/>
      <c r="AC25" s="1050"/>
      <c r="AD25" s="1050"/>
      <c r="AE25" s="1050"/>
      <c r="AF25" s="1050"/>
      <c r="AG25" s="1055"/>
      <c r="AH25" s="81"/>
    </row>
    <row r="26" ht="21" customHeight="1" spans="1:34" x14ac:dyDescent="0.25">
      <c r="A26" s="81"/>
      <c r="B26" s="1056" t="s">
        <v>1627</v>
      </c>
      <c r="C26" s="1057"/>
      <c r="D26" s="1057"/>
      <c r="E26" s="1057"/>
      <c r="F26" s="1057"/>
      <c r="G26" s="1057"/>
      <c r="H26" s="1057"/>
      <c r="I26" s="1057"/>
      <c r="J26" s="1057"/>
      <c r="K26" s="1057"/>
      <c r="L26" s="1057"/>
      <c r="M26" s="1057"/>
      <c r="N26" s="1058">
        <f>初期入力!F38</f>
        <v>8300000</v>
      </c>
      <c r="O26" s="1057"/>
      <c r="P26" s="1057"/>
      <c r="Q26" s="1057"/>
      <c r="R26" s="1057"/>
      <c r="S26" s="1057"/>
      <c r="T26" s="1057"/>
      <c r="U26" s="1057"/>
      <c r="V26" s="1057"/>
      <c r="W26" s="1059" t="s">
        <v>1616</v>
      </c>
      <c r="X26" s="1054">
        <f>初期入力!F41</f>
        <v>46273</v>
      </c>
      <c r="Y26" s="1050"/>
      <c r="Z26" s="1050"/>
      <c r="AA26" s="1050"/>
      <c r="AB26" s="1050"/>
      <c r="AC26" s="1050"/>
      <c r="AD26" s="1050"/>
      <c r="AE26" s="1050"/>
      <c r="AF26" s="1050"/>
      <c r="AG26" s="1055"/>
      <c r="AH26" s="81"/>
    </row>
    <row r="27" ht="21" customHeight="1" spans="1:34" x14ac:dyDescent="0.25">
      <c r="A27" s="81"/>
      <c r="B27" s="1056"/>
      <c r="C27" s="1057"/>
      <c r="D27" s="1057"/>
      <c r="E27" s="1057"/>
      <c r="F27" s="1057"/>
      <c r="G27" s="1057"/>
      <c r="H27" s="1057"/>
      <c r="I27" s="1057"/>
      <c r="J27" s="1057"/>
      <c r="K27" s="1057"/>
      <c r="L27" s="1057"/>
      <c r="M27" s="1057"/>
      <c r="N27" s="1058"/>
      <c r="O27" s="1057"/>
      <c r="P27" s="1057"/>
      <c r="Q27" s="1057"/>
      <c r="R27" s="1057"/>
      <c r="S27" s="1057"/>
      <c r="T27" s="1057"/>
      <c r="U27" s="1057"/>
      <c r="V27" s="1057"/>
      <c r="W27" s="1059" t="s">
        <v>1616</v>
      </c>
      <c r="X27" s="1060"/>
      <c r="Y27" s="1050"/>
      <c r="Z27" s="1050"/>
      <c r="AA27" s="1050"/>
      <c r="AB27" s="1050"/>
      <c r="AC27" s="1050"/>
      <c r="AD27" s="1050"/>
      <c r="AE27" s="1050"/>
      <c r="AF27" s="1050"/>
      <c r="AG27" s="1055"/>
      <c r="AH27" s="81"/>
    </row>
    <row r="28" ht="21" customHeight="1" spans="1:34" x14ac:dyDescent="0.25">
      <c r="A28" s="81"/>
      <c r="B28" s="1056"/>
      <c r="C28" s="1057"/>
      <c r="D28" s="1057"/>
      <c r="E28" s="1057"/>
      <c r="F28" s="1057"/>
      <c r="G28" s="1057"/>
      <c r="H28" s="1057"/>
      <c r="I28" s="1057"/>
      <c r="J28" s="1057"/>
      <c r="K28" s="1057"/>
      <c r="L28" s="1057"/>
      <c r="M28" s="1057"/>
      <c r="N28" s="1058"/>
      <c r="O28" s="1057"/>
      <c r="P28" s="1057"/>
      <c r="Q28" s="1057"/>
      <c r="R28" s="1057"/>
      <c r="S28" s="1057"/>
      <c r="T28" s="1057"/>
      <c r="U28" s="1057"/>
      <c r="V28" s="1057"/>
      <c r="W28" s="1059" t="s">
        <v>1616</v>
      </c>
      <c r="X28" s="1060"/>
      <c r="Y28" s="1050"/>
      <c r="Z28" s="1050"/>
      <c r="AA28" s="1050"/>
      <c r="AB28" s="1050"/>
      <c r="AC28" s="1050"/>
      <c r="AD28" s="1050"/>
      <c r="AE28" s="1050"/>
      <c r="AF28" s="1050"/>
      <c r="AG28" s="1055"/>
      <c r="AH28" s="81"/>
    </row>
    <row r="29" ht="21" customHeight="1" spans="1:34" x14ac:dyDescent="0.25">
      <c r="A29" s="81"/>
      <c r="B29" s="1056"/>
      <c r="C29" s="1057"/>
      <c r="D29" s="1057"/>
      <c r="E29" s="1057"/>
      <c r="F29" s="1057"/>
      <c r="G29" s="1057"/>
      <c r="H29" s="1057"/>
      <c r="I29" s="1057"/>
      <c r="J29" s="1057"/>
      <c r="K29" s="1057"/>
      <c r="L29" s="1057"/>
      <c r="M29" s="1057"/>
      <c r="N29" s="1058"/>
      <c r="O29" s="1057"/>
      <c r="P29" s="1057"/>
      <c r="Q29" s="1057"/>
      <c r="R29" s="1057"/>
      <c r="S29" s="1057"/>
      <c r="T29" s="1057"/>
      <c r="U29" s="1057"/>
      <c r="V29" s="1057"/>
      <c r="W29" s="1059" t="s">
        <v>1616</v>
      </c>
      <c r="X29" s="1060"/>
      <c r="Y29" s="1050"/>
      <c r="Z29" s="1050"/>
      <c r="AA29" s="1050"/>
      <c r="AB29" s="1050"/>
      <c r="AC29" s="1050"/>
      <c r="AD29" s="1050"/>
      <c r="AE29" s="1050"/>
      <c r="AF29" s="1050"/>
      <c r="AG29" s="1055"/>
      <c r="AH29" s="81"/>
    </row>
    <row r="30" ht="21" customHeight="1" spans="1:34" x14ac:dyDescent="0.25">
      <c r="A30" s="81"/>
      <c r="B30" s="1061"/>
      <c r="C30" s="1062"/>
      <c r="D30" s="1062"/>
      <c r="E30" s="1062"/>
      <c r="F30" s="1062"/>
      <c r="G30" s="1062"/>
      <c r="H30" s="1062"/>
      <c r="I30" s="1062"/>
      <c r="J30" s="1062"/>
      <c r="K30" s="1062"/>
      <c r="L30" s="1062"/>
      <c r="M30" s="1062"/>
      <c r="N30" s="1063"/>
      <c r="O30" s="1062"/>
      <c r="P30" s="1062"/>
      <c r="Q30" s="1062"/>
      <c r="R30" s="1062"/>
      <c r="S30" s="1062"/>
      <c r="T30" s="1062"/>
      <c r="U30" s="1062"/>
      <c r="V30" s="1062"/>
      <c r="W30" s="1064" t="s">
        <v>1616</v>
      </c>
      <c r="X30" s="1065"/>
      <c r="Y30" s="1062"/>
      <c r="Z30" s="1062"/>
      <c r="AA30" s="1062"/>
      <c r="AB30" s="1062"/>
      <c r="AC30" s="1062"/>
      <c r="AD30" s="1062"/>
      <c r="AE30" s="1062"/>
      <c r="AF30" s="1062"/>
      <c r="AG30" s="1066"/>
      <c r="AH30" s="81"/>
    </row>
    <row r="31" ht="21" customHeight="1" spans="1:34" x14ac:dyDescent="0.25">
      <c r="A31" s="81"/>
      <c r="B31" s="1067"/>
      <c r="C31" s="1067"/>
      <c r="D31" s="1067"/>
      <c r="E31" s="1067"/>
      <c r="F31" s="1067"/>
      <c r="G31" s="1067"/>
      <c r="H31" s="1067"/>
      <c r="I31" s="1067"/>
      <c r="J31" s="1067"/>
      <c r="K31" s="1067"/>
      <c r="L31" s="1067"/>
      <c r="M31" s="1067"/>
      <c r="N31" s="1067"/>
      <c r="O31" s="1067"/>
      <c r="P31" s="1067"/>
      <c r="Q31" s="1067"/>
      <c r="R31" s="1067"/>
      <c r="S31" s="1067"/>
      <c r="T31" s="1067"/>
      <c r="U31" s="1067"/>
      <c r="V31" s="1067"/>
      <c r="W31" s="1067"/>
      <c r="X31" s="1067"/>
      <c r="Y31" s="1067"/>
      <c r="Z31" s="1067"/>
      <c r="AA31" s="1067"/>
      <c r="AB31" s="1067"/>
      <c r="AC31" s="1067"/>
      <c r="AD31" s="1067"/>
      <c r="AE31" s="1042"/>
      <c r="AF31" s="1042"/>
      <c r="AG31" s="1042"/>
      <c r="AH31" s="81"/>
    </row>
    <row r="32" ht="9.75" customHeight="1" spans="1:34" x14ac:dyDescent="0.25">
      <c r="A32" s="81"/>
      <c r="B32" s="814"/>
      <c r="C32" s="814"/>
      <c r="D32" s="814"/>
      <c r="E32" s="814"/>
      <c r="F32" s="814"/>
      <c r="G32" s="814"/>
      <c r="H32" s="814"/>
      <c r="I32" s="814"/>
      <c r="J32" s="814"/>
      <c r="K32" s="814"/>
      <c r="L32" s="814"/>
      <c r="M32" s="814"/>
      <c r="N32" s="1071"/>
      <c r="O32" s="1071"/>
      <c r="P32" s="1071"/>
      <c r="Q32" s="1071"/>
      <c r="R32" s="1071"/>
      <c r="S32" s="1071"/>
      <c r="T32" s="1071"/>
      <c r="U32" s="1071"/>
      <c r="V32" s="1071"/>
      <c r="W32" s="1071"/>
      <c r="X32" s="1071"/>
      <c r="Y32" s="1071"/>
      <c r="Z32" s="1071"/>
      <c r="AA32" s="1071"/>
      <c r="AB32" s="1071"/>
      <c r="AC32" s="1071"/>
      <c r="AD32" s="1071"/>
      <c r="AE32" s="1071"/>
      <c r="AF32" s="1071"/>
      <c r="AG32" s="1072"/>
      <c r="AH32" s="81"/>
    </row>
    <row r="33" ht="13.5" customHeight="1" spans="1:34" x14ac:dyDescent="0.25">
      <c r="A33" s="81"/>
      <c r="B33" s="81" t="s">
        <v>1926</v>
      </c>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row>
    <row r="34" ht="16.5" customHeight="1" spans="1:34" x14ac:dyDescent="0.25">
      <c r="A34" s="81"/>
      <c r="B34" s="1068" t="s">
        <v>1927</v>
      </c>
      <c r="C34" s="14"/>
      <c r="D34" s="14"/>
      <c r="E34" s="14"/>
      <c r="F34" s="14"/>
      <c r="G34" s="14"/>
      <c r="H34" s="14"/>
      <c r="I34" s="14"/>
      <c r="J34" s="14"/>
      <c r="K34" s="14"/>
      <c r="L34" s="14"/>
      <c r="M34" s="15"/>
      <c r="N34" s="1068" t="s">
        <v>1928</v>
      </c>
      <c r="O34" s="14"/>
      <c r="P34" s="14"/>
      <c r="Q34" s="14"/>
      <c r="R34" s="14"/>
      <c r="S34" s="14"/>
      <c r="T34" s="14"/>
      <c r="U34" s="14"/>
      <c r="V34" s="14"/>
      <c r="W34" s="15"/>
      <c r="X34" s="1068" t="s">
        <v>1929</v>
      </c>
      <c r="Y34" s="14"/>
      <c r="Z34" s="14"/>
      <c r="AA34" s="14"/>
      <c r="AB34" s="14"/>
      <c r="AC34" s="14"/>
      <c r="AD34" s="14"/>
      <c r="AE34" s="14"/>
      <c r="AF34" s="14"/>
      <c r="AG34" s="15"/>
      <c r="AH34" s="81"/>
    </row>
    <row r="35" ht="13.5" customHeight="1" spans="1:34" x14ac:dyDescent="0.25">
      <c r="A35" s="81"/>
      <c r="B35" s="1073" t="s">
        <v>1930</v>
      </c>
      <c r="C35" s="28"/>
      <c r="D35" s="28"/>
      <c r="E35" s="28"/>
      <c r="F35" s="28"/>
      <c r="G35" s="28"/>
      <c r="H35" s="28"/>
      <c r="I35" s="28"/>
      <c r="J35" s="28"/>
      <c r="K35" s="28"/>
      <c r="L35" s="28"/>
      <c r="M35" s="29"/>
      <c r="N35" s="1073" t="s">
        <v>1931</v>
      </c>
      <c r="O35" s="28"/>
      <c r="P35" s="28"/>
      <c r="Q35" s="28"/>
      <c r="R35" s="28"/>
      <c r="S35" s="28"/>
      <c r="T35" s="28"/>
      <c r="U35" s="28"/>
      <c r="V35" s="28"/>
      <c r="W35" s="29"/>
      <c r="X35" s="1074" t="s">
        <v>1068</v>
      </c>
      <c r="Y35" s="28"/>
      <c r="Z35" s="28"/>
      <c r="AA35" s="28"/>
      <c r="AB35" s="28"/>
      <c r="AC35" s="28"/>
      <c r="AD35" s="28"/>
      <c r="AE35" s="28"/>
      <c r="AF35" s="28"/>
      <c r="AG35" s="29"/>
      <c r="AH35" s="81"/>
    </row>
    <row r="36" ht="20.25" customHeight="1" spans="1:34" x14ac:dyDescent="0.25">
      <c r="A36" s="81"/>
      <c r="B36" s="197"/>
      <c r="C36" s="9"/>
      <c r="D36" s="9"/>
      <c r="E36" s="9"/>
      <c r="F36" s="9"/>
      <c r="G36" s="9"/>
      <c r="H36" s="9"/>
      <c r="I36" s="9"/>
      <c r="J36" s="9"/>
      <c r="K36" s="9"/>
      <c r="L36" s="9"/>
      <c r="M36" s="10"/>
      <c r="N36" s="197"/>
      <c r="O36" s="9"/>
      <c r="P36" s="9"/>
      <c r="Q36" s="9"/>
      <c r="R36" s="9"/>
      <c r="S36" s="9"/>
      <c r="T36" s="9"/>
      <c r="U36" s="9"/>
      <c r="V36" s="9"/>
      <c r="W36" s="10"/>
      <c r="X36" s="197"/>
      <c r="Y36" s="9"/>
      <c r="Z36" s="9"/>
      <c r="AA36" s="9"/>
      <c r="AB36" s="9"/>
      <c r="AC36" s="9"/>
      <c r="AD36" s="9"/>
      <c r="AE36" s="9"/>
      <c r="AF36" s="9"/>
      <c r="AG36" s="10"/>
      <c r="AH36" s="81"/>
    </row>
    <row r="37" ht="11.25" customHeight="1" spans="1:34" x14ac:dyDescent="0.25">
      <c r="A37" s="81"/>
      <c r="B37" s="814"/>
      <c r="C37" s="814"/>
      <c r="D37" s="814"/>
      <c r="E37" s="814"/>
      <c r="F37" s="814"/>
      <c r="G37" s="814"/>
      <c r="H37" s="814"/>
      <c r="I37" s="814"/>
      <c r="J37" s="814"/>
      <c r="K37" s="814"/>
      <c r="L37" s="814"/>
      <c r="M37" s="814"/>
      <c r="N37" s="814"/>
      <c r="O37" s="814"/>
      <c r="P37" s="814"/>
      <c r="Q37" s="814"/>
      <c r="R37" s="814"/>
      <c r="S37" s="814"/>
      <c r="T37" s="814"/>
      <c r="U37" s="814"/>
      <c r="V37" s="814"/>
      <c r="W37" s="814"/>
      <c r="X37" s="814"/>
      <c r="Y37" s="814"/>
      <c r="Z37" s="814"/>
      <c r="AA37" s="814"/>
      <c r="AB37" s="814"/>
      <c r="AC37" s="814"/>
      <c r="AD37" s="814"/>
      <c r="AE37" s="814"/>
      <c r="AF37" s="814"/>
      <c r="AG37" s="814"/>
      <c r="AH37" s="81"/>
    </row>
    <row r="38" ht="20.25" customHeight="1" spans="1:34" x14ac:dyDescent="0.25">
      <c r="A38" s="81" t="s">
        <v>1932</v>
      </c>
      <c r="B38" s="814"/>
      <c r="C38" s="814"/>
      <c r="D38" s="814"/>
      <c r="E38" s="814"/>
      <c r="F38" s="814"/>
      <c r="G38" s="814"/>
      <c r="H38" s="814"/>
      <c r="I38" s="814"/>
      <c r="J38" s="814"/>
      <c r="K38" s="814"/>
      <c r="L38" s="814"/>
      <c r="M38" s="814"/>
      <c r="N38" s="814"/>
      <c r="O38" s="814"/>
      <c r="P38" s="814"/>
      <c r="Q38" s="814"/>
      <c r="R38" s="814"/>
      <c r="S38" s="814"/>
      <c r="T38" s="814"/>
      <c r="U38" s="814"/>
      <c r="V38" s="814"/>
      <c r="W38" s="814"/>
      <c r="X38" s="814"/>
      <c r="Y38" s="814"/>
      <c r="Z38" s="814"/>
      <c r="AA38" s="814"/>
      <c r="AB38" s="814"/>
      <c r="AC38" s="814"/>
      <c r="AD38" s="814"/>
      <c r="AE38" s="814"/>
      <c r="AF38" s="814"/>
      <c r="AG38" s="814"/>
      <c r="AH38" s="81"/>
    </row>
    <row r="39" ht="17.1" customHeight="1" spans="1:34" x14ac:dyDescent="0.25">
      <c r="A39" s="1075" t="s">
        <v>1933</v>
      </c>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ht="18.6" customHeight="1" spans="1:34" x14ac:dyDescent="0.25">
      <c r="A40" s="1075" t="s">
        <v>1937</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ht="13.5" customHeight="1" spans="1:34" x14ac:dyDescent="0.25">
      <c r="A41" s="680" t="s">
        <v>1935</v>
      </c>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ht="13.5" customHeight="1" spans="1:34" x14ac:dyDescent="0.25">
      <c r="A42" s="68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ht="13.5" customHeight="1" spans="1:34" x14ac:dyDescent="0.25">
      <c r="A43" s="68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ht="13.5" customHeight="1" spans="1:34" x14ac:dyDescent="0.25">
      <c r="A44" s="68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ht="13.5" customHeight="1" spans="1:34" x14ac:dyDescent="0.25">
      <c r="A45" s="1076"/>
      <c r="B45" s="1076"/>
      <c r="C45" s="81"/>
      <c r="D45" s="81"/>
      <c r="E45" s="81"/>
      <c r="F45" s="81"/>
      <c r="G45" s="1076"/>
      <c r="H45" s="81"/>
      <c r="I45" s="81"/>
      <c r="J45" s="81"/>
      <c r="K45" s="81"/>
      <c r="L45" s="81"/>
      <c r="M45" s="81"/>
      <c r="N45" s="81"/>
      <c r="O45" s="81"/>
      <c r="P45" s="81"/>
      <c r="Q45" s="81"/>
      <c r="R45" s="81"/>
      <c r="S45" s="81"/>
      <c r="T45" s="81"/>
      <c r="U45" s="81"/>
      <c r="V45" s="81"/>
      <c r="W45" s="81"/>
      <c r="X45" s="81"/>
      <c r="Y45" s="81"/>
      <c r="Z45" s="81"/>
      <c r="AA45" s="81"/>
      <c r="AB45" s="81"/>
      <c r="AC45" s="81"/>
      <c r="AD45" s="1020"/>
      <c r="AE45" s="1"/>
      <c r="AF45" s="1"/>
      <c r="AG45" s="1"/>
      <c r="AH45" s="81"/>
    </row>
    <row r="46" ht="19.5" customHeight="1" spans="1:34" x14ac:dyDescent="0.25">
      <c r="A46" s="107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row>
    <row r="47" ht="19.5" customHeight="1" spans="1:34"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ht="19.5" customHeight="1" spans="1:34"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ht="19.5" customHeight="1" spans="1:34"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ht="19.5" customHeight="1" spans="1:34" x14ac:dyDescent="0.25">
      <c r="A50" s="1076"/>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ht="19.5" customHeight="1" spans="1:34"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ht="19.5" customHeight="1" spans="1:34"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ht="19.5" customHeight="1" spans="1:34"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ht="19.5" customHeight="1" spans="1:34"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ht="19.5" customHeight="1" spans="1:34"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ht="19.5" customHeight="1" spans="1:34" x14ac:dyDescent="0.25">
      <c r="A56" s="107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ht="19.5" customHeight="1" spans="1:34"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ht="19.5" customHeight="1" spans="1:34"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ht="19.5" customHeight="1" spans="1:34"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ht="19.5" customHeight="1" spans="1:34"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ht="19.5" customHeight="1" spans="1:34"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ht="19.5" customHeight="1" spans="1:34"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ht="19.5" customHeight="1" spans="1:34" x14ac:dyDescent="0.25">
      <c r="A63" s="1076"/>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ht="19.5" customHeight="1" spans="1:34"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ht="19.5" customHeight="1" spans="1:34"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ht="19.5" customHeight="1" spans="1:34"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ht="19.5" customHeight="1" spans="1:34"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ht="19.5" customHeight="1" spans="1:34"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ht="19.5" customHeight="1" spans="1:34"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ht="19.5" customHeight="1" spans="1:34"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ht="19.5" customHeight="1" spans="1:34"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ht="20.25" customHeight="1" spans="1:34" x14ac:dyDescent="0.25">
      <c r="A72" s="1076"/>
      <c r="B72" s="1076"/>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ht="20.25" customHeight="1" spans="1:34"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ht="20.25" customHeight="1" spans="1:34"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ht="20.25" customHeight="1" spans="1:34"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ht="20.25" customHeight="1" spans="1:34"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ht="20.25" customHeight="1" spans="1:34"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ht="20.25" customHeight="1" spans="1:34"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ht="20.25" customHeight="1" spans="1:34"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ht="20.25" customHeight="1" spans="1:34"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ht="20.25" customHeight="1" spans="1:34" x14ac:dyDescent="0.25">
      <c r="A81" s="1076"/>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ht="20.25" customHeight="1" spans="1:34"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ht="20.25" customHeight="1" spans="1:34"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ht="20.25" customHeight="1" spans="1:34"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ht="20.25" customHeight="1" spans="1:34"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ht="20.25" customHeight="1" spans="1:34"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ht="20.25" customHeight="1" spans="1:34"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ht="20.25" customHeight="1" spans="1:34"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ht="20.25" customHeight="1" spans="1:34"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ht="20.25" customHeight="1" spans="1:34"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ht="20.25" customHeight="1" spans="1:34"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ht="20.25" customHeight="1" spans="1:34"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ht="20.25" customHeight="1" spans="1:34"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ht="20.25" customHeight="1" spans="1:34"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ht="20.25" customHeight="1" spans="1:34"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ht="20.25" customHeight="1" spans="1:34"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ht="20.25" customHeight="1" spans="1:34"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ht="20.25" customHeight="1" spans="1:3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ht="20.25" customHeight="1" spans="1:34" x14ac:dyDescent="0.25">
      <c r="A99" s="1076"/>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ht="20.25" customHeight="1" spans="1:34"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ht="20.25" customHeight="1" spans="1:34"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ht="20.25" customHeight="1" spans="1:34"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ht="20.25" customHeight="1" spans="1:34"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ht="20.25" customHeight="1" spans="1:34"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ht="20.25" customHeight="1" spans="1:34"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ht="20.25" customHeight="1" spans="1:34"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ht="20.25" customHeight="1" spans="1:34"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ht="20.25" customHeight="1" spans="1:34"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ht="20.25" customHeight="1" spans="1:34"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ht="20.25" customHeight="1" spans="1:34"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ht="20.25" customHeight="1" spans="1:34"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ht="20.25" customHeight="1" spans="1:34"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ht="20.25" customHeight="1" spans="1:34"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ht="20.25" customHeight="1" spans="1:34"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ht="20.25" customHeight="1" spans="1:34"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ht="20.25" customHeight="1" spans="1:34"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ht="20.25" customHeight="1" spans="1:34"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ht="20.25" customHeight="1" spans="1:34"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ht="20.25" customHeight="1" spans="1:34"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ht="20.25" customHeight="1" spans="1:34"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ht="20.25" customHeight="1" spans="1:34"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ht="20.25" customHeight="1" spans="1:34"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ht="20.25" customHeight="1" spans="1:34"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ht="20.25" customHeight="1" spans="1:34"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ht="20.25" customHeight="1" spans="1:34"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ht="20.25" customHeight="1" spans="1:34"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ht="20.25" customHeight="1" spans="1:34"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ht="20.25" customHeight="1" spans="1:34"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ht="20.25" customHeight="1" spans="1:3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ht="20.25" customHeight="1" spans="1:34"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ht="20.25" customHeight="1" spans="1:34"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ht="20.25" customHeight="1" spans="1:34"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ht="20.25" customHeight="1" spans="1:34"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ht="20.25" customHeight="1" spans="1:34"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ht="20.25" customHeight="1" spans="1:34"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ht="12.75" customHeight="1" spans="1:34"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ht="12.75" customHeight="1" spans="1:34"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ht="12.75" customHeight="1" spans="1:34"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ht="12.75" customHeight="1" spans="1:34"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ht="12.75" customHeight="1" spans="1:34"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ht="12.75" customHeight="1" spans="1:34"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ht="12.75" customHeight="1" spans="1:34"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ht="12.75" customHeight="1" spans="1:34"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ht="12.75" customHeight="1" spans="1:3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ht="12.75" customHeight="1" spans="1:34"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ht="12.75" customHeight="1" spans="1:34"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ht="12.75" customHeight="1" spans="1:34"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ht="12.75" customHeight="1" spans="1:34"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ht="12.75" customHeight="1" spans="1:34"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ht="12.75" customHeight="1" spans="1:34"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ht="12.75" customHeight="1" spans="1:34"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ht="12.75" customHeight="1" spans="1:3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ht="12.75" customHeight="1" spans="1:34"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ht="12.75" customHeight="1" spans="1:34"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ht="12.75" customHeight="1" spans="1:3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ht="12.75" customHeight="1" spans="1:3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ht="12.75" customHeight="1" spans="1:34"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ht="12.75" customHeight="1" spans="1:34"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ht="12.75" customHeight="1" spans="1:34"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ht="12.75" customHeight="1" spans="1:34"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ht="12.75" customHeight="1" spans="1:34"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ht="12.75" customHeight="1" spans="1:34"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ht="12.75" customHeight="1" spans="1:34"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ht="12.75" customHeight="1" spans="1:34"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ht="12.75" customHeight="1" spans="1:34"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ht="12.75" customHeight="1" spans="1:34"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ht="12.75" customHeight="1" spans="1:34"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ht="12.75" customHeight="1" spans="1:34"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ht="12.75" customHeight="1" spans="1:34"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ht="12.75" customHeight="1" spans="1:34"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ht="12.75" customHeight="1" spans="1:34"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ht="12.75" customHeight="1" spans="1:34"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ht="12.75" customHeight="1" spans="1:34"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ht="12.75" customHeight="1" spans="1:34"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ht="12.75" customHeight="1" spans="1:34"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ht="12.75" customHeight="1" spans="1:34"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ht="12.75" customHeight="1" spans="1:34"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ht="12.75" customHeight="1" spans="1:34"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ht="12.75" customHeight="1" spans="1:34"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ht="12.75" customHeight="1" spans="1:34"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ht="12.75" customHeight="1" spans="1:34"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ht="12.75" customHeight="1" spans="1:34"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ht="12.75" customHeight="1" spans="1:34"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ht="12.75" customHeight="1" spans="1:34"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ht="12.75" customHeight="1" spans="1:34"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ht="12.75" customHeight="1" spans="1:34"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ht="12.75" customHeight="1" spans="1:34"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ht="12.75" customHeight="1" spans="1:34"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ht="12.75" customHeight="1" spans="1:34"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ht="12.75" customHeight="1" spans="1:34"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ht="12.75" customHeight="1" spans="1:34"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ht="12.75" customHeight="1" spans="1:34"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ht="12.75" customHeight="1" spans="1:34"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ht="12.75" customHeight="1" spans="1:34"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ht="12.75" customHeight="1" spans="1:34"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ht="12.75" customHeight="1" spans="1:34"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ht="12.75" customHeight="1" spans="1:34"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ht="12.75" customHeight="1" spans="1:34"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ht="12.75" customHeight="1" spans="1:34"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ht="12.75" customHeight="1" spans="1:34"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ht="12.75" customHeight="1" spans="1:34"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row r="202" ht="12.75" customHeight="1" spans="1:34"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row>
    <row r="203" ht="12.75" customHeight="1" spans="1:34"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row>
    <row r="204" ht="12.75" customHeight="1" spans="1:34"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row>
    <row r="205" ht="12.75" customHeight="1" spans="1:34"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row>
    <row r="206" ht="12.75" customHeight="1" spans="1:34"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row>
    <row r="207" ht="12.75" customHeight="1" spans="1:34"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row>
    <row r="208" ht="12.75" customHeight="1" spans="1:34"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row>
    <row r="209" ht="12.75" customHeight="1" spans="1:34"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row>
    <row r="210" ht="12.75" customHeight="1" spans="1:3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row>
    <row r="211" ht="12.75" customHeight="1" spans="1:34"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row>
    <row r="212" ht="12.75" customHeight="1" spans="1:34"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row>
    <row r="213" ht="12.75" customHeight="1" spans="1:34"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row>
    <row r="214" ht="12.75" customHeight="1" spans="1:34"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row>
    <row r="215" ht="12.75" customHeight="1" spans="1:34"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row>
    <row r="216" ht="12.75" customHeight="1" spans="1:34"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row>
    <row r="217" ht="12.75" customHeight="1" spans="1:3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row>
    <row r="218" ht="12.75" customHeight="1" spans="1:34"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row>
    <row r="219" ht="12.75" customHeight="1" spans="1:34"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row>
    <row r="220" ht="12.75" customHeight="1" spans="1:34"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ht="12.75" customHeight="1" spans="1:3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row>
    <row r="222" ht="12.75" customHeight="1" spans="1:3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row>
    <row r="223" ht="12.75" customHeight="1" spans="1:3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row>
    <row r="224" ht="12.75" customHeight="1" spans="1:3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ht="12.75" customHeight="1" spans="1:3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row r="226" ht="12.75" customHeight="1" spans="1:3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row>
    <row r="227" ht="12.75" customHeight="1" spans="1:3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row>
    <row r="228" ht="12.75" customHeight="1" spans="1:3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row>
    <row r="229" ht="12.75" customHeight="1" spans="1:3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row>
    <row r="230" ht="12.75" customHeight="1" spans="1:3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row>
    <row r="231" ht="12.75" customHeight="1" spans="1:34"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row>
    <row r="232" ht="12.75" customHeight="1" spans="1:34"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row>
    <row r="233" ht="12.75" customHeight="1" spans="1:3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row>
    <row r="234" ht="12.75" customHeight="1" spans="1:3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row>
    <row r="235" ht="12.75" customHeight="1" spans="1:3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row>
    <row r="236" ht="12.75" customHeight="1" spans="1:34"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row>
    <row r="237" ht="12.75" customHeight="1" spans="1:34"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row>
    <row r="238" ht="12.75" customHeight="1" spans="1:34"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row>
    <row r="239" ht="12.75" customHeight="1" spans="1:34"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row>
    <row r="240" ht="12.75" customHeight="1" spans="1:34"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row>
    <row r="241" ht="12.75" customHeight="1" spans="1:34"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row>
    <row r="242" ht="12.75" customHeight="1" spans="1:34"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row>
    <row r="243" ht="12.75" customHeight="1" spans="1:34"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row>
    <row r="244" ht="12.75" customHeight="1" spans="1:34"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row>
    <row r="245" ht="12.75" customHeight="1" spans="1:34"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row>
    <row r="246" ht="12.75" customHeight="1" spans="1:34"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row>
    <row r="247" ht="12.75" customHeight="1" spans="1:34"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row>
    <row r="248" ht="12.75" customHeight="1" spans="1:34"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row>
    <row r="249" ht="12.75" customHeight="1" spans="1:34"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row>
    <row r="250" ht="12.75" customHeight="1" spans="1:34"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row>
    <row r="251" ht="12.75" customHeight="1" spans="1:34"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row>
    <row r="252" ht="12.75" customHeight="1" spans="1:34"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row>
    <row r="253" ht="12.75" customHeight="1" spans="1:34"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row>
    <row r="254" ht="12.75" customHeight="1" spans="1:34"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row>
    <row r="255" ht="12.75" customHeight="1" spans="1:34"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row>
    <row r="256" ht="12.75" customHeight="1" spans="1:34"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row>
    <row r="257" ht="12.75" customHeight="1" spans="1:34"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row>
    <row r="258" ht="12.75" customHeight="1" spans="1:34"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row>
    <row r="259" ht="12.75" customHeight="1" spans="1:34"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row>
    <row r="260" ht="12.75" customHeight="1" spans="1:34"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row>
    <row r="261" ht="12.75" customHeight="1" spans="1:34"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row>
    <row r="262" ht="12.75" customHeight="1" spans="1:34"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row>
    <row r="263" ht="12.75" customHeight="1" spans="1:34"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row>
    <row r="264" ht="12.75" customHeight="1" spans="1:34"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row>
    <row r="265" ht="12.75" customHeight="1" spans="1:34"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row>
    <row r="266" ht="12.75" customHeight="1" spans="1:34"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row>
    <row r="267" ht="12.75" customHeight="1" spans="1:34"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row>
    <row r="268" ht="12.75" customHeight="1" spans="1:34"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row>
    <row r="269" ht="12.75" customHeight="1" spans="1:34"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row>
    <row r="270" ht="12.75" customHeight="1" spans="1:34"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row>
    <row r="271" ht="12.75" customHeight="1" spans="1:34"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row>
    <row r="272" ht="12.75" customHeight="1" spans="1:34"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row>
    <row r="273" ht="12.75" customHeight="1" spans="1:34"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row>
    <row r="274" ht="12.75" customHeight="1" spans="1:3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row>
    <row r="275" ht="12.75" customHeight="1" spans="1:34"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row>
    <row r="276" ht="12.75" customHeight="1" spans="1:34"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row>
    <row r="277" ht="12.75" customHeight="1" spans="1:34"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row>
    <row r="278" ht="12.75" customHeight="1" spans="1:34"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row>
    <row r="279" ht="12.75" customHeight="1" spans="1:34"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row>
    <row r="280" ht="12.75" customHeight="1" spans="1:3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row>
    <row r="281" ht="12.75" customHeight="1" spans="1:34"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row>
    <row r="282" ht="12.75" customHeight="1" spans="1:34"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row>
    <row r="283" ht="12.75" customHeight="1" spans="1:3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row>
    <row r="284" ht="12.75" customHeight="1" spans="1:34"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row>
    <row r="285" ht="12.75" customHeight="1" spans="1:34"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row>
    <row r="286" ht="12.75" customHeight="1" spans="1:34"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row>
    <row r="287" ht="12.75" customHeight="1" spans="1:34"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row>
    <row r="288" ht="12.75" customHeight="1" spans="1:3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row>
    <row r="289" ht="12.75" customHeight="1" spans="1:3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row>
    <row r="290" ht="12.75" customHeight="1" spans="1:3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row>
    <row r="291" ht="12.75" customHeight="1" spans="1:3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row>
    <row r="292" ht="12.75" customHeight="1" spans="1:3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row>
    <row r="293" ht="12.75" customHeight="1" spans="1:3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row>
    <row r="294" ht="12.75" customHeight="1" spans="1:3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row>
    <row r="295" ht="12.75" customHeight="1" spans="1:3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row>
    <row r="296" ht="12.75" customHeight="1" spans="1:3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row>
    <row r="297" ht="12.75" customHeight="1" spans="1:3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row>
    <row r="298" ht="12.75" customHeight="1" spans="1:3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row>
    <row r="299" ht="12.75" customHeight="1" spans="1:3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row>
    <row r="300" ht="12.75" customHeight="1" spans="1:3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row>
    <row r="301" ht="12.75" customHeight="1" spans="1:3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row>
    <row r="302" ht="12.75" customHeight="1" spans="1:3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row>
    <row r="303" ht="12.75" customHeight="1" spans="1:3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row>
    <row r="304" ht="12.75" customHeight="1" spans="1:3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row>
    <row r="305" ht="12.75" customHeight="1" spans="1:3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row>
    <row r="306" ht="12.75" customHeight="1" spans="1:3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row>
    <row r="307" ht="12.75" customHeight="1" spans="1:3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row>
    <row r="308" ht="12.75" customHeight="1" spans="1:3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row>
    <row r="309" ht="12.75" customHeight="1" spans="1:3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row>
    <row r="310" ht="12.75" customHeight="1" spans="1:3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row>
    <row r="311" ht="12.75" customHeight="1" spans="1:3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row>
    <row r="312" ht="12.75" customHeight="1" spans="1:3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row>
    <row r="313" ht="12.75" customHeight="1" spans="1:3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row>
    <row r="314" ht="12.75" customHeight="1" spans="1:3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row>
    <row r="315" ht="12.75" customHeight="1" spans="1:3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row>
    <row r="316" ht="12.75" customHeight="1" spans="1:3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row>
    <row r="317" ht="12.75" customHeight="1" spans="1:3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row>
    <row r="318" ht="12.75" customHeight="1" spans="1:3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ht="12.75" customHeight="1" spans="1:3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ht="12.75" customHeight="1" spans="1:3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row>
    <row r="321" ht="12.75" customHeight="1" spans="1:3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row>
    <row r="322" ht="12.75" customHeight="1" spans="1:3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row>
    <row r="323" ht="12.75" customHeight="1" spans="1:3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row>
    <row r="324" ht="12.75" customHeight="1" spans="1:3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row>
    <row r="325" ht="12.75" customHeight="1" spans="1:3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row>
    <row r="326" ht="12.75" customHeight="1" spans="1:3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row>
    <row r="327" ht="12.75" customHeight="1" spans="1:3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row>
    <row r="328" ht="12.75" customHeight="1" spans="1:3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row>
    <row r="329" ht="12.75" customHeight="1" spans="1:3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row>
    <row r="330" ht="12.75" customHeight="1" spans="1:3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row>
    <row r="331" ht="12.75" customHeight="1" spans="1:3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row>
    <row r="332" ht="12.75" customHeight="1" spans="1:3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row>
    <row r="333" ht="12.75" customHeight="1" spans="1:3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row>
    <row r="334" ht="12.75" customHeight="1" spans="1:3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row>
    <row r="335" ht="12.75" customHeight="1" spans="1:3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row>
    <row r="336" ht="12.75" customHeight="1" spans="1:3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row>
    <row r="337" ht="12.75" customHeight="1" spans="1:3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row>
    <row r="338" ht="12.75" customHeight="1" spans="1:3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row>
    <row r="339" ht="12.75" customHeight="1" spans="1:3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row>
    <row r="340" ht="12.75" customHeight="1" spans="1:3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row>
    <row r="341" ht="12.75" customHeight="1" spans="1:3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row>
    <row r="342" ht="12.75" customHeight="1" spans="1:3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row>
    <row r="343" ht="12.75" customHeight="1" spans="1:3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row>
    <row r="344" ht="12.75" customHeight="1" spans="1:3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row>
    <row r="345" ht="12.75" customHeight="1" spans="1:3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row>
    <row r="346" ht="12.75" customHeight="1" spans="1:3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row>
    <row r="347" ht="12.75" customHeight="1" spans="1:3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row>
    <row r="348" ht="12.75" customHeight="1" spans="1:3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row>
    <row r="349" ht="12.75" customHeight="1" spans="1:3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row>
    <row r="350" ht="12.75" customHeight="1" spans="1:3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row>
    <row r="351" ht="12.75" customHeight="1" spans="1:3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row>
    <row r="352" ht="12.75" customHeight="1" spans="1:3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row>
    <row r="353" ht="12.75" customHeight="1" spans="1:3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row>
    <row r="354" ht="12.75" customHeight="1" spans="1:3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row>
    <row r="355" ht="12.75" customHeight="1" spans="1:3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row>
    <row r="356" ht="12.75" customHeight="1" spans="1:3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row>
    <row r="357" ht="12.75" customHeight="1" spans="1:3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row>
    <row r="358" ht="12.75" customHeight="1" spans="1:3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row>
    <row r="359" ht="12.75" customHeight="1" spans="1:3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row>
    <row r="360" ht="12.75" customHeight="1" spans="1:3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row>
    <row r="361" ht="12.75" customHeight="1" spans="1:3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row>
    <row r="362" ht="12.75" customHeight="1" spans="1:3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row>
    <row r="363" ht="12.75" customHeight="1" spans="1:3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row>
    <row r="364" ht="12.75" customHeight="1" spans="1:3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row>
    <row r="365" ht="12.75" customHeight="1" spans="1:3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row>
    <row r="366" ht="12.75" customHeight="1" spans="1:3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row>
    <row r="367" ht="12.75" customHeight="1" spans="1:3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row>
    <row r="368" ht="12.75" customHeight="1" spans="1:3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row>
    <row r="369" ht="12.75" customHeight="1" spans="1:3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row>
    <row r="370" ht="12.75" customHeight="1" spans="1:3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row>
    <row r="371" ht="12.75" customHeight="1" spans="1:3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row>
    <row r="372" ht="12.75" customHeight="1" spans="1:3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row>
    <row r="373" ht="12.75" customHeight="1" spans="1:3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row>
    <row r="374" ht="12.75" customHeight="1" spans="1:3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row>
    <row r="375" ht="12.75" customHeight="1" spans="1:3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row>
    <row r="376" ht="12.75" customHeight="1" spans="1:3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row>
    <row r="377" ht="12.75" customHeight="1" spans="1:3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row>
    <row r="378" ht="12.75" customHeight="1" spans="1:3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row>
    <row r="379" ht="12.75" customHeight="1" spans="1:3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row>
    <row r="380" ht="12.75" customHeight="1" spans="1:3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row>
    <row r="381" ht="12.75" customHeight="1" spans="1:3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row>
    <row r="382" ht="12.75" customHeight="1" spans="1:3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row>
    <row r="383" ht="12.75" customHeight="1" spans="1:3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row>
    <row r="384" ht="12.75" customHeight="1" spans="1:3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row>
    <row r="385" ht="12.75" customHeight="1" spans="1:3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row>
    <row r="386" ht="12.75" customHeight="1" spans="1:3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row>
    <row r="387" ht="12.75" customHeight="1" spans="1:3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row>
    <row r="388" ht="12.75" customHeight="1" spans="1:3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row>
    <row r="389" ht="12.75" customHeight="1" spans="1:3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row>
    <row r="390" ht="12.75" customHeight="1" spans="1:3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row>
    <row r="391" ht="12.75" customHeight="1" spans="1:3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row>
    <row r="392" ht="12.75" customHeight="1" spans="1:3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row>
    <row r="393" ht="12.75" customHeight="1" spans="1:3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row>
    <row r="394" ht="12.75" customHeight="1" spans="1:3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row>
    <row r="395" ht="12.75" customHeight="1" spans="1:3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row>
    <row r="396" ht="12.75" customHeight="1" spans="1:3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row>
    <row r="397" ht="12.75" customHeight="1" spans="1:3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row>
    <row r="398" ht="12.75" customHeight="1" spans="1:3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row>
    <row r="399" ht="12.75" customHeight="1" spans="1:3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row>
    <row r="400" ht="12.75" customHeight="1" spans="1:3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row>
    <row r="401" ht="12.75" customHeight="1" spans="1:3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row>
    <row r="402" ht="12.75" customHeight="1" spans="1:3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row>
    <row r="403" ht="12.75" customHeight="1" spans="1:3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row>
    <row r="404" ht="12.75" customHeight="1" spans="1:3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row>
    <row r="405" ht="12.75" customHeight="1" spans="1:3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row>
    <row r="406" ht="12.75" customHeight="1" spans="1:3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row>
    <row r="407" ht="12.75" customHeight="1" spans="1:3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row>
    <row r="408" ht="12.75" customHeight="1" spans="1:3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row>
    <row r="409" ht="12.75" customHeight="1" spans="1:3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row>
    <row r="410" ht="12.75" customHeight="1" spans="1:3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row>
    <row r="411" ht="12.75" customHeight="1" spans="1:3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row>
    <row r="412" ht="12.75" customHeight="1" spans="1:3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row>
    <row r="413" ht="12.75" customHeight="1" spans="1:3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row>
    <row r="414" ht="12.75" customHeight="1" spans="1:3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row>
    <row r="415" ht="12.75" customHeight="1" spans="1:3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row>
    <row r="416" ht="12.75" customHeight="1" spans="1:3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row>
    <row r="417" ht="12.75" customHeight="1" spans="1:3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row>
    <row r="418" ht="12.75" customHeight="1" spans="1:3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row>
    <row r="419" ht="12.75" customHeight="1" spans="1:3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row>
    <row r="420" ht="12.75" customHeight="1" spans="1:3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row>
    <row r="421" ht="12.75" customHeight="1" spans="1:3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row>
    <row r="422" ht="12.75" customHeight="1" spans="1:3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row>
    <row r="423" ht="12.75" customHeight="1" spans="1:3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row>
    <row r="424" ht="12.75" customHeight="1" spans="1:3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row>
    <row r="425" ht="12.75" customHeight="1" spans="1:3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row>
    <row r="426" ht="12.75" customHeight="1" spans="1:3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row>
    <row r="427" ht="12.75" customHeight="1" spans="1:3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row>
    <row r="428" ht="12.75" customHeight="1" spans="1:3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row>
    <row r="429" ht="12.75" customHeight="1" spans="1:3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row>
    <row r="430" ht="12.75" customHeight="1" spans="1:3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row>
    <row r="431" ht="12.75" customHeight="1" spans="1:3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row>
    <row r="432" ht="12.75" customHeight="1" spans="1:3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row>
    <row r="433" ht="12.75" customHeight="1" spans="1:3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row>
    <row r="434" ht="12.75" customHeight="1" spans="1:3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row>
    <row r="435" ht="12.75" customHeight="1" spans="1:3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row>
    <row r="436" ht="12.75" customHeight="1" spans="1:3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row>
    <row r="437" ht="12.75" customHeight="1" spans="1:3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row>
    <row r="438" ht="12.75" customHeight="1" spans="1:3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row>
    <row r="439" ht="12.75" customHeight="1" spans="1:3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row>
    <row r="440" ht="12.75" customHeight="1" spans="1:3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row>
    <row r="441" ht="12.75" customHeight="1" spans="1:3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row>
    <row r="442" ht="12.75" customHeight="1" spans="1:3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row>
    <row r="443" ht="12.75" customHeight="1" spans="1:3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row>
    <row r="444" ht="12.75" customHeight="1" spans="1:3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row>
    <row r="445" ht="12.75" customHeight="1" spans="1:3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row>
    <row r="446" ht="12.75" customHeight="1" spans="1:3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row>
    <row r="447" ht="12.75" customHeight="1" spans="1:3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row>
    <row r="448" ht="12.75" customHeight="1" spans="1:3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row>
    <row r="449" ht="12.75" customHeight="1" spans="1:3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row>
    <row r="450" ht="12.75" customHeight="1" spans="1:3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row>
    <row r="451" ht="12.75" customHeight="1" spans="1:3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row>
    <row r="452" ht="12.75" customHeight="1" spans="1:3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row>
    <row r="453" ht="12.75" customHeight="1" spans="1:3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row>
    <row r="454" ht="12.75" customHeight="1" spans="1:3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row>
    <row r="455" ht="12.75" customHeight="1" spans="1:3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row>
    <row r="456" ht="12.75" customHeight="1" spans="1:3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row>
    <row r="457" ht="12.75" customHeight="1" spans="1:3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row>
    <row r="458" ht="12.75" customHeight="1" spans="1:3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row>
    <row r="459" ht="12.75" customHeight="1" spans="1:3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row>
    <row r="460" ht="12.75" customHeight="1" spans="1:3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row>
    <row r="461" ht="12.75" customHeight="1" spans="1:3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row>
    <row r="462" ht="12.75" customHeight="1" spans="1:3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row>
    <row r="463" ht="12.75" customHeight="1" spans="1:3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row>
    <row r="464" ht="12.75" customHeight="1" spans="1:3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row>
    <row r="465" ht="12.75" customHeight="1" spans="1:3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row>
    <row r="466" ht="12.75" customHeight="1" spans="1:3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row>
    <row r="467" ht="12.75" customHeight="1" spans="1:3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row>
    <row r="468" ht="12.75" customHeight="1" spans="1:3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row>
    <row r="469" ht="12.75" customHeight="1" spans="1:3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row>
    <row r="470" ht="12.75" customHeight="1" spans="1:3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row>
    <row r="471" ht="12.75" customHeight="1" spans="1:3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row>
    <row r="472" ht="12.75" customHeight="1" spans="1:3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row>
    <row r="473" ht="12.75" customHeight="1" spans="1:3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row>
    <row r="474" ht="12.75" customHeight="1" spans="1:3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row>
    <row r="475" ht="12.75" customHeight="1" spans="1:3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row>
    <row r="476" ht="12.75" customHeight="1" spans="1:3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row>
    <row r="477" ht="12.75" customHeight="1" spans="1:3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row>
    <row r="478" ht="12.75" customHeight="1" spans="1:3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row>
    <row r="479" ht="12.75" customHeight="1" spans="1:3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row>
    <row r="480" ht="12.75" customHeight="1" spans="1:3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row>
    <row r="481" ht="12.75" customHeight="1" spans="1:3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row>
    <row r="482" ht="12.75" customHeight="1" spans="1:3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row>
    <row r="483" ht="12.75" customHeight="1" spans="1:3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row>
    <row r="484" ht="12.75" customHeight="1" spans="1:3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row>
    <row r="485" ht="12.75" customHeight="1" spans="1:3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row>
    <row r="486" ht="12.75" customHeight="1" spans="1:3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row>
    <row r="487" ht="12.75" customHeight="1" spans="1:3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row>
    <row r="488" ht="12.75" customHeight="1" spans="1:3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row>
    <row r="489" ht="12.75" customHeight="1" spans="1:3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row>
    <row r="490" ht="12.75" customHeight="1" spans="1:3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row>
    <row r="491" ht="12.75" customHeight="1" spans="1:3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row>
    <row r="492" ht="12.75" customHeight="1" spans="1:3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row>
    <row r="493" ht="12.75" customHeight="1" spans="1:3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row>
    <row r="494" ht="12.75" customHeight="1" spans="1:3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row>
    <row r="495" ht="12.75" customHeight="1" spans="1:3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row>
    <row r="496" ht="12.75" customHeight="1" spans="1:3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row>
    <row r="497" ht="12.75" customHeight="1" spans="1:3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row>
    <row r="498" ht="12.75" customHeight="1" spans="1:3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row>
    <row r="499" ht="12.75" customHeight="1" spans="1:3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row>
    <row r="500" ht="12.75" customHeight="1" spans="1:3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row>
    <row r="501" ht="12.75" customHeight="1" spans="1:3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row>
    <row r="502" ht="12.75" customHeight="1" spans="1:3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row>
    <row r="503" ht="12.75" customHeight="1" spans="1:3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row>
    <row r="504" ht="12.75" customHeight="1" spans="1:3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row>
    <row r="505" ht="12.75" customHeight="1" spans="1:3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row>
    <row r="506" ht="12.75" customHeight="1" spans="1:3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row>
    <row r="507" ht="12.75" customHeight="1" spans="1:3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row>
    <row r="508" ht="12.75" customHeight="1" spans="1:3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row>
    <row r="509" ht="12.75" customHeight="1" spans="1:3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row>
    <row r="510" ht="12.75" customHeight="1" spans="1:3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row>
    <row r="511" ht="12.75" customHeight="1" spans="1:3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row>
    <row r="512" ht="12.75" customHeight="1" spans="1:3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row>
    <row r="513" ht="12.75" customHeight="1" spans="1:3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row>
    <row r="514" ht="12.75" customHeight="1" spans="1:3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row>
    <row r="515" ht="12.75" customHeight="1" spans="1:3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row>
    <row r="516" ht="12.75" customHeight="1" spans="1:3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row>
    <row r="517" ht="12.75" customHeight="1" spans="1:3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row>
    <row r="518" ht="12.75" customHeight="1" spans="1:3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row>
    <row r="519" ht="12.75" customHeight="1" spans="1:3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row>
    <row r="520" ht="12.75" customHeight="1" spans="1:3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row>
    <row r="521" ht="12.75" customHeight="1" spans="1:3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row>
    <row r="522" ht="12.75" customHeight="1" spans="1:3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row>
    <row r="523" ht="12.75" customHeight="1" spans="1:3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row>
    <row r="524" ht="12.75" customHeight="1" spans="1:3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row>
    <row r="525" ht="12.75" customHeight="1" spans="1:3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row>
    <row r="526" ht="12.75" customHeight="1" spans="1:3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row>
    <row r="527" ht="12.75" customHeight="1" spans="1:3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row>
    <row r="528" ht="12.75" customHeight="1" spans="1:3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row>
    <row r="529" ht="12.75" customHeight="1" spans="1:3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row>
    <row r="530" ht="12.75" customHeight="1" spans="1:3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row>
    <row r="531" ht="12.75" customHeight="1" spans="1:3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row>
    <row r="532" ht="12.75" customHeight="1" spans="1:3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row>
    <row r="533" ht="12.75" customHeight="1" spans="1:3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row>
    <row r="534" ht="12.75" customHeight="1" spans="1:3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row>
    <row r="535" ht="12.75" customHeight="1" spans="1:3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row>
    <row r="536" ht="12.75" customHeight="1" spans="1:3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row>
    <row r="537" ht="12.75" customHeight="1" spans="1:3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row>
    <row r="538" ht="12.75" customHeight="1" spans="1:3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row>
    <row r="539" ht="12.75" customHeight="1" spans="1:3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row>
    <row r="540" ht="12.75" customHeight="1" spans="1:3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row>
    <row r="541" ht="12.75" customHeight="1" spans="1:3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row>
    <row r="542" ht="12.75" customHeight="1" spans="1:3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row>
    <row r="543" ht="12.75" customHeight="1" spans="1:3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row>
    <row r="544" ht="12.75" customHeight="1" spans="1:3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row>
    <row r="545" ht="12.75" customHeight="1" spans="1:3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row>
    <row r="546" ht="12.75" customHeight="1" spans="1:3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row>
    <row r="547" ht="12.75" customHeight="1" spans="1:3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row>
    <row r="548" ht="12.75" customHeight="1" spans="1:3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row>
    <row r="549" ht="12.75" customHeight="1" spans="1:3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row>
    <row r="550" ht="12.75" customHeight="1" spans="1:3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row>
    <row r="551" ht="12.75" customHeight="1" spans="1:3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row>
    <row r="552" ht="12.75" customHeight="1" spans="1:3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row>
    <row r="553" ht="12.75" customHeight="1" spans="1:3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row>
    <row r="554" ht="12.75" customHeight="1" spans="1:3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row>
    <row r="555" ht="12.75" customHeight="1" spans="1:3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row>
    <row r="556" ht="12.75" customHeight="1" spans="1:3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row>
    <row r="557" ht="12.75" customHeight="1" spans="1:3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row>
    <row r="558" ht="12.75" customHeight="1" spans="1:3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row>
    <row r="559" ht="12.75" customHeight="1" spans="1:3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row>
    <row r="560" ht="12.75" customHeight="1" spans="1:3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row>
    <row r="561" ht="12.75" customHeight="1" spans="1:3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row>
    <row r="562" ht="12.75" customHeight="1" spans="1:3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row>
    <row r="563" ht="12.75" customHeight="1" spans="1:3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row>
    <row r="564" ht="12.75" customHeight="1" spans="1:3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row>
    <row r="565" ht="12.75" customHeight="1" spans="1:3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row>
    <row r="566" ht="12.75" customHeight="1" spans="1:3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row>
    <row r="567" ht="12.75" customHeight="1" spans="1:3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row>
    <row r="568" ht="12.75" customHeight="1" spans="1:3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row>
    <row r="569" ht="12.75" customHeight="1" spans="1:3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row>
    <row r="570" ht="12.75" customHeight="1" spans="1:3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row>
    <row r="571" ht="12.75" customHeight="1" spans="1:3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row>
    <row r="572" ht="12.75" customHeight="1" spans="1:3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row>
    <row r="573" ht="12.75" customHeight="1" spans="1:3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row>
    <row r="574" ht="12.75" customHeight="1" spans="1:3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row>
    <row r="575" ht="12.75" customHeight="1" spans="1:3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row>
    <row r="576" ht="12.75" customHeight="1" spans="1:3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row>
    <row r="577" ht="12.75" customHeight="1" spans="1:3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row>
    <row r="578" ht="12.75" customHeight="1" spans="1:3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row>
    <row r="579" ht="12.75" customHeight="1" spans="1:3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row>
    <row r="580" ht="12.75" customHeight="1" spans="1:3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row>
    <row r="581" ht="12.75" customHeight="1" spans="1:3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row>
    <row r="582" ht="12.75" customHeight="1" spans="1:3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row>
    <row r="583" ht="12.75" customHeight="1" spans="1:3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row>
    <row r="584" ht="12.75" customHeight="1" spans="1:3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row>
    <row r="585" ht="12.75" customHeight="1" spans="1:3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row>
    <row r="586" ht="12.75" customHeight="1" spans="1:3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row>
    <row r="587" ht="12.75" customHeight="1" spans="1:3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row>
    <row r="588" ht="12.75" customHeight="1" spans="1:3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row>
    <row r="589" ht="12.75" customHeight="1" spans="1:3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row>
    <row r="590" ht="12.75" customHeight="1" spans="1:3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row>
    <row r="591" ht="12.75" customHeight="1" spans="1:3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row>
    <row r="592" ht="12.75" customHeight="1" spans="1:3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row>
    <row r="593" ht="12.75" customHeight="1" spans="1:3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row>
    <row r="594" ht="12.75" customHeight="1" spans="1:3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row>
    <row r="595" ht="12.75" customHeight="1" spans="1:3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row>
    <row r="596" ht="12.75" customHeight="1" spans="1:3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row>
    <row r="597" ht="12.75" customHeight="1" spans="1:3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row>
    <row r="598" ht="12.75" customHeight="1" spans="1:3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row>
    <row r="599" ht="12.75" customHeight="1" spans="1:3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row>
    <row r="600" ht="12.75" customHeight="1" spans="1:3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row>
    <row r="601" ht="12.75" customHeight="1" spans="1:3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row>
    <row r="602" ht="12.75" customHeight="1" spans="1:3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row>
    <row r="603" ht="12.75" customHeight="1" spans="1:3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row>
    <row r="604" ht="12.75" customHeight="1" spans="1:3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row>
    <row r="605" ht="12.75" customHeight="1" spans="1:3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row>
    <row r="606" ht="12.75" customHeight="1" spans="1:3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row>
    <row r="607" ht="12.75" customHeight="1" spans="1:3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row>
    <row r="608" ht="12.75" customHeight="1" spans="1:3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row>
    <row r="609" ht="12.75" customHeight="1" spans="1:3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row>
    <row r="610" ht="12.75" customHeight="1" spans="1:3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row>
    <row r="611" ht="12.75" customHeight="1" spans="1:3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row>
    <row r="612" ht="12.75" customHeight="1" spans="1:3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row>
    <row r="613" ht="12.75" customHeight="1" spans="1:3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row>
    <row r="614" ht="12.75" customHeight="1" spans="1:3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row>
    <row r="615" ht="12.75" customHeight="1" spans="1:3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row>
    <row r="616" ht="12.75" customHeight="1" spans="1:3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row>
    <row r="617" ht="12.75" customHeight="1" spans="1:3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row>
    <row r="618" ht="12.75" customHeight="1" spans="1:3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row>
    <row r="619" ht="12.75" customHeight="1" spans="1:3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row>
    <row r="620" ht="12.75" customHeight="1" spans="1:3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row>
    <row r="621" ht="12.75" customHeight="1" spans="1:3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row>
    <row r="622" ht="12.75" customHeight="1" spans="1:3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row>
    <row r="623" ht="12.75" customHeight="1" spans="1:3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row>
    <row r="624" ht="12.75" customHeight="1" spans="1:3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row>
    <row r="625" ht="12.75" customHeight="1" spans="1:3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row>
    <row r="626" ht="12.75" customHeight="1" spans="1:3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row>
    <row r="627" ht="12.75" customHeight="1" spans="1:3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row>
    <row r="628" ht="12.75" customHeight="1" spans="1:3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row>
    <row r="629" ht="12.75" customHeight="1" spans="1:3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row>
    <row r="630" ht="12.75" customHeight="1" spans="1:3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row>
    <row r="631" ht="12.75" customHeight="1" spans="1:3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row>
    <row r="632" ht="12.75" customHeight="1" spans="1:3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row>
    <row r="633" ht="12.75" customHeight="1" spans="1:3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row>
    <row r="634" ht="12.75" customHeight="1" spans="1:3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row>
    <row r="635" ht="12.75" customHeight="1" spans="1:3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row>
    <row r="636" ht="12.75" customHeight="1" spans="1:3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row>
    <row r="637" ht="12.75" customHeight="1" spans="1:3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row>
    <row r="638" ht="12.75" customHeight="1" spans="1:3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row>
    <row r="639" ht="12.75" customHeight="1" spans="1:3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row>
    <row r="640" ht="12.75" customHeight="1" spans="1:3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row>
    <row r="641" ht="12.75" customHeight="1" spans="1:3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row>
    <row r="642" ht="12.75" customHeight="1" spans="1:3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row>
    <row r="643" ht="12.75" customHeight="1" spans="1:3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row>
    <row r="644" ht="12.75" customHeight="1" spans="1:3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row>
    <row r="645" ht="12.75" customHeight="1" spans="1:3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row>
    <row r="646" ht="12.75" customHeight="1" spans="1:3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row>
    <row r="647" ht="12.75" customHeight="1" spans="1:3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row>
    <row r="648" ht="12.75" customHeight="1" spans="1:3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row>
    <row r="649" ht="12.75" customHeight="1" spans="1:3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row>
    <row r="650" ht="12.75" customHeight="1" spans="1:3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row>
    <row r="651" ht="12.75" customHeight="1" spans="1:3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row>
    <row r="652" ht="12.75" customHeight="1" spans="1:3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row>
    <row r="653" ht="12.75" customHeight="1" spans="1:3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row>
    <row r="654" ht="12.75" customHeight="1" spans="1:3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row>
    <row r="655" ht="12.75" customHeight="1" spans="1:3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row>
    <row r="656" ht="12.75" customHeight="1" spans="1:3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row>
    <row r="657" ht="12.75" customHeight="1" spans="1:3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row>
    <row r="658" ht="12.75" customHeight="1" spans="1:3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row>
    <row r="659" ht="12.75" customHeight="1" spans="1:3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row>
    <row r="660" ht="12.75" customHeight="1" spans="1:3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row>
    <row r="661" ht="12.75" customHeight="1" spans="1:3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row>
    <row r="662" ht="12.75" customHeight="1" spans="1:3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row>
    <row r="663" ht="12.75" customHeight="1" spans="1:3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row>
    <row r="664" ht="12.75" customHeight="1" spans="1:3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row>
    <row r="665" ht="12.75" customHeight="1" spans="1:3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row>
    <row r="666" ht="12.75" customHeight="1" spans="1:3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row>
    <row r="667" ht="12.75" customHeight="1" spans="1:3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row>
    <row r="668" ht="12.75" customHeight="1" spans="1:3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row>
    <row r="669" ht="12.75" customHeight="1" spans="1:3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row>
    <row r="670" ht="12.75" customHeight="1" spans="1:3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row>
    <row r="671" ht="12.75" customHeight="1" spans="1:3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row>
    <row r="672" ht="12.75" customHeight="1" spans="1:3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row>
    <row r="673" ht="12.75" customHeight="1" spans="1:3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row>
    <row r="674" ht="12.75" customHeight="1" spans="1:3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row>
    <row r="675" ht="12.75" customHeight="1" spans="1:3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row>
    <row r="676" ht="12.75" customHeight="1" spans="1:3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row>
    <row r="677" ht="12.75" customHeight="1" spans="1:3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row>
    <row r="678" ht="12.75" customHeight="1" spans="1:3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row>
    <row r="679" ht="12.75" customHeight="1" spans="1:3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row>
    <row r="680" ht="12.75" customHeight="1" spans="1:3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row>
    <row r="681" ht="12.75" customHeight="1" spans="1:3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row>
    <row r="682" ht="12.75" customHeight="1" spans="1:3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row>
    <row r="683" ht="12.75" customHeight="1" spans="1:3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row>
    <row r="684" ht="12.75" customHeight="1" spans="1:3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row>
    <row r="685" ht="12.75" customHeight="1" spans="1:3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row>
    <row r="686" ht="12.75" customHeight="1" spans="1:3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row>
    <row r="687" ht="12.75" customHeight="1" spans="1:3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row>
    <row r="688" ht="12.75" customHeight="1" spans="1:3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row>
    <row r="689" ht="12.75" customHeight="1" spans="1:3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row>
    <row r="690" ht="12.75" customHeight="1" spans="1:3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row>
    <row r="691" ht="12.75" customHeight="1" spans="1:3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row>
    <row r="692" ht="12.75" customHeight="1" spans="1:3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row>
    <row r="693" ht="12.75" customHeight="1" spans="1:3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row>
    <row r="694" ht="12.75" customHeight="1" spans="1:3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row>
    <row r="695" ht="12.75" customHeight="1" spans="1:3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row>
    <row r="696" ht="12.75" customHeight="1" spans="1:3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row>
    <row r="697" ht="12.75" customHeight="1" spans="1:3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row>
    <row r="698" ht="12.75" customHeight="1" spans="1:3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row>
    <row r="699" ht="12.75" customHeight="1" spans="1:3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row>
    <row r="700" ht="12.75" customHeight="1" spans="1:3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row>
    <row r="701" ht="12.75" customHeight="1" spans="1:3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row>
    <row r="702" ht="12.75" customHeight="1" spans="1:3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row>
    <row r="703" ht="12.75" customHeight="1" spans="1:3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row>
    <row r="704" ht="12.75" customHeight="1" spans="1:3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row>
    <row r="705" ht="12.75" customHeight="1" spans="1:3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row>
    <row r="706" ht="12.75" customHeight="1" spans="1:3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row>
    <row r="707" ht="12.75" customHeight="1" spans="1:3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row>
    <row r="708" ht="12.75" customHeight="1" spans="1:3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row>
    <row r="709" ht="12.75" customHeight="1" spans="1:3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row>
    <row r="710" ht="12.75" customHeight="1" spans="1:3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row>
    <row r="711" ht="12.75" customHeight="1" spans="1:3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row>
    <row r="712" ht="12.75" customHeight="1" spans="1:3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row>
    <row r="713" ht="12.75" customHeight="1" spans="1:3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row>
    <row r="714" ht="12.75" customHeight="1" spans="1:3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row>
    <row r="715" ht="12.75" customHeight="1" spans="1:3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row>
    <row r="716" ht="12.75" customHeight="1" spans="1:3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row>
    <row r="717" ht="12.75" customHeight="1" spans="1:3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row>
    <row r="718" ht="12.75" customHeight="1" spans="1:3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row>
    <row r="719" ht="12.75" customHeight="1" spans="1:3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row>
    <row r="720" ht="12.75" customHeight="1" spans="1:3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row>
    <row r="721" ht="12.75" customHeight="1" spans="1:3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row>
    <row r="722" ht="12.75" customHeight="1" spans="1:3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row>
    <row r="723" ht="12.75" customHeight="1" spans="1:3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row>
    <row r="724" ht="12.75" customHeight="1" spans="1:3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row>
    <row r="725" ht="12.75" customHeight="1" spans="1:3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row>
    <row r="726" ht="12.75" customHeight="1" spans="1:3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row>
    <row r="727" ht="12.75" customHeight="1" spans="1:3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row>
    <row r="728" ht="12.75" customHeight="1" spans="1:3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row>
    <row r="729" ht="12.75" customHeight="1" spans="1:3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row>
    <row r="730" ht="12.75" customHeight="1" spans="1:3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row>
    <row r="731" ht="12.75" customHeight="1" spans="1:3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row>
    <row r="732" ht="12.75" customHeight="1" spans="1:3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row>
    <row r="733" ht="12.75" customHeight="1" spans="1:3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row>
    <row r="734" ht="12.75" customHeight="1" spans="1:3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row>
    <row r="735" ht="12.75" customHeight="1" spans="1:3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row>
    <row r="736" ht="12.75" customHeight="1" spans="1:3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row>
    <row r="737" ht="12.75" customHeight="1" spans="1:3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row>
    <row r="738" ht="12.75" customHeight="1" spans="1:3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row>
    <row r="739" ht="12.75" customHeight="1" spans="1:3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row>
    <row r="740" ht="12.75" customHeight="1" spans="1:3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row>
    <row r="741" ht="12.75" customHeight="1" spans="1:3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row>
    <row r="742" ht="12.75" customHeight="1" spans="1:3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row>
    <row r="743" ht="12.75" customHeight="1" spans="1:3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row>
    <row r="744" ht="12.75" customHeight="1" spans="1:3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row>
    <row r="745" ht="12.75" customHeight="1" spans="1:3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row>
    <row r="746" ht="12.75" customHeight="1" spans="1:3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row>
    <row r="747" ht="12.75" customHeight="1" spans="1:3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row>
    <row r="748" ht="12.75" customHeight="1" spans="1:3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row>
    <row r="749" ht="12.75" customHeight="1" spans="1:3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row>
    <row r="750" ht="12.75" customHeight="1" spans="1:3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row>
    <row r="751" ht="12.75" customHeight="1" spans="1:3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row>
    <row r="752" ht="12.75" customHeight="1" spans="1:3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row>
    <row r="753" ht="12.75" customHeight="1" spans="1:3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row>
    <row r="754" ht="12.75" customHeight="1" spans="1:3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row>
    <row r="755" ht="12.75" customHeight="1" spans="1:3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row>
    <row r="756" ht="12.75" customHeight="1" spans="1:3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row>
    <row r="757" ht="12.75" customHeight="1" spans="1:3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row>
    <row r="758" ht="12.75" customHeight="1" spans="1:3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row>
    <row r="759" ht="12.75" customHeight="1" spans="1:3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row>
    <row r="760" ht="12.75" customHeight="1" spans="1:3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row>
    <row r="761" ht="12.75" customHeight="1" spans="1:3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row>
    <row r="762" ht="12.75" customHeight="1" spans="1:3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row>
    <row r="763" ht="12.75" customHeight="1" spans="1:3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row>
    <row r="764" ht="12.75" customHeight="1" spans="1:3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row>
    <row r="765" ht="12.75" customHeight="1" spans="1:3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row>
    <row r="766" ht="12.75" customHeight="1" spans="1:3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row>
    <row r="767" ht="12.75" customHeight="1" spans="1:3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row>
    <row r="768" ht="12.75" customHeight="1" spans="1:3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row>
    <row r="769" ht="12.75" customHeight="1" spans="1:3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row>
    <row r="770" ht="12.75" customHeight="1" spans="1:3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row>
    <row r="771" ht="12.75" customHeight="1" spans="1:3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row>
    <row r="772" ht="12.75" customHeight="1" spans="1:3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row>
    <row r="773" ht="12.75" customHeight="1" spans="1:3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row>
    <row r="774" ht="12.75" customHeight="1" spans="1:3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row>
    <row r="775" ht="12.75" customHeight="1" spans="1:3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row>
    <row r="776" ht="12.75" customHeight="1" spans="1:3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row>
    <row r="777" ht="12.75" customHeight="1" spans="1:3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row>
    <row r="778" ht="12.75" customHeight="1" spans="1:3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row>
    <row r="779" ht="12.75" customHeight="1" spans="1:3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row>
    <row r="780" ht="12.75" customHeight="1" spans="1:3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row>
    <row r="781" ht="12.75" customHeight="1" spans="1:3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row>
    <row r="782" ht="12.75" customHeight="1" spans="1:3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row>
    <row r="783" ht="12.75" customHeight="1" spans="1:3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row>
    <row r="784" ht="12.75" customHeight="1" spans="1:3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row>
    <row r="785" ht="12.75" customHeight="1" spans="1:3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row>
    <row r="786" ht="12.75" customHeight="1" spans="1:3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row>
    <row r="787" ht="12.75" customHeight="1" spans="1:3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row>
    <row r="788" ht="12.75" customHeight="1" spans="1:3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row>
    <row r="789" ht="12.75" customHeight="1" spans="1:3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row>
    <row r="790" ht="12.75" customHeight="1" spans="1:3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row>
    <row r="791" ht="12.75" customHeight="1" spans="1:3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row>
    <row r="792" ht="12.75" customHeight="1" spans="1:3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row>
    <row r="793" ht="12.75" customHeight="1" spans="1:3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row>
    <row r="794" ht="12.75" customHeight="1" spans="1:3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row>
    <row r="795" ht="12.75" customHeight="1" spans="1:3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row>
    <row r="796" ht="12.75" customHeight="1" spans="1:3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row>
    <row r="797" ht="12.75" customHeight="1" spans="1:3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row>
    <row r="798" ht="12.75" customHeight="1" spans="1:3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row>
    <row r="799" ht="12.75" customHeight="1" spans="1:3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row>
    <row r="800" ht="12.75" customHeight="1" spans="1:3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row>
    <row r="801" ht="12.75" customHeight="1" spans="1:3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row>
    <row r="802" ht="12.75" customHeight="1" spans="1:3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row>
    <row r="803" ht="12.75" customHeight="1" spans="1:3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row>
    <row r="804" ht="12.75" customHeight="1" spans="1:3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row>
    <row r="805" ht="12.75" customHeight="1" spans="1:3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row>
    <row r="806" ht="12.75" customHeight="1" spans="1:3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row>
    <row r="807" ht="12.75" customHeight="1" spans="1:3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row>
    <row r="808" ht="12.75" customHeight="1" spans="1:3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row>
    <row r="809" ht="12.75" customHeight="1" spans="1:3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row>
    <row r="810" ht="12.75" customHeight="1" spans="1:3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row>
    <row r="811" ht="12.75" customHeight="1" spans="1:3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row>
    <row r="812" ht="12.75" customHeight="1" spans="1:3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row>
    <row r="813" ht="12.75" customHeight="1" spans="1:3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row>
    <row r="814" ht="12.75" customHeight="1" spans="1:3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row>
    <row r="815" ht="12.75" customHeight="1" spans="1:3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row>
    <row r="816" ht="12.75" customHeight="1" spans="1:3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row>
    <row r="817" ht="12.75" customHeight="1" spans="1:3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row>
    <row r="818" ht="12.75" customHeight="1" spans="1:3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row>
    <row r="819" ht="12.75" customHeight="1" spans="1:3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row>
    <row r="820" ht="12.75" customHeight="1" spans="1:3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row>
    <row r="821" ht="12.75" customHeight="1" spans="1:3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row>
    <row r="822" ht="12.75" customHeight="1" spans="1:3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row>
    <row r="823" ht="12.75" customHeight="1" spans="1:3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row>
    <row r="824" ht="12.75" customHeight="1" spans="1:3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row>
    <row r="825" ht="12.75" customHeight="1" spans="1:3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row>
    <row r="826" ht="12.75" customHeight="1" spans="1:3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row>
    <row r="827" ht="12.75" customHeight="1" spans="1:3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row>
    <row r="828" ht="12.75" customHeight="1" spans="1:3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row>
    <row r="829" ht="12.75" customHeight="1" spans="1:3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row>
    <row r="830" ht="12.75" customHeight="1" spans="1:3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row>
    <row r="831" ht="12.75" customHeight="1" spans="1:3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row>
    <row r="832" ht="12.75" customHeight="1" spans="1:3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row>
    <row r="833" ht="12.75" customHeight="1" spans="1:3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row>
    <row r="834" ht="12.75" customHeight="1" spans="1:3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row>
    <row r="835" ht="12.75" customHeight="1" spans="1:3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row>
    <row r="836" ht="12.75" customHeight="1" spans="1:3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row>
    <row r="837" ht="12.75" customHeight="1" spans="1:3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row>
    <row r="838" ht="12.75" customHeight="1" spans="1:3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row>
    <row r="839" ht="12.75" customHeight="1" spans="1:3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row>
    <row r="840" ht="12.75" customHeight="1" spans="1:3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row>
    <row r="841" ht="12.75" customHeight="1" spans="1:3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row>
    <row r="842" ht="12.75" customHeight="1" spans="1:3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row>
    <row r="843" ht="12.75" customHeight="1" spans="1:3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row>
    <row r="844" ht="12.75" customHeight="1" spans="1:3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row>
    <row r="845" ht="12.75" customHeight="1" spans="1:3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row>
    <row r="846" ht="12.75" customHeight="1" spans="1:3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row>
    <row r="847" ht="12.75" customHeight="1" spans="1:3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row>
    <row r="848" ht="12.75" customHeight="1" spans="1:3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row>
    <row r="849" ht="12.75" customHeight="1" spans="1:3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row>
    <row r="850" ht="12.75" customHeight="1" spans="1:3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row>
    <row r="851" ht="12.75" customHeight="1" spans="1:3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row>
    <row r="852" ht="12.75" customHeight="1" spans="1:3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row>
    <row r="853" ht="12.75" customHeight="1" spans="1:3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row>
    <row r="854" ht="12.75" customHeight="1" spans="1:3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row>
    <row r="855" ht="12.75" customHeight="1" spans="1:3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row>
    <row r="856" ht="12.75" customHeight="1" spans="1:3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row>
    <row r="857" ht="12.75" customHeight="1" spans="1:3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row>
    <row r="858" ht="12.75" customHeight="1" spans="1:3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row>
    <row r="859" ht="12.75" customHeight="1" spans="1:3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row>
    <row r="860" ht="12.75" customHeight="1" spans="1:3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row>
    <row r="861" ht="12.75" customHeight="1" spans="1:3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row>
    <row r="862" ht="12.75" customHeight="1" spans="1:3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row>
    <row r="863" ht="12.75" customHeight="1" spans="1:3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row>
    <row r="864" ht="12.75" customHeight="1" spans="1:3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row>
    <row r="865" ht="12.75" customHeight="1" spans="1:3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row>
    <row r="866" ht="12.75" customHeight="1" spans="1:3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row>
    <row r="867" ht="12.75" customHeight="1" spans="1:3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row>
    <row r="868" ht="12.75" customHeight="1" spans="1:3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row>
    <row r="869" ht="12.75" customHeight="1" spans="1:3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row>
    <row r="870" ht="12.75" customHeight="1" spans="1:3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row>
    <row r="871" ht="12.75" customHeight="1" spans="1:3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row>
    <row r="872" ht="12.75" customHeight="1" spans="1:3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row>
    <row r="873" ht="12.75" customHeight="1" spans="1:3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row>
    <row r="874" ht="12.75" customHeight="1" spans="1:3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row>
    <row r="875" ht="12.75" customHeight="1" spans="1:3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row>
    <row r="876" ht="12.75" customHeight="1" spans="1:3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row>
    <row r="877" ht="12.75" customHeight="1" spans="1:3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row>
    <row r="878" ht="12.75" customHeight="1" spans="1:3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row>
    <row r="879" ht="12.75" customHeight="1" spans="1:3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row>
    <row r="880" ht="12.75" customHeight="1" spans="1:3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row>
    <row r="881" ht="12.75" customHeight="1" spans="1:3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row>
    <row r="882" ht="12.75" customHeight="1" spans="1:3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row>
    <row r="883" ht="12.75" customHeight="1" spans="1:3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row>
    <row r="884" ht="12.75" customHeight="1" spans="1:3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row>
    <row r="885" ht="12.75" customHeight="1" spans="1:3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row>
    <row r="886" ht="12.75" customHeight="1" spans="1:3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row>
    <row r="887" ht="12.75" customHeight="1" spans="1:3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row>
    <row r="888" ht="12.75" customHeight="1" spans="1:3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row>
    <row r="889" ht="12.75" customHeight="1" spans="1:3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row>
    <row r="890" ht="12.75" customHeight="1" spans="1:3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row>
    <row r="891" ht="12.75" customHeight="1" spans="1:3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row>
    <row r="892" ht="12.75" customHeight="1" spans="1:3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row>
    <row r="893" ht="12.75" customHeight="1" spans="1:3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row>
    <row r="894" ht="12.75" customHeight="1" spans="1:3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row>
    <row r="895" ht="12.75" customHeight="1" spans="1:3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row>
    <row r="896" ht="12.75" customHeight="1" spans="1:3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row>
    <row r="897" ht="12.75" customHeight="1" spans="1:3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row>
    <row r="898" ht="12.75" customHeight="1" spans="1:3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row>
    <row r="899" ht="12.75" customHeight="1" spans="1:3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row>
    <row r="900" ht="12.75" customHeight="1" spans="1:3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row>
    <row r="901" ht="12.75" customHeight="1" spans="1:3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row>
    <row r="902" ht="12.75" customHeight="1" spans="1:3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row>
    <row r="903" ht="12.75" customHeight="1" spans="1:3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row>
    <row r="904" ht="12.75" customHeight="1" spans="1:3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row>
    <row r="905" ht="12.75" customHeight="1" spans="1:34"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row>
    <row r="906" ht="12.75" customHeight="1" spans="1:34"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row>
    <row r="907" ht="12.75" customHeight="1" spans="1:34"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row>
    <row r="908" ht="12.75" customHeight="1" spans="1:34"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row>
    <row r="909" ht="12.75" customHeight="1" spans="1:34"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row>
    <row r="910" ht="12.75" customHeight="1" spans="1:34"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row>
    <row r="911" ht="12.75" customHeight="1" spans="1:34"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row>
    <row r="912" ht="12.75" customHeight="1" spans="1:34"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row>
    <row r="913" ht="12.75" customHeight="1" spans="1:34"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row>
    <row r="914" ht="12.75" customHeight="1" spans="1:34"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row>
    <row r="915" ht="12.75" customHeight="1" spans="1:34"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row>
    <row r="916" ht="12.75" customHeight="1" spans="1:34"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row>
    <row r="917" ht="12.75" customHeight="1" spans="1:34"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row>
    <row r="918" ht="12.75" customHeight="1" spans="1:34"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row>
    <row r="919" ht="12.75" customHeight="1" spans="1:34"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row>
    <row r="920" ht="12.75" customHeight="1" spans="1:34"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row>
    <row r="921" ht="12.75" customHeight="1" spans="1:34"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row>
    <row r="922" ht="12.75" customHeight="1" spans="1:34"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row>
    <row r="923" ht="12.75" customHeight="1" spans="1:34"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row>
    <row r="924" ht="12.75" customHeight="1" spans="1:34"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row>
    <row r="925" ht="12.75" customHeight="1" spans="1:34"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row>
    <row r="926" ht="12.75" customHeight="1" spans="1:34"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row>
    <row r="927" ht="12.75" customHeight="1" spans="1:34"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row>
    <row r="928" ht="12.75" customHeight="1" spans="1:34"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row>
    <row r="929" ht="12.75" customHeight="1" spans="1:34"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row>
    <row r="930" ht="12.75" customHeight="1" spans="1:34"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row>
    <row r="931" ht="12.75" customHeight="1" spans="1:34"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row>
    <row r="932" ht="12.75" customHeight="1" spans="1:34"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row>
    <row r="933" ht="12.75" customHeight="1" spans="1:34"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row>
    <row r="934" ht="12.75" customHeight="1" spans="1:34"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row>
    <row r="935" ht="12.75" customHeight="1" spans="1:34"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row>
    <row r="936" ht="12.75" customHeight="1" spans="1:34"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row>
    <row r="937" ht="12.75" customHeight="1" spans="1:34"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row>
    <row r="938" ht="12.75" customHeight="1" spans="1:34"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row>
    <row r="939" ht="12.75" customHeight="1" spans="1:34"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row>
    <row r="940" ht="12.75" customHeight="1" spans="1:34"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row>
    <row r="941" ht="12.75" customHeight="1" spans="1:34"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row>
    <row r="942" ht="12.75" customHeight="1" spans="1:34"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row>
    <row r="943" ht="12.75" customHeight="1" spans="1:34"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row>
    <row r="944" ht="12.75" customHeight="1" spans="1:34"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row>
    <row r="945" ht="12.75" customHeight="1" spans="1:34"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row>
    <row r="946" ht="12.75" customHeight="1" spans="1:34"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row>
    <row r="947" ht="12.75" customHeight="1" spans="1:34"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row>
    <row r="948" ht="12.75" customHeight="1" spans="1:34"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row>
    <row r="949" ht="12.75" customHeight="1" spans="1:34"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row>
    <row r="950" ht="12.75" customHeight="1" spans="1:34"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row>
    <row r="951" ht="12.75" customHeight="1" spans="1:34"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row>
    <row r="952" ht="12.75" customHeight="1" spans="1:34"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row>
    <row r="953" ht="12.75" customHeight="1" spans="1:34"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row>
    <row r="954" ht="12.75" customHeight="1" spans="1:34"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row>
    <row r="955" ht="12.75" customHeight="1" spans="1:34"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row>
    <row r="956" ht="12.75" customHeight="1" spans="1:34"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row>
    <row r="957" ht="12.75" customHeight="1" spans="1:34"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row>
    <row r="958" ht="12.75" customHeight="1" spans="1:34"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row>
    <row r="959" ht="12.75" customHeight="1" spans="1:34"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row>
    <row r="960" ht="12.75" customHeight="1" spans="1:34"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row>
    <row r="961" ht="12.75" customHeight="1" spans="1:34"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row>
    <row r="962" ht="12.75" customHeight="1" spans="1:34"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row>
    <row r="963" ht="12.75" customHeight="1" spans="1:34"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row>
    <row r="964" ht="12.75" customHeight="1" spans="1:34"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row>
    <row r="965" ht="12.75" customHeight="1" spans="1:34"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row>
    <row r="966" ht="12.75" customHeight="1" spans="1:34"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row>
    <row r="967" ht="12.75" customHeight="1" spans="1:34"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row>
    <row r="968" ht="12.75" customHeight="1" spans="1:34"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row>
    <row r="969" ht="12.75" customHeight="1" spans="1:34"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row>
    <row r="970" ht="12.75" customHeight="1" spans="1:34"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row>
    <row r="971" ht="12.75" customHeight="1" spans="1:34"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row>
    <row r="972" ht="12.75" customHeight="1" spans="1:34"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row>
    <row r="973" ht="12.75" customHeight="1" spans="1:34"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row>
    <row r="974" ht="12.75" customHeight="1" spans="1:34"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row>
    <row r="975" ht="12.75" customHeight="1" spans="1:34"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row>
    <row r="976" ht="12.75" customHeight="1" spans="1:34"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row>
    <row r="977" ht="12.75" customHeight="1" spans="1:34"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row>
    <row r="978" ht="12.75" customHeight="1" spans="1:34"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row>
    <row r="979" ht="12.75" customHeight="1" spans="1:34"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row>
    <row r="980" ht="12.75" customHeight="1" spans="1:34"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row>
    <row r="981" ht="12.75" customHeight="1" spans="1:34"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row>
    <row r="982" ht="12.75" customHeight="1" spans="1:34"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row>
    <row r="983" ht="12.75" customHeight="1" spans="1:34"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row>
    <row r="984" ht="12.75" customHeight="1" spans="1:34"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row>
    <row r="985" ht="12.75" customHeight="1" spans="1:34"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row>
    <row r="986" ht="12.75" customHeight="1" spans="1:34"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row>
    <row r="987" ht="12.75" customHeight="1" spans="1:34"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row>
    <row r="988" ht="12.75" customHeight="1" spans="1:34"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row>
    <row r="989" ht="12.75" customHeight="1" spans="1:34"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row>
    <row r="990" ht="12.75" customHeight="1" spans="1:34"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row>
    <row r="991" ht="12.75" customHeight="1" spans="1:34"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row>
    <row r="992" ht="12.75" customHeight="1" spans="1:34"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row>
    <row r="993" ht="12.75" customHeight="1" spans="1:34"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row>
    <row r="994" ht="12.75" customHeight="1" spans="1:34"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row>
    <row r="995" ht="12.75" customHeight="1" spans="1:34"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row>
    <row r="996" ht="12.75" customHeight="1" spans="1:34"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row>
    <row r="997" ht="12.75" customHeight="1" spans="1:34"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row>
    <row r="998" ht="12.75" customHeight="1" spans="1:34"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row>
    <row r="999" ht="12.75" customHeight="1" spans="1:34"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row>
  </sheetData>
  <mergeCells count="48">
    <mergeCell ref="AB2:AG2"/>
    <mergeCell ref="B4:N5"/>
    <mergeCell ref="O4:P5"/>
    <mergeCell ref="Y6:AG6"/>
    <mergeCell ref="V7:X7"/>
    <mergeCell ref="U8:AG8"/>
    <mergeCell ref="Y9:AG9"/>
    <mergeCell ref="Y10:AG10"/>
    <mergeCell ref="A11:AH12"/>
    <mergeCell ref="B17:N17"/>
    <mergeCell ref="O17:V17"/>
    <mergeCell ref="B18:AG18"/>
    <mergeCell ref="B20:AG20"/>
    <mergeCell ref="O22:P22"/>
    <mergeCell ref="B24:M24"/>
    <mergeCell ref="N24:W24"/>
    <mergeCell ref="X24:AG24"/>
    <mergeCell ref="B25:M25"/>
    <mergeCell ref="N25:V25"/>
    <mergeCell ref="X25:AG25"/>
    <mergeCell ref="B26:M26"/>
    <mergeCell ref="N26:V26"/>
    <mergeCell ref="X26:AG26"/>
    <mergeCell ref="B27:M27"/>
    <mergeCell ref="N27:V27"/>
    <mergeCell ref="X27:AG27"/>
    <mergeCell ref="B28:M28"/>
    <mergeCell ref="N28:V28"/>
    <mergeCell ref="X28:AG28"/>
    <mergeCell ref="B29:M29"/>
    <mergeCell ref="N29:V29"/>
    <mergeCell ref="X29:AG29"/>
    <mergeCell ref="B30:M30"/>
    <mergeCell ref="N30:V30"/>
    <mergeCell ref="X30:AG30"/>
    <mergeCell ref="B34:M34"/>
    <mergeCell ref="N34:W34"/>
    <mergeCell ref="X34:AG34"/>
    <mergeCell ref="B35:M36"/>
    <mergeCell ref="N35:W36"/>
    <mergeCell ref="X35:AG36"/>
    <mergeCell ref="A39:AH39"/>
    <mergeCell ref="A40:AH40"/>
    <mergeCell ref="A41:AH41"/>
    <mergeCell ref="A42:AH42"/>
    <mergeCell ref="A43:AH43"/>
    <mergeCell ref="A44:AH44"/>
    <mergeCell ref="AD45:AG45"/>
  </mergeCells>
  <dataValidations count="1">
    <dataValidation type="list" allowBlank="1" showInputMessage="1" showErrorMessage="1" sqref="B25:M25">
      <formula1>"ご契約金,着工金,上棟金"</formula1>
    </dataValidation>
  </dataValidations>
  <pageMargins left="1.1811023622047245" right="0.5905511811023623" top="0.7480314960629921" bottom="0.5905511811023623" header="0" footer="0"/>
  <pageSetup paperSize="9" orientation="portrait" horizontalDpi="4294967295" verticalDpi="4294967295" scale="87" fitToWidth="1" fitToHeight="1" firstPageNumber="1" useFirstPageNumber="1" copies="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2"/>
  <sheetViews>
    <sheetView workbookViewId="0" zoomScale="70" zoomScaleNormal="70">
      <selection activeCell="F64" sqref="F64"/>
    </sheetView>
  </sheetViews>
  <sheetFormatPr defaultRowHeight="30" outlineLevelRow="0" outlineLevelCol="0" x14ac:dyDescent="0" defaultColWidth="4.28515625" customHeight="1"/>
  <cols>
    <col min="1" max="1" width="4.28515625" style="824" customWidth="1"/>
    <col min="2" max="2" width="4.28515625" style="825" customWidth="1"/>
    <col min="3" max="3" width="4.7109375" style="825" customWidth="1"/>
    <col min="4" max="4" width="19.5703125" style="825" customWidth="1"/>
    <col min="5" max="6" width="82.7109375" style="824" customWidth="1"/>
    <col min="7" max="7" width="3.7109375" style="824" customWidth="1"/>
    <col min="8" max="9" width="4.28515625" style="824" customWidth="1"/>
    <col min="10" max="10" width="14.28515625" style="824" customWidth="1"/>
    <col min="11" max="16384" width="4.28515625" style="824" customWidth="1"/>
  </cols>
  <sheetData>
    <row r="1" ht="30" customHeight="1" spans="1:10" s="826" customFormat="1" x14ac:dyDescent="0.25">
      <c r="A1" s="827" t="s">
        <v>1660</v>
      </c>
      <c r="C1" s="828"/>
      <c r="D1" s="828"/>
      <c r="E1" s="828"/>
      <c r="F1" s="829"/>
      <c r="J1" s="830" t="s">
        <v>1661</v>
      </c>
    </row>
    <row r="2" ht="30" customHeight="1" spans="2:10" s="825" customFormat="1" x14ac:dyDescent="0.25">
      <c r="B2" s="831"/>
      <c r="C2" s="832"/>
      <c r="D2" s="833" t="s">
        <v>1597</v>
      </c>
      <c r="E2" s="832" t="s">
        <v>1636</v>
      </c>
      <c r="F2" s="834" t="s">
        <v>948</v>
      </c>
      <c r="J2" s="824" t="s">
        <v>1660</v>
      </c>
    </row>
    <row r="3" ht="30" customHeight="1" spans="2:10" x14ac:dyDescent="0.25">
      <c r="B3" s="835" t="s">
        <v>1637</v>
      </c>
      <c r="C3" s="836">
        <v>1</v>
      </c>
      <c r="D3" s="837" t="s">
        <v>1638</v>
      </c>
      <c r="E3" s="838" t="s">
        <v>1662</v>
      </c>
      <c r="F3" s="839" t="s">
        <v>1663</v>
      </c>
      <c r="J3" s="840" t="s">
        <v>1633</v>
      </c>
    </row>
    <row r="4" ht="78.75" customHeight="1" spans="2:10" x14ac:dyDescent="0.25">
      <c r="B4" s="841" t="s">
        <v>1637</v>
      </c>
      <c r="C4" s="842">
        <v>2</v>
      </c>
      <c r="D4" s="812" t="s">
        <v>1639</v>
      </c>
      <c r="E4" s="843" t="s">
        <v>1664</v>
      </c>
      <c r="F4" s="844" t="s">
        <v>1665</v>
      </c>
      <c r="J4" s="840" t="s">
        <v>1666</v>
      </c>
    </row>
    <row r="5" ht="138.6" customHeight="1" spans="2:10" x14ac:dyDescent="0.25">
      <c r="B5" s="841" t="s">
        <v>1637</v>
      </c>
      <c r="C5" s="842">
        <v>3</v>
      </c>
      <c r="D5" s="812" t="s">
        <v>72</v>
      </c>
      <c r="E5" s="843" t="s">
        <v>1667</v>
      </c>
      <c r="F5" s="844" t="s">
        <v>1668</v>
      </c>
      <c r="J5" s="840"/>
    </row>
    <row r="6" ht="30" customHeight="1" spans="2:10" x14ac:dyDescent="0.25">
      <c r="B6" s="841" t="s">
        <v>1637</v>
      </c>
      <c r="C6" s="842">
        <v>4</v>
      </c>
      <c r="D6" s="812" t="s">
        <v>1640</v>
      </c>
      <c r="E6" s="843" t="s">
        <v>1669</v>
      </c>
      <c r="F6" s="844" t="s">
        <v>1670</v>
      </c>
      <c r="J6" s="840" t="s">
        <v>1671</v>
      </c>
    </row>
    <row r="7" ht="45" customHeight="1" spans="2:10" x14ac:dyDescent="0.25">
      <c r="B7" s="841" t="s">
        <v>1637</v>
      </c>
      <c r="C7" s="842">
        <v>5</v>
      </c>
      <c r="D7" s="812" t="s">
        <v>1672</v>
      </c>
      <c r="E7" s="843" t="s">
        <v>1673</v>
      </c>
      <c r="F7" s="845" t="s">
        <v>1674</v>
      </c>
      <c r="J7" s="840"/>
    </row>
    <row r="8" ht="30" customHeight="1" spans="2:10" x14ac:dyDescent="0.25">
      <c r="B8" s="841" t="s">
        <v>1637</v>
      </c>
      <c r="C8" s="842">
        <v>6</v>
      </c>
      <c r="D8" s="812" t="s">
        <v>1641</v>
      </c>
      <c r="E8" s="843" t="s">
        <v>1675</v>
      </c>
      <c r="F8" s="844" t="s">
        <v>1066</v>
      </c>
      <c r="J8" s="840"/>
    </row>
    <row r="9" ht="30" customHeight="1" spans="2:6" x14ac:dyDescent="0.25">
      <c r="B9" s="841" t="s">
        <v>1637</v>
      </c>
      <c r="C9" s="842">
        <v>7</v>
      </c>
      <c r="D9" s="812" t="s">
        <v>1642</v>
      </c>
      <c r="E9" s="843" t="s">
        <v>1676</v>
      </c>
      <c r="F9" s="844" t="s">
        <v>1677</v>
      </c>
    </row>
    <row r="10" ht="30" customHeight="1" spans="2:6" x14ac:dyDescent="0.25">
      <c r="B10" s="841" t="s">
        <v>1637</v>
      </c>
      <c r="C10" s="842">
        <v>8</v>
      </c>
      <c r="D10" s="812" t="s">
        <v>1643</v>
      </c>
      <c r="E10" s="843" t="s">
        <v>1678</v>
      </c>
      <c r="F10" s="844" t="s">
        <v>1066</v>
      </c>
    </row>
    <row r="11" ht="30" customHeight="1" spans="2:6" x14ac:dyDescent="0.25">
      <c r="B11" s="841" t="s">
        <v>1637</v>
      </c>
      <c r="C11" s="842">
        <v>9</v>
      </c>
      <c r="D11" s="812" t="s">
        <v>1644</v>
      </c>
      <c r="E11" s="843" t="s">
        <v>1679</v>
      </c>
      <c r="F11" s="844" t="s">
        <v>1680</v>
      </c>
    </row>
    <row r="12" ht="30" customHeight="1" spans="2:6" x14ac:dyDescent="0.25">
      <c r="B12" s="841" t="s">
        <v>1637</v>
      </c>
      <c r="C12" s="842">
        <v>10</v>
      </c>
      <c r="D12" s="812" t="s">
        <v>772</v>
      </c>
      <c r="E12" s="843" t="s">
        <v>1681</v>
      </c>
      <c r="F12" s="844" t="s">
        <v>1682</v>
      </c>
    </row>
    <row r="13" ht="30" customHeight="1" spans="2:6" x14ac:dyDescent="0.25">
      <c r="B13" s="841" t="s">
        <v>1637</v>
      </c>
      <c r="C13" s="842">
        <v>11</v>
      </c>
      <c r="D13" s="812" t="s">
        <v>1645</v>
      </c>
      <c r="E13" s="843" t="s">
        <v>1683</v>
      </c>
      <c r="F13" s="844"/>
    </row>
    <row r="14" ht="32.25" customHeight="1" spans="2:6" x14ac:dyDescent="0.25">
      <c r="B14" s="841" t="s">
        <v>1637</v>
      </c>
      <c r="C14" s="842">
        <v>12</v>
      </c>
      <c r="D14" s="812" t="s">
        <v>1646</v>
      </c>
      <c r="E14" s="846" t="s">
        <v>1684</v>
      </c>
      <c r="F14" s="844" t="s">
        <v>1685</v>
      </c>
    </row>
    <row r="15" ht="30" customHeight="1" spans="2:6" x14ac:dyDescent="0.25">
      <c r="B15" s="841" t="s">
        <v>1637</v>
      </c>
      <c r="C15" s="842">
        <v>13</v>
      </c>
      <c r="D15" s="847" t="s">
        <v>1647</v>
      </c>
      <c r="E15" s="843" t="s">
        <v>1686</v>
      </c>
      <c r="F15" s="844" t="s">
        <v>1687</v>
      </c>
    </row>
    <row r="16" ht="30" customHeight="1" spans="2:6" x14ac:dyDescent="0.25">
      <c r="B16" s="841" t="s">
        <v>1637</v>
      </c>
      <c r="C16" s="842">
        <v>14</v>
      </c>
      <c r="D16" s="847" t="s">
        <v>1648</v>
      </c>
      <c r="E16" s="843" t="s">
        <v>1688</v>
      </c>
      <c r="F16" s="844" t="s">
        <v>1689</v>
      </c>
    </row>
    <row r="17" ht="30" customHeight="1" spans="2:6" x14ac:dyDescent="0.25">
      <c r="B17" s="841" t="s">
        <v>1637</v>
      </c>
      <c r="C17" s="842">
        <v>15</v>
      </c>
      <c r="D17" s="847" t="s">
        <v>1649</v>
      </c>
      <c r="E17" s="843" t="s">
        <v>1690</v>
      </c>
      <c r="F17" s="844" t="s">
        <v>1691</v>
      </c>
    </row>
    <row r="18" ht="30" customHeight="1" spans="2:6" x14ac:dyDescent="0.25">
      <c r="B18" s="841" t="s">
        <v>1637</v>
      </c>
      <c r="C18" s="842">
        <v>16</v>
      </c>
      <c r="D18" s="847" t="s">
        <v>1650</v>
      </c>
      <c r="E18" s="843" t="s">
        <v>1692</v>
      </c>
      <c r="F18" s="844" t="s">
        <v>1693</v>
      </c>
    </row>
    <row r="19" ht="30" customHeight="1" spans="2:6" x14ac:dyDescent="0.25">
      <c r="B19" s="841" t="s">
        <v>1637</v>
      </c>
      <c r="C19" s="842">
        <v>17</v>
      </c>
      <c r="D19" s="847" t="s">
        <v>1651</v>
      </c>
      <c r="E19" s="843" t="s">
        <v>1694</v>
      </c>
      <c r="F19" s="844" t="s">
        <v>1695</v>
      </c>
    </row>
    <row r="20" ht="30" customHeight="1" spans="2:6" x14ac:dyDescent="0.25">
      <c r="B20" s="841" t="s">
        <v>1637</v>
      </c>
      <c r="C20" s="842">
        <v>18</v>
      </c>
      <c r="D20" s="847" t="s">
        <v>1652</v>
      </c>
      <c r="E20" s="843" t="s">
        <v>1696</v>
      </c>
      <c r="F20" s="844" t="s">
        <v>1066</v>
      </c>
    </row>
    <row r="21" ht="30" customHeight="1" spans="2:6" x14ac:dyDescent="0.25">
      <c r="B21" s="841" t="s">
        <v>1637</v>
      </c>
      <c r="C21" s="842">
        <v>19</v>
      </c>
      <c r="D21" s="847" t="s">
        <v>1653</v>
      </c>
      <c r="E21" s="843" t="s">
        <v>1697</v>
      </c>
      <c r="F21" s="844" t="s">
        <v>1698</v>
      </c>
    </row>
    <row r="22" ht="30" customHeight="1" spans="2:6" x14ac:dyDescent="0.25">
      <c r="B22" s="841" t="s">
        <v>1637</v>
      </c>
      <c r="C22" s="842">
        <v>20</v>
      </c>
      <c r="D22" s="847" t="s">
        <v>1654</v>
      </c>
      <c r="E22" s="843" t="s">
        <v>1699</v>
      </c>
      <c r="F22" s="844" t="s">
        <v>1066</v>
      </c>
    </row>
    <row r="23" ht="30" customHeight="1" spans="2:6" x14ac:dyDescent="0.25">
      <c r="B23" s="841" t="s">
        <v>1637</v>
      </c>
      <c r="C23" s="842">
        <v>21</v>
      </c>
      <c r="D23" s="847" t="s">
        <v>1655</v>
      </c>
      <c r="E23" s="843" t="s">
        <v>1700</v>
      </c>
      <c r="F23" s="844" t="s">
        <v>1066</v>
      </c>
    </row>
    <row r="24" ht="72" customHeight="1" spans="2:6" x14ac:dyDescent="0.25">
      <c r="B24" s="841" t="s">
        <v>1637</v>
      </c>
      <c r="C24" s="842">
        <v>22</v>
      </c>
      <c r="D24" s="847" t="s">
        <v>1656</v>
      </c>
      <c r="E24" s="843" t="s">
        <v>1701</v>
      </c>
      <c r="F24" s="844" t="s">
        <v>1702</v>
      </c>
    </row>
    <row r="25" ht="30" customHeight="1" spans="2:6" x14ac:dyDescent="0.25">
      <c r="B25" s="841" t="s">
        <v>1637</v>
      </c>
      <c r="C25" s="842">
        <v>23</v>
      </c>
      <c r="D25" s="847" t="s">
        <v>1657</v>
      </c>
      <c r="E25" s="843" t="s">
        <v>1703</v>
      </c>
      <c r="F25" s="844" t="s">
        <v>1704</v>
      </c>
    </row>
    <row r="26" ht="59.65" customHeight="1" spans="2:6" x14ac:dyDescent="0.25">
      <c r="B26" s="841" t="s">
        <v>1637</v>
      </c>
      <c r="C26" s="842">
        <v>24</v>
      </c>
      <c r="D26" s="847" t="s">
        <v>1658</v>
      </c>
      <c r="E26" s="843" t="s">
        <v>1705</v>
      </c>
      <c r="F26" s="843" t="s">
        <v>1706</v>
      </c>
    </row>
    <row r="27" ht="30" customHeight="1" spans="2:6" x14ac:dyDescent="0.25">
      <c r="B27" s="848" t="s">
        <v>1637</v>
      </c>
      <c r="C27" s="849">
        <v>25</v>
      </c>
      <c r="D27" s="850" t="s">
        <v>1659</v>
      </c>
      <c r="E27" s="851" t="s">
        <v>1707</v>
      </c>
      <c r="F27" s="852" t="s">
        <v>1066</v>
      </c>
    </row>
    <row r="28" ht="30" customHeight="1" spans="2:6" x14ac:dyDescent="0.25">
      <c r="B28" s="853"/>
      <c r="C28" s="853"/>
      <c r="D28" s="853"/>
      <c r="E28" s="854"/>
      <c r="F28" s="855"/>
    </row>
    <row r="29" ht="30" customHeight="1" spans="2:6" x14ac:dyDescent="0.25">
      <c r="B29" s="853"/>
      <c r="C29" s="853"/>
      <c r="D29" s="853"/>
      <c r="E29" s="856"/>
      <c r="F29" s="856"/>
    </row>
    <row r="31" ht="30" customHeight="1" x14ac:dyDescent="0.25"/>
    <row r="32" ht="30" customHeight="1" spans="1:6" s="826" customFormat="1" x14ac:dyDescent="0.25">
      <c r="A32" s="827" t="s">
        <v>1633</v>
      </c>
      <c r="B32" s="857"/>
      <c r="C32" s="857"/>
      <c r="D32" s="857"/>
      <c r="E32" s="857"/>
      <c r="F32" s="858"/>
    </row>
    <row r="33" ht="30" customHeight="1" spans="2:6" x14ac:dyDescent="0.25">
      <c r="B33" s="831"/>
      <c r="C33" s="832"/>
      <c r="D33" s="833" t="s">
        <v>1597</v>
      </c>
      <c r="E33" s="859" t="s">
        <v>1636</v>
      </c>
      <c r="F33" s="860" t="s">
        <v>948</v>
      </c>
    </row>
    <row r="34" ht="30" customHeight="1" spans="2:6" x14ac:dyDescent="0.25">
      <c r="B34" s="835" t="s">
        <v>1637</v>
      </c>
      <c r="C34" s="836">
        <v>1</v>
      </c>
      <c r="D34" s="837" t="s">
        <v>1638</v>
      </c>
      <c r="E34" s="838" t="s">
        <v>1662</v>
      </c>
      <c r="F34" s="839" t="s">
        <v>1663</v>
      </c>
    </row>
    <row r="35" ht="76.5" customHeight="1" spans="2:6" x14ac:dyDescent="0.25">
      <c r="B35" s="841" t="s">
        <v>1637</v>
      </c>
      <c r="C35" s="842">
        <v>2</v>
      </c>
      <c r="D35" s="812" t="s">
        <v>1639</v>
      </c>
      <c r="E35" s="843" t="s">
        <v>1708</v>
      </c>
      <c r="F35" s="844" t="s">
        <v>1709</v>
      </c>
    </row>
    <row r="36" ht="76.5" customHeight="1" spans="2:6" x14ac:dyDescent="0.25">
      <c r="B36" s="841" t="s">
        <v>1637</v>
      </c>
      <c r="C36" s="842">
        <v>3</v>
      </c>
      <c r="D36" s="812" t="s">
        <v>72</v>
      </c>
      <c r="E36" s="843" t="s">
        <v>1667</v>
      </c>
      <c r="F36" s="844" t="s">
        <v>1668</v>
      </c>
    </row>
    <row r="37" ht="30" customHeight="1" spans="2:6" x14ac:dyDescent="0.25">
      <c r="B37" s="841" t="s">
        <v>1637</v>
      </c>
      <c r="C37" s="842">
        <v>4</v>
      </c>
      <c r="D37" s="847" t="s">
        <v>1640</v>
      </c>
      <c r="E37" s="843" t="s">
        <v>1669</v>
      </c>
      <c r="F37" s="844" t="s">
        <v>1670</v>
      </c>
    </row>
    <row r="38" ht="47.25" customHeight="1" spans="2:6" x14ac:dyDescent="0.25">
      <c r="B38" s="841" t="s">
        <v>1637</v>
      </c>
      <c r="C38" s="842">
        <v>5</v>
      </c>
      <c r="D38" s="847" t="s">
        <v>1672</v>
      </c>
      <c r="E38" s="843" t="s">
        <v>1673</v>
      </c>
      <c r="F38" s="845" t="s">
        <v>1674</v>
      </c>
    </row>
    <row r="39" ht="30" customHeight="1" spans="2:6" x14ac:dyDescent="0.25">
      <c r="B39" s="841" t="s">
        <v>1637</v>
      </c>
      <c r="C39" s="842">
        <v>6</v>
      </c>
      <c r="D39" s="847" t="s">
        <v>1641</v>
      </c>
      <c r="E39" s="843" t="s">
        <v>1675</v>
      </c>
      <c r="F39" s="844" t="s">
        <v>1066</v>
      </c>
    </row>
    <row r="40" ht="48" customHeight="1" spans="2:6" x14ac:dyDescent="0.25">
      <c r="B40" s="841" t="s">
        <v>1637</v>
      </c>
      <c r="C40" s="842">
        <v>7</v>
      </c>
      <c r="D40" s="847" t="s">
        <v>1642</v>
      </c>
      <c r="E40" s="843" t="s">
        <v>1676</v>
      </c>
      <c r="F40" s="844" t="s">
        <v>1677</v>
      </c>
    </row>
    <row r="41" ht="30" customHeight="1" spans="2:6" x14ac:dyDescent="0.25">
      <c r="B41" s="841" t="s">
        <v>1637</v>
      </c>
      <c r="C41" s="842">
        <v>8</v>
      </c>
      <c r="D41" s="847" t="s">
        <v>1643</v>
      </c>
      <c r="E41" s="843" t="s">
        <v>1678</v>
      </c>
      <c r="F41" s="844" t="s">
        <v>1066</v>
      </c>
    </row>
    <row r="42" ht="30" customHeight="1" spans="2:6" x14ac:dyDescent="0.25">
      <c r="B42" s="841" t="s">
        <v>1637</v>
      </c>
      <c r="C42" s="842">
        <v>9</v>
      </c>
      <c r="D42" s="812" t="s">
        <v>1644</v>
      </c>
      <c r="E42" s="843" t="s">
        <v>1679</v>
      </c>
      <c r="F42" s="844" t="s">
        <v>1680</v>
      </c>
    </row>
    <row r="43" ht="30" customHeight="1" spans="2:6" x14ac:dyDescent="0.25">
      <c r="B43" s="841" t="s">
        <v>1637</v>
      </c>
      <c r="C43" s="842">
        <v>10</v>
      </c>
      <c r="D43" s="812" t="s">
        <v>772</v>
      </c>
      <c r="E43" s="843" t="s">
        <v>1681</v>
      </c>
      <c r="F43" s="844" t="s">
        <v>1682</v>
      </c>
    </row>
    <row r="44" ht="30" customHeight="1" spans="2:6" x14ac:dyDescent="0.25">
      <c r="B44" s="841" t="s">
        <v>1637</v>
      </c>
      <c r="C44" s="842">
        <v>11</v>
      </c>
      <c r="D44" s="812" t="s">
        <v>1645</v>
      </c>
      <c r="E44" s="843" t="s">
        <v>1683</v>
      </c>
      <c r="F44" s="844"/>
    </row>
    <row r="45" ht="32.25" customHeight="1" spans="2:6" x14ac:dyDescent="0.25">
      <c r="B45" s="841" t="s">
        <v>1637</v>
      </c>
      <c r="C45" s="842">
        <v>12</v>
      </c>
      <c r="D45" s="812" t="s">
        <v>1646</v>
      </c>
      <c r="E45" s="846" t="s">
        <v>1684</v>
      </c>
      <c r="F45" s="844" t="s">
        <v>1685</v>
      </c>
    </row>
    <row r="46" ht="30" customHeight="1" spans="2:6" x14ac:dyDescent="0.25">
      <c r="B46" s="841" t="s">
        <v>1637</v>
      </c>
      <c r="C46" s="842">
        <v>13</v>
      </c>
      <c r="D46" s="847" t="s">
        <v>1647</v>
      </c>
      <c r="E46" s="843" t="s">
        <v>1686</v>
      </c>
      <c r="F46" s="844" t="s">
        <v>1687</v>
      </c>
    </row>
    <row r="47" ht="30" customHeight="1" spans="2:6" x14ac:dyDescent="0.25">
      <c r="B47" s="841" t="s">
        <v>1637</v>
      </c>
      <c r="C47" s="842">
        <v>14</v>
      </c>
      <c r="D47" s="847" t="s">
        <v>1648</v>
      </c>
      <c r="E47" s="843" t="s">
        <v>1688</v>
      </c>
      <c r="F47" s="844" t="s">
        <v>1689</v>
      </c>
    </row>
    <row r="48" ht="30" customHeight="1" spans="2:6" x14ac:dyDescent="0.25">
      <c r="B48" s="841" t="s">
        <v>1637</v>
      </c>
      <c r="C48" s="842">
        <v>15</v>
      </c>
      <c r="D48" s="847" t="s">
        <v>1649</v>
      </c>
      <c r="E48" s="843" t="s">
        <v>1690</v>
      </c>
      <c r="F48" s="844" t="s">
        <v>1691</v>
      </c>
    </row>
    <row r="49" ht="30" customHeight="1" spans="2:6" x14ac:dyDescent="0.25">
      <c r="B49" s="841" t="s">
        <v>1637</v>
      </c>
      <c r="C49" s="842">
        <v>16</v>
      </c>
      <c r="D49" s="847" t="s">
        <v>1650</v>
      </c>
      <c r="E49" s="843" t="s">
        <v>1692</v>
      </c>
      <c r="F49" s="844" t="s">
        <v>1693</v>
      </c>
    </row>
    <row r="50" ht="47.25" customHeight="1" spans="2:6" x14ac:dyDescent="0.25">
      <c r="B50" s="841" t="s">
        <v>1637</v>
      </c>
      <c r="C50" s="842">
        <v>17</v>
      </c>
      <c r="D50" s="847" t="s">
        <v>1651</v>
      </c>
      <c r="E50" s="843" t="s">
        <v>1710</v>
      </c>
      <c r="F50" s="844" t="s">
        <v>1695</v>
      </c>
    </row>
    <row r="51" ht="30" customHeight="1" spans="2:6" x14ac:dyDescent="0.25">
      <c r="B51" s="841" t="s">
        <v>1637</v>
      </c>
      <c r="C51" s="842">
        <v>18</v>
      </c>
      <c r="D51" s="847" t="s">
        <v>1652</v>
      </c>
      <c r="E51" s="843" t="s">
        <v>1696</v>
      </c>
      <c r="F51" s="844" t="s">
        <v>1066</v>
      </c>
    </row>
    <row r="52" ht="30" customHeight="1" spans="2:6" x14ac:dyDescent="0.25">
      <c r="B52" s="841" t="s">
        <v>1637</v>
      </c>
      <c r="C52" s="842">
        <v>19</v>
      </c>
      <c r="D52" s="847" t="s">
        <v>1653</v>
      </c>
      <c r="E52" s="843" t="s">
        <v>1697</v>
      </c>
      <c r="F52" s="844" t="s">
        <v>1698</v>
      </c>
    </row>
    <row r="53" ht="30" customHeight="1" spans="2:6" x14ac:dyDescent="0.25">
      <c r="B53" s="841" t="s">
        <v>1637</v>
      </c>
      <c r="C53" s="842">
        <v>20</v>
      </c>
      <c r="D53" s="847" t="s">
        <v>1654</v>
      </c>
      <c r="E53" s="843" t="s">
        <v>1699</v>
      </c>
      <c r="F53" s="844" t="s">
        <v>1066</v>
      </c>
    </row>
    <row r="54" ht="30" customHeight="1" spans="2:6" x14ac:dyDescent="0.25">
      <c r="B54" s="841" t="s">
        <v>1637</v>
      </c>
      <c r="C54" s="842">
        <v>21</v>
      </c>
      <c r="D54" s="847" t="s">
        <v>1655</v>
      </c>
      <c r="E54" s="843" t="s">
        <v>1700</v>
      </c>
      <c r="F54" s="844" t="s">
        <v>1066</v>
      </c>
    </row>
    <row r="55" ht="47.25" customHeight="1" spans="2:6" x14ac:dyDescent="0.25">
      <c r="B55" s="841" t="s">
        <v>1637</v>
      </c>
      <c r="C55" s="842">
        <v>22</v>
      </c>
      <c r="D55" s="847" t="s">
        <v>1656</v>
      </c>
      <c r="E55" s="843" t="s">
        <v>1701</v>
      </c>
      <c r="F55" s="844" t="s">
        <v>1702</v>
      </c>
    </row>
    <row r="56" ht="30" customHeight="1" spans="2:6" x14ac:dyDescent="0.25">
      <c r="B56" s="841" t="s">
        <v>1637</v>
      </c>
      <c r="C56" s="842">
        <v>23</v>
      </c>
      <c r="D56" s="847" t="s">
        <v>1657</v>
      </c>
      <c r="E56" s="843" t="s">
        <v>1703</v>
      </c>
      <c r="F56" s="844" t="s">
        <v>1704</v>
      </c>
    </row>
    <row r="57" ht="45.6" customHeight="1" spans="2:6" x14ac:dyDescent="0.25">
      <c r="B57" s="841" t="s">
        <v>1637</v>
      </c>
      <c r="C57" s="842">
        <v>24</v>
      </c>
      <c r="D57" s="847" t="s">
        <v>1658</v>
      </c>
      <c r="E57" s="843" t="s">
        <v>1705</v>
      </c>
      <c r="F57" s="843" t="s">
        <v>1706</v>
      </c>
    </row>
    <row r="58" ht="30" customHeight="1" spans="2:6" x14ac:dyDescent="0.25">
      <c r="B58" s="848" t="s">
        <v>1637</v>
      </c>
      <c r="C58" s="849">
        <v>25</v>
      </c>
      <c r="D58" s="850" t="s">
        <v>1659</v>
      </c>
      <c r="E58" s="851" t="s">
        <v>1707</v>
      </c>
      <c r="F58" s="852" t="s">
        <v>1066</v>
      </c>
    </row>
    <row r="59" ht="30" customHeight="1" spans="2:6" x14ac:dyDescent="0.25">
      <c r="B59" s="853"/>
      <c r="C59" s="853"/>
      <c r="D59" s="853"/>
      <c r="E59" s="854"/>
      <c r="F59" s="855"/>
    </row>
    <row r="60" ht="30" customHeight="1" spans="2:6" x14ac:dyDescent="0.25">
      <c r="B60" s="853"/>
      <c r="C60" s="853"/>
      <c r="D60" s="853"/>
      <c r="E60" s="854"/>
      <c r="F60" s="855"/>
    </row>
    <row r="61" ht="30" customHeight="1" spans="2:6" x14ac:dyDescent="0.25">
      <c r="B61" s="853"/>
      <c r="C61" s="853"/>
      <c r="D61" s="853"/>
      <c r="E61" s="854"/>
      <c r="F61" s="855"/>
    </row>
    <row r="62" ht="30" customHeight="1" spans="2:6" x14ac:dyDescent="0.25">
      <c r="B62" s="853"/>
      <c r="C62" s="853"/>
      <c r="D62" s="853"/>
      <c r="E62" s="854"/>
      <c r="F62" s="855"/>
    </row>
    <row r="63" ht="30" customHeight="1" spans="1:6" s="826" customFormat="1" x14ac:dyDescent="0.25">
      <c r="A63" s="827" t="s">
        <v>1666</v>
      </c>
      <c r="B63" s="857"/>
      <c r="C63" s="857"/>
      <c r="D63" s="857"/>
      <c r="E63" s="857"/>
      <c r="F63" s="858"/>
    </row>
    <row r="64" ht="30" customHeight="1" spans="2:6" x14ac:dyDescent="0.25">
      <c r="B64" s="831"/>
      <c r="C64" s="832"/>
      <c r="D64" s="833" t="s">
        <v>1597</v>
      </c>
      <c r="E64" s="859" t="s">
        <v>1636</v>
      </c>
      <c r="F64" s="860" t="s">
        <v>948</v>
      </c>
    </row>
    <row r="65" ht="30" customHeight="1" spans="2:6" x14ac:dyDescent="0.25">
      <c r="B65" s="835" t="s">
        <v>1637</v>
      </c>
      <c r="C65" s="836">
        <v>1</v>
      </c>
      <c r="D65" s="837" t="s">
        <v>1638</v>
      </c>
      <c r="E65" s="838" t="s">
        <v>1662</v>
      </c>
      <c r="F65" s="839" t="s">
        <v>1663</v>
      </c>
    </row>
    <row r="66" ht="81.75" customHeight="1" spans="2:6" x14ac:dyDescent="0.25">
      <c r="B66" s="841" t="s">
        <v>1637</v>
      </c>
      <c r="C66" s="842">
        <v>2</v>
      </c>
      <c r="D66" s="812" t="s">
        <v>1639</v>
      </c>
      <c r="E66" s="843" t="s">
        <v>1711</v>
      </c>
      <c r="F66" s="844" t="s">
        <v>1709</v>
      </c>
    </row>
    <row r="67" ht="81.75" customHeight="1" spans="2:6" x14ac:dyDescent="0.25">
      <c r="B67" s="841" t="s">
        <v>1637</v>
      </c>
      <c r="C67" s="842">
        <v>3</v>
      </c>
      <c r="D67" s="812" t="s">
        <v>72</v>
      </c>
      <c r="E67" s="843" t="s">
        <v>1667</v>
      </c>
      <c r="F67" s="844" t="s">
        <v>1668</v>
      </c>
    </row>
    <row r="68" ht="30" customHeight="1" spans="2:6" x14ac:dyDescent="0.25">
      <c r="B68" s="841" t="s">
        <v>1637</v>
      </c>
      <c r="C68" s="842">
        <v>4</v>
      </c>
      <c r="D68" s="847" t="s">
        <v>1640</v>
      </c>
      <c r="E68" s="843" t="s">
        <v>1669</v>
      </c>
      <c r="F68" s="844" t="s">
        <v>1670</v>
      </c>
    </row>
    <row r="69" ht="30" customHeight="1" spans="2:6" x14ac:dyDescent="0.25">
      <c r="B69" s="841" t="s">
        <v>1637</v>
      </c>
      <c r="C69" s="842">
        <v>5</v>
      </c>
      <c r="D69" s="847" t="s">
        <v>1672</v>
      </c>
      <c r="E69" s="843" t="s">
        <v>1712</v>
      </c>
      <c r="F69" s="845" t="s">
        <v>1713</v>
      </c>
    </row>
    <row r="70" ht="30" customHeight="1" spans="2:6" x14ac:dyDescent="0.25">
      <c r="B70" s="841" t="s">
        <v>1637</v>
      </c>
      <c r="C70" s="842">
        <v>6</v>
      </c>
      <c r="D70" s="847" t="s">
        <v>1641</v>
      </c>
      <c r="E70" s="843" t="s">
        <v>1675</v>
      </c>
      <c r="F70" s="844" t="s">
        <v>1066</v>
      </c>
    </row>
    <row r="71" ht="30" customHeight="1" spans="2:6" x14ac:dyDescent="0.25">
      <c r="B71" s="841" t="s">
        <v>1637</v>
      </c>
      <c r="C71" s="842">
        <v>7</v>
      </c>
      <c r="D71" s="847" t="s">
        <v>1642</v>
      </c>
      <c r="E71" s="843" t="s">
        <v>1714</v>
      </c>
      <c r="F71" s="844" t="s">
        <v>1677</v>
      </c>
    </row>
    <row r="72" ht="30" customHeight="1" spans="2:6" x14ac:dyDescent="0.25">
      <c r="B72" s="841" t="s">
        <v>1637</v>
      </c>
      <c r="C72" s="842">
        <v>8</v>
      </c>
      <c r="D72" s="847" t="s">
        <v>1643</v>
      </c>
      <c r="E72" s="843" t="s">
        <v>1678</v>
      </c>
      <c r="F72" s="844" t="s">
        <v>1066</v>
      </c>
    </row>
    <row r="73" ht="30" customHeight="1" spans="2:6" x14ac:dyDescent="0.25">
      <c r="B73" s="841" t="s">
        <v>1637</v>
      </c>
      <c r="C73" s="842">
        <v>9</v>
      </c>
      <c r="D73" s="812" t="s">
        <v>1644</v>
      </c>
      <c r="E73" s="843" t="s">
        <v>1715</v>
      </c>
      <c r="F73" s="844" t="s">
        <v>1716</v>
      </c>
    </row>
    <row r="74" ht="30" customHeight="1" spans="2:6" x14ac:dyDescent="0.25">
      <c r="B74" s="841" t="s">
        <v>1637</v>
      </c>
      <c r="C74" s="842">
        <v>10</v>
      </c>
      <c r="D74" s="812" t="s">
        <v>772</v>
      </c>
      <c r="E74" s="843" t="s">
        <v>1681</v>
      </c>
      <c r="F74" s="844" t="s">
        <v>1682</v>
      </c>
    </row>
    <row r="75" ht="30" customHeight="1" spans="2:6" x14ac:dyDescent="0.25">
      <c r="B75" s="841" t="s">
        <v>1637</v>
      </c>
      <c r="C75" s="842">
        <v>11</v>
      </c>
      <c r="D75" s="812" t="s">
        <v>1645</v>
      </c>
      <c r="E75" s="843" t="s">
        <v>1683</v>
      </c>
      <c r="F75" s="844"/>
    </row>
    <row r="76" ht="32.25" customHeight="1" spans="2:6" x14ac:dyDescent="0.25">
      <c r="B76" s="841" t="s">
        <v>1637</v>
      </c>
      <c r="C76" s="842">
        <v>12</v>
      </c>
      <c r="D76" s="812" t="s">
        <v>1646</v>
      </c>
      <c r="E76" s="846" t="s">
        <v>1684</v>
      </c>
      <c r="F76" s="844" t="s">
        <v>1685</v>
      </c>
    </row>
    <row r="77" ht="30" customHeight="1" spans="2:6" x14ac:dyDescent="0.25">
      <c r="B77" s="841" t="s">
        <v>1637</v>
      </c>
      <c r="C77" s="842">
        <v>13</v>
      </c>
      <c r="D77" s="847" t="s">
        <v>1647</v>
      </c>
      <c r="E77" s="843" t="s">
        <v>1686</v>
      </c>
      <c r="F77" s="844" t="s">
        <v>1687</v>
      </c>
    </row>
    <row r="78" ht="30" customHeight="1" spans="2:6" x14ac:dyDescent="0.25">
      <c r="B78" s="841" t="s">
        <v>1637</v>
      </c>
      <c r="C78" s="842">
        <v>14</v>
      </c>
      <c r="D78" s="847" t="s">
        <v>1648</v>
      </c>
      <c r="E78" s="843" t="s">
        <v>1688</v>
      </c>
      <c r="F78" s="844" t="s">
        <v>1689</v>
      </c>
    </row>
    <row r="79" ht="30" customHeight="1" spans="2:6" x14ac:dyDescent="0.25">
      <c r="B79" s="841" t="s">
        <v>1637</v>
      </c>
      <c r="C79" s="842">
        <v>15</v>
      </c>
      <c r="D79" s="847" t="s">
        <v>1649</v>
      </c>
      <c r="E79" s="843" t="s">
        <v>1717</v>
      </c>
      <c r="F79" s="844" t="s">
        <v>1691</v>
      </c>
    </row>
    <row r="80" ht="30" customHeight="1" spans="2:6" x14ac:dyDescent="0.25">
      <c r="B80" s="841" t="s">
        <v>1637</v>
      </c>
      <c r="C80" s="842">
        <v>16</v>
      </c>
      <c r="D80" s="847" t="s">
        <v>1650</v>
      </c>
      <c r="E80" s="843" t="s">
        <v>1692</v>
      </c>
      <c r="F80" s="844" t="s">
        <v>1693</v>
      </c>
    </row>
    <row r="81" ht="30" customHeight="1" spans="2:6" x14ac:dyDescent="0.25">
      <c r="B81" s="841" t="s">
        <v>1637</v>
      </c>
      <c r="C81" s="842">
        <v>17</v>
      </c>
      <c r="D81" s="847" t="s">
        <v>1651</v>
      </c>
      <c r="E81" s="843" t="s">
        <v>1694</v>
      </c>
      <c r="F81" s="844" t="s">
        <v>1695</v>
      </c>
    </row>
    <row r="82" ht="30" customHeight="1" spans="2:6" x14ac:dyDescent="0.25">
      <c r="B82" s="841" t="s">
        <v>1637</v>
      </c>
      <c r="C82" s="842">
        <v>18</v>
      </c>
      <c r="D82" s="847" t="s">
        <v>1652</v>
      </c>
      <c r="E82" s="843" t="s">
        <v>1718</v>
      </c>
      <c r="F82" s="844" t="s">
        <v>1066</v>
      </c>
    </row>
    <row r="83" ht="30" customHeight="1" spans="2:6" x14ac:dyDescent="0.25">
      <c r="B83" s="841" t="s">
        <v>1637</v>
      </c>
      <c r="C83" s="842">
        <v>19</v>
      </c>
      <c r="D83" s="847" t="s">
        <v>1653</v>
      </c>
      <c r="E83" s="843" t="s">
        <v>1697</v>
      </c>
      <c r="F83" s="844" t="s">
        <v>1698</v>
      </c>
    </row>
    <row r="84" ht="30" customHeight="1" spans="2:6" x14ac:dyDescent="0.25">
      <c r="B84" s="841" t="s">
        <v>1637</v>
      </c>
      <c r="C84" s="842">
        <v>20</v>
      </c>
      <c r="D84" s="847" t="s">
        <v>1654</v>
      </c>
      <c r="E84" s="843" t="s">
        <v>1719</v>
      </c>
      <c r="F84" s="844" t="s">
        <v>1066</v>
      </c>
    </row>
    <row r="85" ht="30" customHeight="1" spans="2:6" x14ac:dyDescent="0.25">
      <c r="B85" s="841" t="s">
        <v>1637</v>
      </c>
      <c r="C85" s="842">
        <v>21</v>
      </c>
      <c r="D85" s="847" t="s">
        <v>1655</v>
      </c>
      <c r="E85" s="843" t="s">
        <v>1700</v>
      </c>
      <c r="F85" s="844" t="s">
        <v>1066</v>
      </c>
    </row>
    <row r="86" ht="48" customHeight="1" spans="2:6" x14ac:dyDescent="0.25">
      <c r="B86" s="841" t="s">
        <v>1637</v>
      </c>
      <c r="C86" s="842">
        <v>22</v>
      </c>
      <c r="D86" s="847" t="s">
        <v>1656</v>
      </c>
      <c r="E86" s="843" t="s">
        <v>1701</v>
      </c>
      <c r="F86" s="844" t="s">
        <v>1702</v>
      </c>
    </row>
    <row r="87" ht="30" customHeight="1" spans="2:6" x14ac:dyDescent="0.25">
      <c r="B87" s="841" t="s">
        <v>1637</v>
      </c>
      <c r="C87" s="842">
        <v>23</v>
      </c>
      <c r="D87" s="847" t="s">
        <v>1657</v>
      </c>
      <c r="E87" s="843" t="s">
        <v>1703</v>
      </c>
      <c r="F87" s="844" t="s">
        <v>1704</v>
      </c>
    </row>
    <row r="88" ht="30" customHeight="1" spans="2:6" x14ac:dyDescent="0.25">
      <c r="B88" s="841" t="s">
        <v>1637</v>
      </c>
      <c r="C88" s="842">
        <v>24</v>
      </c>
      <c r="D88" s="847" t="s">
        <v>1658</v>
      </c>
      <c r="E88" s="843" t="s">
        <v>1705</v>
      </c>
      <c r="F88" s="843" t="s">
        <v>1706</v>
      </c>
    </row>
    <row r="89" ht="30" customHeight="1" spans="2:6" x14ac:dyDescent="0.25">
      <c r="B89" s="848" t="s">
        <v>1637</v>
      </c>
      <c r="C89" s="849">
        <v>25</v>
      </c>
      <c r="D89" s="850" t="s">
        <v>1659</v>
      </c>
      <c r="E89" s="851" t="s">
        <v>1707</v>
      </c>
      <c r="F89" s="852" t="s">
        <v>1066</v>
      </c>
    </row>
    <row r="93" ht="30" customHeight="1" x14ac:dyDescent="0.25"/>
    <row r="94" ht="30" customHeight="1" spans="1:6" s="826" customFormat="1" x14ac:dyDescent="0.25">
      <c r="A94" s="827" t="s">
        <v>1671</v>
      </c>
      <c r="B94" s="857"/>
      <c r="C94" s="861"/>
      <c r="D94" s="862"/>
      <c r="E94" s="862"/>
      <c r="F94" s="863"/>
    </row>
    <row r="95" ht="30" customHeight="1" spans="2:6" x14ac:dyDescent="0.25">
      <c r="B95" s="831"/>
      <c r="C95" s="832"/>
      <c r="D95" s="833" t="s">
        <v>1597</v>
      </c>
      <c r="E95" s="859" t="s">
        <v>1636</v>
      </c>
      <c r="F95" s="860" t="s">
        <v>948</v>
      </c>
    </row>
    <row r="96" ht="30" customHeight="1" spans="2:6" x14ac:dyDescent="0.25">
      <c r="B96" s="835" t="s">
        <v>1637</v>
      </c>
      <c r="C96" s="836">
        <v>1</v>
      </c>
      <c r="D96" s="837" t="s">
        <v>1638</v>
      </c>
      <c r="E96" s="838" t="s">
        <v>1662</v>
      </c>
      <c r="F96" s="839" t="s">
        <v>1663</v>
      </c>
    </row>
    <row r="97" ht="85.5" customHeight="1" spans="2:6" x14ac:dyDescent="0.25">
      <c r="B97" s="841" t="s">
        <v>1637</v>
      </c>
      <c r="C97" s="842">
        <v>2</v>
      </c>
      <c r="D97" s="812" t="s">
        <v>1639</v>
      </c>
      <c r="E97" s="843" t="s">
        <v>1720</v>
      </c>
      <c r="F97" s="844" t="s">
        <v>1709</v>
      </c>
    </row>
    <row r="98" ht="85.5" customHeight="1" spans="2:6" x14ac:dyDescent="0.25">
      <c r="B98" s="841" t="s">
        <v>1637</v>
      </c>
      <c r="C98" s="842">
        <v>3</v>
      </c>
      <c r="D98" s="812" t="s">
        <v>72</v>
      </c>
      <c r="E98" s="843" t="s">
        <v>1667</v>
      </c>
      <c r="F98" s="844" t="s">
        <v>1668</v>
      </c>
    </row>
    <row r="99" ht="30" customHeight="1" spans="2:6" x14ac:dyDescent="0.25">
      <c r="B99" s="841" t="s">
        <v>1637</v>
      </c>
      <c r="C99" s="842">
        <v>4</v>
      </c>
      <c r="D99" s="847" t="s">
        <v>1640</v>
      </c>
      <c r="E99" s="843" t="s">
        <v>1669</v>
      </c>
      <c r="F99" s="844" t="s">
        <v>1670</v>
      </c>
    </row>
    <row r="100" ht="30" customHeight="1" spans="2:6" x14ac:dyDescent="0.25">
      <c r="B100" s="841" t="s">
        <v>1637</v>
      </c>
      <c r="C100" s="842">
        <v>5</v>
      </c>
      <c r="D100" s="847" t="s">
        <v>1672</v>
      </c>
      <c r="E100" s="843" t="s">
        <v>1712</v>
      </c>
      <c r="F100" s="845" t="s">
        <v>1713</v>
      </c>
    </row>
    <row r="101" ht="30" customHeight="1" spans="2:6" x14ac:dyDescent="0.25">
      <c r="B101" s="841" t="s">
        <v>1637</v>
      </c>
      <c r="C101" s="842">
        <v>6</v>
      </c>
      <c r="D101" s="847" t="s">
        <v>1641</v>
      </c>
      <c r="E101" s="843" t="s">
        <v>1675</v>
      </c>
      <c r="F101" s="844" t="s">
        <v>1066</v>
      </c>
    </row>
    <row r="102" ht="48" customHeight="1" spans="2:6" x14ac:dyDescent="0.25">
      <c r="B102" s="841" t="s">
        <v>1637</v>
      </c>
      <c r="C102" s="842">
        <v>7</v>
      </c>
      <c r="D102" s="812" t="s">
        <v>1642</v>
      </c>
      <c r="E102" s="843" t="s">
        <v>1714</v>
      </c>
      <c r="F102" s="844" t="s">
        <v>1721</v>
      </c>
    </row>
    <row r="103" ht="30" customHeight="1" spans="2:6" x14ac:dyDescent="0.25">
      <c r="B103" s="841" t="s">
        <v>1637</v>
      </c>
      <c r="C103" s="842">
        <v>8</v>
      </c>
      <c r="D103" s="847" t="s">
        <v>1643</v>
      </c>
      <c r="E103" s="843" t="s">
        <v>1678</v>
      </c>
      <c r="F103" s="844" t="s">
        <v>1066</v>
      </c>
    </row>
    <row r="104" ht="51.75" customHeight="1" spans="2:6" x14ac:dyDescent="0.25">
      <c r="B104" s="841" t="s">
        <v>1637</v>
      </c>
      <c r="C104" s="842">
        <v>9</v>
      </c>
      <c r="D104" s="812" t="s">
        <v>1644</v>
      </c>
      <c r="E104" s="843" t="s">
        <v>1715</v>
      </c>
      <c r="F104" s="844" t="s">
        <v>1716</v>
      </c>
    </row>
    <row r="105" ht="48" customHeight="1" spans="2:6" x14ac:dyDescent="0.25">
      <c r="B105" s="841" t="s">
        <v>1637</v>
      </c>
      <c r="C105" s="842">
        <v>10</v>
      </c>
      <c r="D105" s="812" t="s">
        <v>772</v>
      </c>
      <c r="E105" s="843" t="s">
        <v>1681</v>
      </c>
      <c r="F105" s="844" t="s">
        <v>1682</v>
      </c>
    </row>
    <row r="106" ht="30" customHeight="1" spans="2:6" x14ac:dyDescent="0.25">
      <c r="B106" s="841" t="s">
        <v>1637</v>
      </c>
      <c r="C106" s="842">
        <v>11</v>
      </c>
      <c r="D106" s="812" t="s">
        <v>1645</v>
      </c>
      <c r="E106" s="843" t="s">
        <v>1683</v>
      </c>
      <c r="F106" s="844"/>
    </row>
    <row r="107" ht="32.25" customHeight="1" spans="2:6" x14ac:dyDescent="0.25">
      <c r="B107" s="841" t="s">
        <v>1637</v>
      </c>
      <c r="C107" s="842">
        <v>12</v>
      </c>
      <c r="D107" s="812" t="s">
        <v>1646</v>
      </c>
      <c r="E107" s="846" t="s">
        <v>1684</v>
      </c>
      <c r="F107" s="844" t="s">
        <v>1685</v>
      </c>
    </row>
    <row r="108" ht="30" customHeight="1" spans="2:6" x14ac:dyDescent="0.25">
      <c r="B108" s="841" t="s">
        <v>1637</v>
      </c>
      <c r="C108" s="842">
        <v>13</v>
      </c>
      <c r="D108" s="847" t="s">
        <v>1647</v>
      </c>
      <c r="E108" s="843" t="s">
        <v>1686</v>
      </c>
      <c r="F108" s="844" t="s">
        <v>1687</v>
      </c>
    </row>
    <row r="109" ht="30" customHeight="1" spans="2:6" x14ac:dyDescent="0.25">
      <c r="B109" s="841" t="s">
        <v>1637</v>
      </c>
      <c r="C109" s="842">
        <v>14</v>
      </c>
      <c r="D109" s="847" t="s">
        <v>1648</v>
      </c>
      <c r="E109" s="843" t="s">
        <v>1688</v>
      </c>
      <c r="F109" s="844" t="s">
        <v>1689</v>
      </c>
    </row>
    <row r="110" ht="30" customHeight="1" spans="2:6" x14ac:dyDescent="0.25">
      <c r="B110" s="841" t="s">
        <v>1637</v>
      </c>
      <c r="C110" s="842">
        <v>15</v>
      </c>
      <c r="D110" s="847" t="s">
        <v>1649</v>
      </c>
      <c r="E110" s="843" t="s">
        <v>1717</v>
      </c>
      <c r="F110" s="844" t="s">
        <v>1691</v>
      </c>
    </row>
    <row r="111" ht="30" customHeight="1" spans="2:6" x14ac:dyDescent="0.25">
      <c r="B111" s="841" t="s">
        <v>1637</v>
      </c>
      <c r="C111" s="842">
        <v>16</v>
      </c>
      <c r="D111" s="847" t="s">
        <v>1650</v>
      </c>
      <c r="E111" s="843" t="s">
        <v>1692</v>
      </c>
      <c r="F111" s="844" t="s">
        <v>1693</v>
      </c>
    </row>
    <row r="112" ht="44.25" customHeight="1" spans="2:6" x14ac:dyDescent="0.25">
      <c r="B112" s="841" t="s">
        <v>1637</v>
      </c>
      <c r="C112" s="842">
        <v>17</v>
      </c>
      <c r="D112" s="847" t="s">
        <v>1651</v>
      </c>
      <c r="E112" s="843" t="s">
        <v>1694</v>
      </c>
      <c r="F112" s="844" t="s">
        <v>1695</v>
      </c>
    </row>
    <row r="113" ht="30" customHeight="1" spans="2:6" x14ac:dyDescent="0.25">
      <c r="B113" s="841" t="s">
        <v>1637</v>
      </c>
      <c r="C113" s="842">
        <v>18</v>
      </c>
      <c r="D113" s="847" t="s">
        <v>1652</v>
      </c>
      <c r="E113" s="843" t="s">
        <v>1718</v>
      </c>
      <c r="F113" s="844" t="s">
        <v>1066</v>
      </c>
    </row>
    <row r="114" ht="30" customHeight="1" spans="2:6" x14ac:dyDescent="0.25">
      <c r="B114" s="841" t="s">
        <v>1637</v>
      </c>
      <c r="C114" s="842">
        <v>19</v>
      </c>
      <c r="D114" s="847" t="s">
        <v>1653</v>
      </c>
      <c r="E114" s="843" t="s">
        <v>1722</v>
      </c>
      <c r="F114" s="844" t="s">
        <v>1698</v>
      </c>
    </row>
    <row r="115" ht="30" customHeight="1" spans="2:6" x14ac:dyDescent="0.25">
      <c r="B115" s="841" t="s">
        <v>1637</v>
      </c>
      <c r="C115" s="842">
        <v>20</v>
      </c>
      <c r="D115" s="847" t="s">
        <v>1654</v>
      </c>
      <c r="E115" s="843" t="s">
        <v>1719</v>
      </c>
      <c r="F115" s="844" t="s">
        <v>1066</v>
      </c>
    </row>
    <row r="116" ht="30" customHeight="1" spans="2:6" x14ac:dyDescent="0.25">
      <c r="B116" s="841" t="s">
        <v>1637</v>
      </c>
      <c r="C116" s="842">
        <v>21</v>
      </c>
      <c r="D116" s="847" t="s">
        <v>1655</v>
      </c>
      <c r="E116" s="843" t="s">
        <v>1700</v>
      </c>
      <c r="F116" s="844" t="s">
        <v>1066</v>
      </c>
    </row>
    <row r="117" ht="45.75" customHeight="1" spans="2:6" x14ac:dyDescent="0.25">
      <c r="B117" s="841" t="s">
        <v>1637</v>
      </c>
      <c r="C117" s="842">
        <v>22</v>
      </c>
      <c r="D117" s="847" t="s">
        <v>1656</v>
      </c>
      <c r="E117" s="843" t="s">
        <v>1701</v>
      </c>
      <c r="F117" s="844" t="s">
        <v>1702</v>
      </c>
    </row>
    <row r="118" ht="30" customHeight="1" spans="2:6" x14ac:dyDescent="0.25">
      <c r="B118" s="841" t="s">
        <v>1637</v>
      </c>
      <c r="C118" s="842">
        <v>23</v>
      </c>
      <c r="D118" s="847" t="s">
        <v>1657</v>
      </c>
      <c r="E118" s="843" t="s">
        <v>1703</v>
      </c>
      <c r="F118" s="844" t="s">
        <v>1704</v>
      </c>
    </row>
    <row r="119" ht="30" customHeight="1" spans="2:6" x14ac:dyDescent="0.25">
      <c r="B119" s="841" t="s">
        <v>1637</v>
      </c>
      <c r="C119" s="842">
        <v>24</v>
      </c>
      <c r="D119" s="847" t="s">
        <v>1658</v>
      </c>
      <c r="E119" s="843" t="s">
        <v>1705</v>
      </c>
      <c r="F119" s="843" t="s">
        <v>1706</v>
      </c>
    </row>
    <row r="120" ht="30" customHeight="1" spans="2:6" x14ac:dyDescent="0.25">
      <c r="B120" s="848" t="s">
        <v>1637</v>
      </c>
      <c r="C120" s="849">
        <v>25</v>
      </c>
      <c r="D120" s="850" t="s">
        <v>1659</v>
      </c>
      <c r="E120" s="851" t="s">
        <v>1707</v>
      </c>
      <c r="F120" s="852" t="s">
        <v>1066</v>
      </c>
    </row>
    <row r="124" ht="30" customHeight="1" x14ac:dyDescent="0.25"/>
    <row r="125" ht="30" customHeight="1" spans="1:6" s="826" customFormat="1" x14ac:dyDescent="0.25">
      <c r="A125" s="827" t="s">
        <v>1723</v>
      </c>
      <c r="B125" s="857"/>
      <c r="C125" s="857"/>
      <c r="D125" s="857"/>
      <c r="E125" s="857"/>
      <c r="F125" s="858"/>
    </row>
    <row r="126" ht="30" customHeight="1" spans="2:6" x14ac:dyDescent="0.25">
      <c r="B126" s="831"/>
      <c r="C126" s="832"/>
      <c r="D126" s="833" t="s">
        <v>1597</v>
      </c>
      <c r="E126" s="859" t="s">
        <v>1636</v>
      </c>
      <c r="F126" s="860" t="s">
        <v>948</v>
      </c>
    </row>
    <row r="127" ht="30" customHeight="1" spans="2:6" x14ac:dyDescent="0.25">
      <c r="B127" s="835" t="s">
        <v>1637</v>
      </c>
      <c r="C127" s="836">
        <v>1</v>
      </c>
      <c r="D127" s="837" t="s">
        <v>1638</v>
      </c>
      <c r="E127" s="838" t="s">
        <v>1662</v>
      </c>
      <c r="F127" s="839" t="s">
        <v>1663</v>
      </c>
    </row>
    <row r="128" ht="78" customHeight="1" spans="2:6" x14ac:dyDescent="0.25">
      <c r="B128" s="841" t="s">
        <v>1637</v>
      </c>
      <c r="C128" s="842">
        <v>2</v>
      </c>
      <c r="D128" s="812" t="s">
        <v>1639</v>
      </c>
      <c r="E128" s="843" t="s">
        <v>1708</v>
      </c>
      <c r="F128" s="844" t="s">
        <v>1709</v>
      </c>
    </row>
    <row r="129" ht="78" customHeight="1" spans="2:6" x14ac:dyDescent="0.25">
      <c r="B129" s="841" t="s">
        <v>1637</v>
      </c>
      <c r="C129" s="842">
        <v>3</v>
      </c>
      <c r="D129" s="812" t="s">
        <v>72</v>
      </c>
      <c r="E129" s="843" t="s">
        <v>1667</v>
      </c>
      <c r="F129" s="844" t="s">
        <v>1668</v>
      </c>
    </row>
    <row r="130" ht="34.5" customHeight="1" spans="2:6" x14ac:dyDescent="0.25">
      <c r="B130" s="841" t="s">
        <v>1637</v>
      </c>
      <c r="C130" s="842">
        <v>4</v>
      </c>
      <c r="D130" s="847" t="s">
        <v>1640</v>
      </c>
      <c r="E130" s="843" t="s">
        <v>1669</v>
      </c>
      <c r="F130" s="844" t="s">
        <v>1670</v>
      </c>
    </row>
    <row r="131" ht="86.25" customHeight="1" spans="2:6" x14ac:dyDescent="0.25">
      <c r="B131" s="841" t="s">
        <v>1637</v>
      </c>
      <c r="C131" s="842">
        <v>5</v>
      </c>
      <c r="D131" s="847" t="s">
        <v>1672</v>
      </c>
      <c r="E131" s="843" t="s">
        <v>1712</v>
      </c>
      <c r="F131" s="845" t="s">
        <v>1713</v>
      </c>
    </row>
    <row r="132" ht="30" customHeight="1" spans="2:6" x14ac:dyDescent="0.25">
      <c r="B132" s="841" t="s">
        <v>1637</v>
      </c>
      <c r="C132" s="842">
        <v>6</v>
      </c>
      <c r="D132" s="847" t="s">
        <v>1641</v>
      </c>
      <c r="E132" s="843" t="s">
        <v>1675</v>
      </c>
      <c r="F132" s="844" t="s">
        <v>1066</v>
      </c>
    </row>
    <row r="133" ht="30" customHeight="1" spans="2:6" x14ac:dyDescent="0.25">
      <c r="B133" s="841" t="s">
        <v>1637</v>
      </c>
      <c r="C133" s="842">
        <v>7</v>
      </c>
      <c r="D133" s="847" t="s">
        <v>1642</v>
      </c>
      <c r="E133" s="843" t="s">
        <v>1676</v>
      </c>
      <c r="F133" s="844" t="s">
        <v>1677</v>
      </c>
    </row>
    <row r="134" ht="30" customHeight="1" spans="2:6" x14ac:dyDescent="0.25">
      <c r="B134" s="841" t="s">
        <v>1637</v>
      </c>
      <c r="C134" s="842">
        <v>8</v>
      </c>
      <c r="D134" s="847" t="s">
        <v>1643</v>
      </c>
      <c r="E134" s="843" t="s">
        <v>1678</v>
      </c>
      <c r="F134" s="844" t="s">
        <v>1066</v>
      </c>
    </row>
    <row r="135" ht="30" customHeight="1" spans="2:6" x14ac:dyDescent="0.25">
      <c r="B135" s="841" t="s">
        <v>1637</v>
      </c>
      <c r="C135" s="842">
        <v>9</v>
      </c>
      <c r="D135" s="812" t="s">
        <v>1644</v>
      </c>
      <c r="E135" s="843" t="s">
        <v>1679</v>
      </c>
      <c r="F135" s="844" t="s">
        <v>1680</v>
      </c>
    </row>
    <row r="136" ht="30" customHeight="1" spans="2:6" x14ac:dyDescent="0.25">
      <c r="B136" s="841" t="s">
        <v>1637</v>
      </c>
      <c r="C136" s="842">
        <v>10</v>
      </c>
      <c r="D136" s="812" t="s">
        <v>772</v>
      </c>
      <c r="E136" s="843" t="s">
        <v>1681</v>
      </c>
      <c r="F136" s="844" t="s">
        <v>1682</v>
      </c>
    </row>
    <row r="137" ht="30" customHeight="1" spans="2:6" x14ac:dyDescent="0.25">
      <c r="B137" s="841" t="s">
        <v>1637</v>
      </c>
      <c r="C137" s="842">
        <v>11</v>
      </c>
      <c r="D137" s="812" t="s">
        <v>1645</v>
      </c>
      <c r="E137" s="843" t="s">
        <v>1683</v>
      </c>
      <c r="F137" s="844"/>
    </row>
    <row r="138" ht="32.25" customHeight="1" spans="2:6" x14ac:dyDescent="0.25">
      <c r="B138" s="841" t="s">
        <v>1637</v>
      </c>
      <c r="C138" s="842">
        <v>12</v>
      </c>
      <c r="D138" s="812" t="s">
        <v>1646</v>
      </c>
      <c r="E138" s="846" t="s">
        <v>1684</v>
      </c>
      <c r="F138" s="844" t="s">
        <v>1685</v>
      </c>
    </row>
    <row r="139" ht="30" customHeight="1" spans="2:6" x14ac:dyDescent="0.25">
      <c r="B139" s="841" t="s">
        <v>1637</v>
      </c>
      <c r="C139" s="842">
        <v>13</v>
      </c>
      <c r="D139" s="847" t="s">
        <v>1647</v>
      </c>
      <c r="E139" s="843" t="s">
        <v>1686</v>
      </c>
      <c r="F139" s="844" t="s">
        <v>1687</v>
      </c>
    </row>
    <row r="140" ht="30" customHeight="1" spans="2:6" x14ac:dyDescent="0.25">
      <c r="B140" s="841" t="s">
        <v>1637</v>
      </c>
      <c r="C140" s="842">
        <v>14</v>
      </c>
      <c r="D140" s="847" t="s">
        <v>1648</v>
      </c>
      <c r="E140" s="843" t="s">
        <v>1688</v>
      </c>
      <c r="F140" s="844" t="s">
        <v>1689</v>
      </c>
    </row>
    <row r="141" ht="30" customHeight="1" spans="2:6" x14ac:dyDescent="0.25">
      <c r="B141" s="841" t="s">
        <v>1637</v>
      </c>
      <c r="C141" s="842">
        <v>15</v>
      </c>
      <c r="D141" s="847" t="s">
        <v>1649</v>
      </c>
      <c r="E141" s="843" t="s">
        <v>1690</v>
      </c>
      <c r="F141" s="844" t="s">
        <v>1691</v>
      </c>
    </row>
    <row r="142" ht="30" customHeight="1" spans="2:6" x14ac:dyDescent="0.25">
      <c r="B142" s="841" t="s">
        <v>1637</v>
      </c>
      <c r="C142" s="842">
        <v>16</v>
      </c>
      <c r="D142" s="847" t="s">
        <v>1650</v>
      </c>
      <c r="E142" s="843" t="s">
        <v>1692</v>
      </c>
      <c r="F142" s="844" t="s">
        <v>1693</v>
      </c>
    </row>
    <row r="143" ht="30" customHeight="1" spans="2:6" x14ac:dyDescent="0.25">
      <c r="B143" s="841" t="s">
        <v>1637</v>
      </c>
      <c r="C143" s="842">
        <v>17</v>
      </c>
      <c r="D143" s="847" t="s">
        <v>1651</v>
      </c>
      <c r="E143" s="843" t="s">
        <v>1710</v>
      </c>
      <c r="F143" s="844" t="s">
        <v>1695</v>
      </c>
    </row>
    <row r="144" ht="30" customHeight="1" spans="2:6" x14ac:dyDescent="0.25">
      <c r="B144" s="841" t="s">
        <v>1637</v>
      </c>
      <c r="C144" s="842">
        <v>18</v>
      </c>
      <c r="D144" s="847" t="s">
        <v>1652</v>
      </c>
      <c r="E144" s="843" t="s">
        <v>1696</v>
      </c>
      <c r="F144" s="844" t="s">
        <v>1066</v>
      </c>
    </row>
    <row r="145" ht="30" customHeight="1" spans="2:6" x14ac:dyDescent="0.25">
      <c r="B145" s="841" t="s">
        <v>1637</v>
      </c>
      <c r="C145" s="842">
        <v>19</v>
      </c>
      <c r="D145" s="847" t="s">
        <v>1653</v>
      </c>
      <c r="E145" s="843" t="s">
        <v>1697</v>
      </c>
      <c r="F145" s="844" t="s">
        <v>1698</v>
      </c>
    </row>
    <row r="146" ht="30" customHeight="1" spans="2:6" x14ac:dyDescent="0.25">
      <c r="B146" s="841" t="s">
        <v>1637</v>
      </c>
      <c r="C146" s="842">
        <v>20</v>
      </c>
      <c r="D146" s="847" t="s">
        <v>1654</v>
      </c>
      <c r="E146" s="843" t="s">
        <v>1699</v>
      </c>
      <c r="F146" s="844" t="s">
        <v>1066</v>
      </c>
    </row>
    <row r="147" ht="30" customHeight="1" spans="2:6" x14ac:dyDescent="0.25">
      <c r="B147" s="841" t="s">
        <v>1637</v>
      </c>
      <c r="C147" s="842">
        <v>21</v>
      </c>
      <c r="D147" s="847" t="s">
        <v>1655</v>
      </c>
      <c r="E147" s="843" t="s">
        <v>1700</v>
      </c>
      <c r="F147" s="844" t="s">
        <v>1066</v>
      </c>
    </row>
    <row r="148" ht="47.25" customHeight="1" spans="2:6" x14ac:dyDescent="0.25">
      <c r="B148" s="841" t="s">
        <v>1637</v>
      </c>
      <c r="C148" s="842">
        <v>22</v>
      </c>
      <c r="D148" s="847" t="s">
        <v>1656</v>
      </c>
      <c r="E148" s="843" t="s">
        <v>1701</v>
      </c>
      <c r="F148" s="844" t="s">
        <v>1702</v>
      </c>
    </row>
    <row r="149" ht="30" customHeight="1" spans="2:6" x14ac:dyDescent="0.25">
      <c r="B149" s="841" t="s">
        <v>1637</v>
      </c>
      <c r="C149" s="842">
        <v>23</v>
      </c>
      <c r="D149" s="847" t="s">
        <v>1657</v>
      </c>
      <c r="E149" s="843" t="s">
        <v>1703</v>
      </c>
      <c r="F149" s="844" t="s">
        <v>1704</v>
      </c>
    </row>
    <row r="150" ht="30" customHeight="1" spans="2:6" x14ac:dyDescent="0.25">
      <c r="B150" s="841" t="s">
        <v>1637</v>
      </c>
      <c r="C150" s="842">
        <v>24</v>
      </c>
      <c r="D150" s="847" t="s">
        <v>1658</v>
      </c>
      <c r="E150" s="843" t="s">
        <v>1705</v>
      </c>
      <c r="F150" s="843" t="s">
        <v>1706</v>
      </c>
    </row>
    <row r="151" ht="30" customHeight="1" spans="2:6" x14ac:dyDescent="0.25">
      <c r="B151" s="848" t="s">
        <v>1637</v>
      </c>
      <c r="C151" s="849">
        <v>25</v>
      </c>
      <c r="D151" s="850" t="s">
        <v>1659</v>
      </c>
      <c r="E151" s="851" t="s">
        <v>1707</v>
      </c>
      <c r="F151" s="852" t="s">
        <v>1066</v>
      </c>
    </row>
    <row r="152" ht="30" customHeight="1" spans="2:6" x14ac:dyDescent="0.25">
      <c r="B152" s="853"/>
      <c r="C152" s="853"/>
      <c r="D152" s="853"/>
      <c r="E152" s="854"/>
      <c r="F152" s="855"/>
    </row>
    <row r="153" ht="30" customHeight="1" spans="2:6" x14ac:dyDescent="0.25">
      <c r="B153" s="853"/>
      <c r="C153" s="853"/>
      <c r="D153" s="853"/>
      <c r="E153" s="854"/>
      <c r="F153" s="855"/>
    </row>
    <row r="154" ht="30" customHeight="1" spans="2:6" x14ac:dyDescent="0.25">
      <c r="B154" s="853"/>
      <c r="C154" s="853"/>
      <c r="D154" s="853"/>
      <c r="E154" s="854"/>
      <c r="F154" s="855"/>
    </row>
    <row r="155" ht="30" customHeight="1" spans="2:6" x14ac:dyDescent="0.25">
      <c r="B155" s="853"/>
      <c r="C155" s="853"/>
      <c r="D155" s="853"/>
      <c r="E155" s="854"/>
      <c r="F155" s="855"/>
    </row>
    <row r="156" ht="30" customHeight="1" spans="1:6" s="826" customFormat="1" x14ac:dyDescent="0.25">
      <c r="A156" s="827" t="s">
        <v>1724</v>
      </c>
      <c r="B156" s="857"/>
      <c r="C156" s="857"/>
      <c r="D156" s="857"/>
      <c r="E156" s="857"/>
      <c r="F156" s="858"/>
    </row>
    <row r="157" ht="30" customHeight="1" spans="2:6" x14ac:dyDescent="0.25">
      <c r="B157" s="831"/>
      <c r="C157" s="832"/>
      <c r="D157" s="833" t="s">
        <v>1597</v>
      </c>
      <c r="E157" s="859" t="s">
        <v>1636</v>
      </c>
      <c r="F157" s="860" t="s">
        <v>948</v>
      </c>
    </row>
    <row r="158" ht="30" customHeight="1" spans="2:6" x14ac:dyDescent="0.25">
      <c r="B158" s="835" t="s">
        <v>1637</v>
      </c>
      <c r="C158" s="836">
        <v>1</v>
      </c>
      <c r="D158" s="837" t="s">
        <v>1638</v>
      </c>
      <c r="E158" s="838" t="s">
        <v>1662</v>
      </c>
      <c r="F158" s="839" t="s">
        <v>1663</v>
      </c>
    </row>
    <row r="159" ht="75" customHeight="1" spans="2:6" x14ac:dyDescent="0.25">
      <c r="B159" s="841" t="s">
        <v>1637</v>
      </c>
      <c r="C159" s="842">
        <v>2</v>
      </c>
      <c r="D159" s="812" t="s">
        <v>1639</v>
      </c>
      <c r="E159" s="843" t="s">
        <v>1711</v>
      </c>
      <c r="F159" s="844" t="s">
        <v>1709</v>
      </c>
    </row>
    <row r="160" ht="75" customHeight="1" spans="2:6" x14ac:dyDescent="0.25">
      <c r="B160" s="841" t="s">
        <v>1637</v>
      </c>
      <c r="C160" s="842">
        <v>3</v>
      </c>
      <c r="D160" s="812" t="s">
        <v>72</v>
      </c>
      <c r="E160" s="843" t="s">
        <v>1667</v>
      </c>
      <c r="F160" s="844" t="s">
        <v>1668</v>
      </c>
    </row>
    <row r="161" ht="30" customHeight="1" spans="2:6" x14ac:dyDescent="0.25">
      <c r="B161" s="841" t="s">
        <v>1637</v>
      </c>
      <c r="C161" s="842">
        <v>4</v>
      </c>
      <c r="D161" s="847" t="s">
        <v>1640</v>
      </c>
      <c r="E161" s="843" t="s">
        <v>1669</v>
      </c>
      <c r="F161" s="844" t="s">
        <v>1670</v>
      </c>
    </row>
    <row r="162" ht="84.75" customHeight="1" spans="2:6" x14ac:dyDescent="0.25">
      <c r="B162" s="841" t="s">
        <v>1637</v>
      </c>
      <c r="C162" s="842">
        <v>5</v>
      </c>
      <c r="D162" s="847" t="s">
        <v>1672</v>
      </c>
      <c r="E162" s="843" t="s">
        <v>1712</v>
      </c>
      <c r="F162" s="845" t="s">
        <v>1713</v>
      </c>
    </row>
    <row r="163" ht="30" customHeight="1" spans="2:6" x14ac:dyDescent="0.25">
      <c r="B163" s="841" t="s">
        <v>1637</v>
      </c>
      <c r="C163" s="842">
        <v>6</v>
      </c>
      <c r="D163" s="847" t="s">
        <v>1641</v>
      </c>
      <c r="E163" s="843" t="s">
        <v>1675</v>
      </c>
      <c r="F163" s="844" t="s">
        <v>1066</v>
      </c>
    </row>
    <row r="164" ht="30" customHeight="1" spans="2:6" x14ac:dyDescent="0.25">
      <c r="B164" s="841" t="s">
        <v>1637</v>
      </c>
      <c r="C164" s="842">
        <v>7</v>
      </c>
      <c r="D164" s="847" t="s">
        <v>1642</v>
      </c>
      <c r="E164" s="843" t="s">
        <v>1714</v>
      </c>
      <c r="F164" s="844" t="s">
        <v>1677</v>
      </c>
    </row>
    <row r="165" ht="30" customHeight="1" spans="2:6" x14ac:dyDescent="0.25">
      <c r="B165" s="841" t="s">
        <v>1637</v>
      </c>
      <c r="C165" s="842">
        <v>8</v>
      </c>
      <c r="D165" s="847" t="s">
        <v>1643</v>
      </c>
      <c r="E165" s="843" t="s">
        <v>1678</v>
      </c>
      <c r="F165" s="844" t="s">
        <v>1066</v>
      </c>
    </row>
    <row r="166" ht="45" customHeight="1" spans="2:6" x14ac:dyDescent="0.25">
      <c r="B166" s="841" t="s">
        <v>1637</v>
      </c>
      <c r="C166" s="842">
        <v>9</v>
      </c>
      <c r="D166" s="812" t="s">
        <v>1644</v>
      </c>
      <c r="E166" s="843" t="s">
        <v>1715</v>
      </c>
      <c r="F166" s="844" t="s">
        <v>1716</v>
      </c>
    </row>
    <row r="167" ht="30" customHeight="1" spans="2:6" x14ac:dyDescent="0.25">
      <c r="B167" s="841" t="s">
        <v>1637</v>
      </c>
      <c r="C167" s="842">
        <v>10</v>
      </c>
      <c r="D167" s="812" t="s">
        <v>772</v>
      </c>
      <c r="E167" s="843" t="s">
        <v>1681</v>
      </c>
      <c r="F167" s="844" t="s">
        <v>1682</v>
      </c>
    </row>
    <row r="168" ht="30" customHeight="1" spans="2:6" x14ac:dyDescent="0.25">
      <c r="B168" s="841" t="s">
        <v>1637</v>
      </c>
      <c r="C168" s="842">
        <v>11</v>
      </c>
      <c r="D168" s="812" t="s">
        <v>1645</v>
      </c>
      <c r="E168" s="843" t="s">
        <v>1683</v>
      </c>
      <c r="F168" s="844"/>
    </row>
    <row r="169" ht="32.25" customHeight="1" spans="2:6" x14ac:dyDescent="0.25">
      <c r="B169" s="841" t="s">
        <v>1637</v>
      </c>
      <c r="C169" s="842">
        <v>12</v>
      </c>
      <c r="D169" s="812" t="s">
        <v>1646</v>
      </c>
      <c r="E169" s="846" t="s">
        <v>1684</v>
      </c>
      <c r="F169" s="844" t="s">
        <v>1685</v>
      </c>
    </row>
    <row r="170" ht="30" customHeight="1" spans="2:6" x14ac:dyDescent="0.25">
      <c r="B170" s="841" t="s">
        <v>1637</v>
      </c>
      <c r="C170" s="842">
        <v>13</v>
      </c>
      <c r="D170" s="847" t="s">
        <v>1647</v>
      </c>
      <c r="E170" s="843" t="s">
        <v>1686</v>
      </c>
      <c r="F170" s="844" t="s">
        <v>1687</v>
      </c>
    </row>
    <row r="171" ht="30" customHeight="1" spans="2:6" x14ac:dyDescent="0.25">
      <c r="B171" s="841" t="s">
        <v>1637</v>
      </c>
      <c r="C171" s="842">
        <v>14</v>
      </c>
      <c r="D171" s="847" t="s">
        <v>1648</v>
      </c>
      <c r="E171" s="843" t="s">
        <v>1688</v>
      </c>
      <c r="F171" s="844" t="s">
        <v>1689</v>
      </c>
    </row>
    <row r="172" ht="30" customHeight="1" spans="2:6" x14ac:dyDescent="0.25">
      <c r="B172" s="841" t="s">
        <v>1637</v>
      </c>
      <c r="C172" s="842">
        <v>15</v>
      </c>
      <c r="D172" s="847" t="s">
        <v>1649</v>
      </c>
      <c r="E172" s="843" t="s">
        <v>1717</v>
      </c>
      <c r="F172" s="844" t="s">
        <v>1691</v>
      </c>
    </row>
    <row r="173" ht="30" customHeight="1" spans="2:6" x14ac:dyDescent="0.25">
      <c r="B173" s="841" t="s">
        <v>1637</v>
      </c>
      <c r="C173" s="842">
        <v>16</v>
      </c>
      <c r="D173" s="847" t="s">
        <v>1650</v>
      </c>
      <c r="E173" s="843" t="s">
        <v>1692</v>
      </c>
      <c r="F173" s="844" t="s">
        <v>1693</v>
      </c>
    </row>
    <row r="174" ht="30" customHeight="1" spans="2:6" x14ac:dyDescent="0.25">
      <c r="B174" s="841" t="s">
        <v>1637</v>
      </c>
      <c r="C174" s="842">
        <v>17</v>
      </c>
      <c r="D174" s="847" t="s">
        <v>1651</v>
      </c>
      <c r="E174" s="843" t="s">
        <v>1694</v>
      </c>
      <c r="F174" s="844" t="s">
        <v>1695</v>
      </c>
    </row>
    <row r="175" ht="30" customHeight="1" spans="2:6" x14ac:dyDescent="0.25">
      <c r="B175" s="841" t="s">
        <v>1637</v>
      </c>
      <c r="C175" s="842">
        <v>18</v>
      </c>
      <c r="D175" s="847" t="s">
        <v>1652</v>
      </c>
      <c r="E175" s="843" t="s">
        <v>1718</v>
      </c>
      <c r="F175" s="844" t="s">
        <v>1066</v>
      </c>
    </row>
    <row r="176" ht="30" customHeight="1" spans="2:6" x14ac:dyDescent="0.25">
      <c r="B176" s="841" t="s">
        <v>1637</v>
      </c>
      <c r="C176" s="842">
        <v>19</v>
      </c>
      <c r="D176" s="847" t="s">
        <v>1653</v>
      </c>
      <c r="E176" s="843" t="s">
        <v>1697</v>
      </c>
      <c r="F176" s="844" t="s">
        <v>1698</v>
      </c>
    </row>
    <row r="177" ht="30" customHeight="1" spans="2:6" x14ac:dyDescent="0.25">
      <c r="B177" s="841" t="s">
        <v>1637</v>
      </c>
      <c r="C177" s="842">
        <v>20</v>
      </c>
      <c r="D177" s="847" t="s">
        <v>1654</v>
      </c>
      <c r="E177" s="843" t="s">
        <v>1719</v>
      </c>
      <c r="F177" s="844" t="s">
        <v>1066</v>
      </c>
    </row>
    <row r="178" ht="30" customHeight="1" spans="2:6" x14ac:dyDescent="0.25">
      <c r="B178" s="841" t="s">
        <v>1637</v>
      </c>
      <c r="C178" s="842">
        <v>21</v>
      </c>
      <c r="D178" s="847" t="s">
        <v>1655</v>
      </c>
      <c r="E178" s="843" t="s">
        <v>1700</v>
      </c>
      <c r="F178" s="844" t="s">
        <v>1066</v>
      </c>
    </row>
    <row r="179" ht="48" customHeight="1" spans="2:6" x14ac:dyDescent="0.25">
      <c r="B179" s="841" t="s">
        <v>1637</v>
      </c>
      <c r="C179" s="842">
        <v>22</v>
      </c>
      <c r="D179" s="847" t="s">
        <v>1656</v>
      </c>
      <c r="E179" s="843" t="s">
        <v>1701</v>
      </c>
      <c r="F179" s="844" t="s">
        <v>1702</v>
      </c>
    </row>
    <row r="180" ht="30" customHeight="1" spans="2:6" x14ac:dyDescent="0.25">
      <c r="B180" s="841" t="s">
        <v>1637</v>
      </c>
      <c r="C180" s="842">
        <v>23</v>
      </c>
      <c r="D180" s="847" t="s">
        <v>1657</v>
      </c>
      <c r="E180" s="843" t="s">
        <v>1703</v>
      </c>
      <c r="F180" s="844" t="s">
        <v>1704</v>
      </c>
    </row>
    <row r="181" ht="30" customHeight="1" spans="2:6" x14ac:dyDescent="0.25">
      <c r="B181" s="841" t="s">
        <v>1637</v>
      </c>
      <c r="C181" s="842">
        <v>24</v>
      </c>
      <c r="D181" s="847" t="s">
        <v>1658</v>
      </c>
      <c r="E181" s="843" t="s">
        <v>1705</v>
      </c>
      <c r="F181" s="843" t="s">
        <v>1725</v>
      </c>
    </row>
    <row r="182" ht="30" customHeight="1" spans="2:6" x14ac:dyDescent="0.25">
      <c r="B182" s="848" t="s">
        <v>1637</v>
      </c>
      <c r="C182" s="849">
        <v>25</v>
      </c>
      <c r="D182" s="850" t="s">
        <v>1659</v>
      </c>
      <c r="E182" s="851" t="s">
        <v>1707</v>
      </c>
      <c r="F182" s="852" t="s">
        <v>1066</v>
      </c>
    </row>
  </sheetData>
  <pageMargins left="0.7086614173228347" right="0.7086614173228347" top="0.7480314960629921" bottom="0.7480314960629921" header="0.31496062992125984" footer="0.31496062992125984"/>
  <pageSetup paperSize="9" orientation="portrait" horizontalDpi="4294967295" verticalDpi="4294967295" scale="80" fitToWidth="1" fitToHeight="1" firstPageNumber="1" useFirstPageNumber="1" copies="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5"/>
  <sheetViews>
    <sheetView workbookViewId="0" zoomScale="70" zoomScaleNormal="100" view="pageBreakPreview">
      <selection activeCell="D4" sqref="D4"/>
    </sheetView>
  </sheetViews>
  <sheetFormatPr defaultRowHeight="39" outlineLevelRow="0" outlineLevelCol="0" x14ac:dyDescent="0" defaultColWidth="9.28515625" customHeight="1"/>
  <cols>
    <col min="1" max="2" width="3.7109375" style="783" customWidth="1"/>
    <col min="3" max="3" width="17.7109375" style="784" customWidth="1"/>
    <col min="4" max="4" width="55.7109375" style="784" customWidth="1"/>
    <col min="5" max="5" width="26.5703125" style="784" customWidth="1"/>
    <col min="6" max="6" width="59.42578125" style="784" customWidth="1"/>
    <col min="7" max="7" width="5.7109375" style="784" customWidth="1"/>
    <col min="8" max="8" width="4.42578125" style="784" customWidth="1"/>
    <col min="9" max="12" width="9.28515625" style="784" customWidth="1"/>
    <col min="13" max="13" width="15.28515625" style="784" customWidth="1"/>
    <col min="14" max="16384" width="9.28515625" style="784" customWidth="1"/>
  </cols>
  <sheetData>
    <row r="1" ht="24" customHeight="1" spans="1:13" x14ac:dyDescent="0.25">
      <c r="A1" s="785"/>
      <c r="B1" s="786"/>
      <c r="C1" s="787"/>
      <c r="D1" s="788" t="s">
        <v>1633</v>
      </c>
      <c r="E1" s="787" t="s">
        <v>1634</v>
      </c>
      <c r="F1" s="787"/>
      <c r="G1" s="789"/>
      <c r="I1" s="790" t="s">
        <v>1635</v>
      </c>
      <c r="J1" s="790"/>
      <c r="K1" s="790"/>
      <c r="L1" s="790"/>
      <c r="M1" s="790"/>
    </row>
    <row r="2" ht="21" customHeight="1" spans="1:13" x14ac:dyDescent="0.25">
      <c r="A2" s="791"/>
      <c r="B2" s="792"/>
      <c r="C2" s="793" t="s">
        <v>1597</v>
      </c>
      <c r="D2" s="794" t="s">
        <v>1636</v>
      </c>
      <c r="E2" s="795"/>
      <c r="F2" s="791" t="s">
        <v>948</v>
      </c>
      <c r="G2" s="796"/>
      <c r="I2" s="790"/>
      <c r="J2" s="790"/>
      <c r="K2" s="790"/>
      <c r="L2" s="790"/>
      <c r="M2" s="790"/>
    </row>
    <row r="3" ht="35.1" customHeight="1" spans="1:13" x14ac:dyDescent="0.25">
      <c r="A3" s="797" t="s">
        <v>1637</v>
      </c>
      <c r="B3" s="798">
        <v>1</v>
      </c>
      <c r="C3" s="799" t="s">
        <v>1638</v>
      </c>
      <c r="D3" s="800" t="str">
        <f>IF($D$1="LACIE",VLOOKUP(C3,作業用タブ1!$D$2:$F$27,2,FALSE),IF($D$1="LIFE+",VLOOKUP(C3,作業用タブ1!$D$33:$F$58,2,FALSE),IF($D$1="LIFE",VLOOKUP(C3,作業用タブ1!$D$64:$F$89,2,FALSE),IF($D$1="BASE",VLOOKUP(C3,作業用タブ1!$D$95:$F$120,2,FALSE),IF($D$1="LIFE+（キャンペーン）",VLOOKUP(C3,作業用タブ1!$D$126:$F$151,2,FALSE),IF($D$1="LIFE（キャンペーン）",VLOOKUP(C3,作業用タブ1!$D$157:$F$182,2,FALSE),IF($D$1="LIFE+（キャンペーン）",VLOOKUP(C3,作業用タブ1!$D$126:$F$151,2,FALSE),IF($D$1="LIFE（キャンペーン）",VLOOKUP(C3,作業用タブ1!$D$157:$F$182,2,FALSE)))))))))</f>
        <v>完全自由設計 ※4マス×910mm間隔に柱または壁の設置が必要です。</v>
      </c>
      <c r="E3" s="801"/>
      <c r="F3" s="802" t="str">
        <f>IF($D$1="LACIE",VLOOKUP(C3,作業用タブ1!$D$2:$F$27,3,FALSE),IF($D$1="LIFE+",VLOOKUP(C3,作業用タブ1!$D$33:$F$58,3,FALSE),IF($D$1="LIFE",VLOOKUP(C3,作業用タブ1!$D$64:$F$89,3,FALSE),IF($D$1="BASE",VLOOKUP(C3,作業用タブ1!$D$95:$F$120,3,FALSE),IF($D$1="LIFE+（キャンペーン）",VLOOKUP(C3,作業用タブ1!$D$126:$F$151,3,FALSE),IF($D$1="LIFE（キャンペーン）",VLOOKUP(C3,作業用タブ1!$D$157:$F$182,3,FALSE)))))))</f>
        <v>申請業務に進んでいくため、基本設計確定後の変更は出来ません。</v>
      </c>
      <c r="G3" s="803"/>
      <c r="I3" s="790"/>
      <c r="J3" s="790"/>
      <c r="K3" s="790"/>
      <c r="L3" s="790"/>
      <c r="M3" s="790"/>
    </row>
    <row r="4" ht="83.25" customHeight="1" spans="1:7" x14ac:dyDescent="0.25">
      <c r="A4" s="804" t="s">
        <v>1637</v>
      </c>
      <c r="B4" s="805">
        <v>2</v>
      </c>
      <c r="C4" s="806" t="s">
        <v>1639</v>
      </c>
      <c r="D4" s="807" t="str">
        <f>IF($D$1="LACIE",VLOOKUP(C4,作業用タブ1!$D$2:$F$27,2,FALSE),IF($D$1="LIFE+",VLOOKUP(C4,作業用タブ1!$D$33:$F$58,2,FALSE),IF($D$1="LIFE",VLOOKUP(C4,作業用タブ1!$D$64:$F$89,2,FALSE),IF($D$1="BASE",VLOOKUP(C4,作業用タブ1!$D$95:$F$120,2,FALSE),IF($D$1="LIFE+（キャンペーン）",VLOOKUP(C4,作業用タブ1!$D$126:$F$151,2,FALSE),IF($D$1="LIFE（キャンペーン）",VLOOKUP(C4,作業用タブ1!$D$157:$F$182,2,FALSE)))))))</f>
        <v>本体工事価格は 63万円(税別)
30坪未満の場合割増計算となり、1坪下がる度に15,000円×坪数＝追加費用が発生します。
3階建ての場合は坪単価＋40,000円UP
下屋の場合は下屋部分㎡×30,000円UP</v>
      </c>
      <c r="E4" s="808"/>
      <c r="F4" s="809" t="str">
        <f>IF($D$1="LACIE",VLOOKUP(C4,作業用タブ1!$D$2:$F$27,3,FALSE),IF($D$1="LIFE+",VLOOKUP(C4,作業用タブ1!$D$33:$F$58,3,FALSE),IF($D$1="LIFE",VLOOKUP(C4,作業用タブ1!$D$64:$F$89,3,FALSE),IF($D$1="BASE",VLOOKUP(C4,作業用タブ1!$D$95:$F$120,3,FALSE),IF($D$1="LIFE+（キャンペーン）",VLOOKUP(C4,作業用タブ1!$D$126:$F$151,3,FALSE),IF($D$1="LIFE（キャンペーン）",VLOOKUP(C4,作業用タブ1!$D$157:$F$182,3,FALSE)))))))</f>
        <v>例）28坪の場合、30坪に対して2坪下がる
　30,000円×28坪＝840,000円UP</v>
      </c>
      <c r="G4" s="810"/>
    </row>
    <row r="5" ht="130.9" customHeight="1" spans="1:7" x14ac:dyDescent="0.25">
      <c r="A5" s="804" t="s">
        <v>1637</v>
      </c>
      <c r="B5" s="805">
        <v>3</v>
      </c>
      <c r="C5" s="806" t="s">
        <v>72</v>
      </c>
      <c r="D5" s="807" t="str">
        <f>IF($D$1="LACIE",VLOOKUP(C5,作業用タブ1!$D$2:$F$27,2,FALSE),IF($D$1="LIFE+",VLOOKUP(C5,作業用タブ1!$D$33:$F$58,2,FALSE),IF($D$1="LIFE",VLOOKUP(C5,作業用タブ1!$D$64:$F$89,2,FALSE),IF($D$1="BASE",VLOOKUP(C5,作業用タブ1!$D$95:$F$120,2,FALSE),IF($D$1="LIFE+（キャンペーン）",VLOOKUP(C5,作業用タブ1!$D$126:$F$151,2,FALSE),IF($D$1="LIFE（キャンペーン）",VLOOKUP(C5,作業用タブ1!$D$157:$F$182,2,FALSE)))))))</f>
        <v>建物価格は「施工面積 × 坪単価」にて算出します。
施工面積は、延床面積に加え、外壁に三方を囲まれたビルトインガレージ、半ビルトインガレージを含み、当社基準により算出します。
また、以下の工事は、施工面積に含まれていない場合でも、別途費用が加算されます。
　① 軒の出・オーバーハング工事　：42,000円／㎡（税別）
　② 下屋工事　　　　　　　　　　：30,000円／㎡（税別）
　③ バルコニー工事・吹抜工事　　：60,000円／㎡（税別）
※対象となる面積は、設計図書に基づき当社が算出します。</v>
      </c>
      <c r="E5" s="808"/>
      <c r="F5" s="809" t="str">
        <f>IF($D$1="LACIE",VLOOKUP(C5,作業用タブ1!$D$2:$F$27,3,FALSE),IF($D$1="LIFE+",VLOOKUP(C5,作業用タブ1!$D$33:$F$58,3,FALSE),IF($D$1="LIFE",VLOOKUP(C5,作業用タブ1!$D$64:$F$89,3,FALSE),IF($D$1="BASE",VLOOKUP(C5,作業用タブ1!$D$95:$F$120,3,FALSE),IF($D$1="LIFE+（キャンペーン）",VLOOKUP(C5,作業用タブ1!$D$126:$F$151,3,FALSE),IF($D$1="LIFE（キャンペーン）",VLOOKUP(C5,作業用タブ1!$D$157:$F$182,3,FALSE)))))))</f>
        <v>左記内容の対象となる面積については別紙1の参考写真をご確認下さい。</v>
      </c>
      <c r="G5" s="810"/>
    </row>
    <row r="6" ht="35.1" customHeight="1" spans="1:7" x14ac:dyDescent="0.25">
      <c r="A6" s="804" t="s">
        <v>1637</v>
      </c>
      <c r="B6" s="805">
        <v>4</v>
      </c>
      <c r="C6" s="806" t="s">
        <v>1640</v>
      </c>
      <c r="D6" s="807" t="str">
        <f>IF($D$1="LACIE",VLOOKUP(C6,作業用タブ1!$D$2:$F$27,2,FALSE),IF($D$1="LIFE+",VLOOKUP(C6,作業用タブ1!$D$33:$F$58,2,FALSE),IF($D$1="LIFE",VLOOKUP(C6,作業用タブ1!$D$64:$F$89,2,FALSE),IF($D$1="BASE",VLOOKUP(C6,作業用タブ1!$D$95:$F$120,2,FALSE),IF($D$1="LIFE+（キャンペーン）",VLOOKUP(C6,作業用タブ1!$D$126:$F$151,2,FALSE),IF($D$1="LIFE（キャンペーン）",VLOOKUP(C6,作業用タブ1!$D$157:$F$182,2,FALSE)))))))</f>
        <v>住宅ローンの手続きはお施主様自身でお願いします。
当社でしかご用意ができない書類や図面等はお渡しします。</v>
      </c>
      <c r="E6" s="808"/>
      <c r="F6" s="809" t="str">
        <f>IF($D$1="LACIE",VLOOKUP(C6,作業用タブ1!$D$2:$F$27,3,FALSE),IF($D$1="LIFE+",VLOOKUP(C6,作業用タブ1!$D$33:$F$58,3,FALSE),IF($D$1="LIFE",VLOOKUP(C6,作業用タブ1!$D$64:$F$89,3,FALSE),IF($D$1="BASE",VLOOKUP(C6,作業用タブ1!$D$95:$F$120,3,FALSE),IF($D$1="LIFE+（キャンペーン）",VLOOKUP(C6,作業用タブ1!$D$126:$F$151,3,FALSE),IF($D$1="LIFE（キャンペーン）",VLOOKUP(C6,作業用タブ1!$D$157:$F$182,3,FALSE)))))))</f>
        <v>※事前審査も同様</v>
      </c>
      <c r="G6" s="810"/>
    </row>
    <row r="7" ht="49.5" customHeight="1" spans="1:7" x14ac:dyDescent="0.25">
      <c r="A7" s="804" t="s">
        <v>1637</v>
      </c>
      <c r="B7" s="805">
        <v>5</v>
      </c>
      <c r="C7" s="806" t="str">
        <f>IF(OR($D$1="LIFE+（キャンペーン）",$D$1="LIFE（キャンペーン）"),"キャンペーン適応","打ち合わせ
期間")</f>
        <v>打ち合わせ
期間</v>
      </c>
      <c r="D7" s="807" t="str">
        <f>IF($D$1="LACIE",VLOOKUP(C7,作業用タブ1!$D$2:$F$27,2,FALSE),IF($D$1="LIFE+",VLOOKUP(C7,作業用タブ1!$D$33:$F$58,2,FALSE),IF($D$1="LIFE",VLOOKUP(C7,作業用タブ1!$D$64:$F$89,2,FALSE),IF($D$1="BASE",VLOOKUP(C7,作業用タブ1!$D$95:$F$120,2,FALSE),IF($D$1="LIFE+（キャンペーン）",VLOOKUP(C7,作業用タブ1!$D$126:$F$151,2,FALSE),IF($D$1="LIFE（キャンペーン）",VLOOKUP(C7,作業用タブ1!$D$157:$F$182,2,FALSE)))))))</f>
        <v>最大3ヵ月間　(回数：6回)</v>
      </c>
      <c r="E7" s="808"/>
      <c r="F7" s="809" t="str">
        <f>IF($D$1="LACIE",VLOOKUP(C7,作業用タブ1!$D$2:$F$27,3,FALSE),IF($D$1="LIFE+",VLOOKUP(C7,作業用タブ1!$D$33:$F$58,3,FALSE),IF($D$1="LIFE",VLOOKUP(C7,作業用タブ1!$D$64:$F$89,3,FALSE),IF($D$1="BASE",VLOOKUP(C7,作業用タブ1!$D$95:$F$120,3,FALSE),IF($D$1="LIFE+（キャンペーン）",VLOOKUP(C7,作業用タブ1!$D$126:$F$151,3,FALSE),IF($D$1="LIFE（キャンペーン）",VLOOKUP(C7,作業用タブ1!$D$157:$F$182,3,FALSE)))))))</f>
        <v>打ち合わせ回数6回以下で下記の特典があります。
6回：★10万円相当
5回：★★20万円相当　　 ※初回ヒアリングは除く</v>
      </c>
      <c r="G7" s="810"/>
    </row>
    <row r="8" ht="35.1" customHeight="1" spans="1:7" x14ac:dyDescent="0.25">
      <c r="A8" s="804" t="s">
        <v>1637</v>
      </c>
      <c r="B8" s="805">
        <v>6</v>
      </c>
      <c r="C8" s="806" t="s">
        <v>1641</v>
      </c>
      <c r="D8" s="807" t="str">
        <f>IF($D$1="LACIE",VLOOKUP(C8,作業用タブ1!$D$2:$F$27,2,FALSE),IF($D$1="LIFE+",VLOOKUP(C8,作業用タブ1!$D$33:$F$58,2,FALSE),IF($D$1="LIFE",VLOOKUP(C8,作業用タブ1!$D$64:$F$89,2,FALSE),IF($D$1="BASE",VLOOKUP(C8,作業用タブ1!$D$95:$F$120,2,FALSE),IF($D$1="LIFE+（キャンペーン）",VLOOKUP(C8,作業用タブ1!$D$126:$F$151,2,FALSE),IF($D$1="LIFE（キャンペーン）",VLOOKUP(C8,作業用タブ1!$D$157:$F$182,2,FALSE)))))))</f>
        <v>セミオーダー制
当社の設計士がこだわり抜いた【 STYLE BOOK 】からのみ選択できます。</v>
      </c>
      <c r="E8" s="808"/>
      <c r="F8" s="809" t="str">
        <f>(IF($D$1="LACIE",VLOOKUP(C8,作業用タブ1!$D$2:$F$27,3,FALSE),IF($D$1="LIFE+",VLOOKUP(C8,作業用タブ1!$D$33:$F$58,3,FALSE),IF($D$1="LIFE",VLOOKUP(C8,作業用タブ1!$D$64:$F$89,3,FALSE),IF($D$1="BASE",VLOOKUP(C8,作業用タブ1!$D$95:$F$120,3,FALSE),IF($D$1="LIFE+（キャンペーン）",VLOOKUP(C8,作業用タブ1!$D$126:$F$151,3,FALSE),IF($D$1="LIFE（キャンペーン）",VLOOKUP(C8,作業用タブ1!$D$157:$F$182,3,FALSE))))))))</f>
        <v> </v>
      </c>
      <c r="G8" s="810"/>
    </row>
    <row r="9" ht="53.1" customHeight="1" spans="1:7" x14ac:dyDescent="0.25">
      <c r="A9" s="804" t="s">
        <v>1637</v>
      </c>
      <c r="B9" s="805">
        <v>7</v>
      </c>
      <c r="C9" s="806" t="s">
        <v>1642</v>
      </c>
      <c r="D9" s="807" t="str">
        <f>IF($D$1="LACIE",VLOOKUP(C9,作業用タブ1!$D$2:$F$27,2,FALSE),IF($D$1="LIFE+",VLOOKUP(C9,作業用タブ1!$D$33:$F$58,2,FALSE),IF($D$1="LIFE",VLOOKUP(C9,作業用タブ1!$D$64:$F$89,2,FALSE),IF($D$1="BASE",VLOOKUP(C9,作業用タブ1!$D$95:$F$120,2,FALSE),IF($D$1="LIFE+（キャンペーン）",VLOOKUP(C9,作業用タブ1!$D$126:$F$151,2,FALSE),IF($D$1="LIFE（キャンペーン）",VLOOKUP(C9,作業用タブ1!$D$157:$F$182,2,FALSE)))))))</f>
        <v>認定基準として、少なくとも1の階の床面積(階段部分を除く)が40㎡以上かつ床面積の合計75㎡必要です。
また、都市計画法第53条許可の対象となる地域では認定対象外です。</v>
      </c>
      <c r="E9" s="808"/>
      <c r="F9" s="809" t="str">
        <f>IF($D$1="LACIE",VLOOKUP(C9,作業用タブ1!$D$2:$F$27,3,FALSE),IF($D$1="LIFE+",VLOOKUP(C9,作業用タブ1!$D$33:$F$58,3,FALSE),IF($D$1="LIFE",VLOOKUP(C9,作業用タブ1!$D$64:$F$89,3,FALSE),IF($D$1="BASE",VLOOKUP(C9,作業用タブ1!$D$95:$F$120,3,FALSE),IF($D$1="LIFE+（キャンペーン）",VLOOKUP(C9,作業用タブ1!$D$126:$F$151,3,FALSE),IF($D$1="LIFE（キャンペーン）",VLOOKUP(C9,作業用タブ1!$D$157:$F$182,3,FALSE)))))))</f>
        <v>詳細は設計打ち合わせにてご確認ください。</v>
      </c>
      <c r="G9" s="810"/>
    </row>
    <row r="10" ht="35.1" customHeight="1" spans="1:7" x14ac:dyDescent="0.25">
      <c r="A10" s="804" t="s">
        <v>1637</v>
      </c>
      <c r="B10" s="805">
        <v>8</v>
      </c>
      <c r="C10" s="806" t="s">
        <v>1643</v>
      </c>
      <c r="D10" s="807" t="str">
        <f>IF($D$1="LACIE",VLOOKUP(C10,作業用タブ1!$D$2:$F$27,2,FALSE),IF($D$1="LIFE+",VLOOKUP(C10,作業用タブ1!$D$33:$F$58,2,FALSE),IF($D$1="LIFE",VLOOKUP(C10,作業用タブ1!$D$64:$F$89,2,FALSE),IF($D$1="BASE",VLOOKUP(C10,作業用タブ1!$D$95:$F$120,2,FALSE),IF($D$1="LIFE+（キャンペーン）",VLOOKUP(C10,作業用タブ1!$D$126:$F$151,2,FALSE),IF($D$1="LIFE（キャンペーン）",VLOOKUP(C10,作業用タブ1!$D$157:$F$182,2,FALSE)))))))</f>
        <v>0.46W/㎡･Kを目安としております。但し、間取りや窓の個数･種類によって数値が変わり、0.46W/㎡･Kを確保できない場合があります。</v>
      </c>
      <c r="E10" s="808"/>
      <c r="F10" s="809" t="str">
        <f>IF($D$1="LACIE",VLOOKUP(C10,作業用タブ1!$D$2:$F$27,3,FALSE),IF($D$1="LIFE+",VLOOKUP(C10,作業用タブ1!$D$33:$F$58,3,FALSE),IF($D$1="LIFE",VLOOKUP(C10,作業用タブ1!$D$64:$F$89,3,FALSE),IF($D$1="BASE",VLOOKUP(C10,作業用タブ1!$D$95:$F$120,3,FALSE),IF($D$1="LIFE+（キャンペーン）",VLOOKUP(C10,作業用タブ1!$D$126:$F$151,3,FALSE),IF($D$1="LIFE（キャンペーン）",VLOOKUP(C10,作業用タブ1!$D$157:$F$182,3,FALSE)))))))</f>
        <v> </v>
      </c>
      <c r="G10" s="810"/>
    </row>
    <row r="11" ht="50.1" customHeight="1" spans="1:7" x14ac:dyDescent="0.25">
      <c r="A11" s="804" t="s">
        <v>1637</v>
      </c>
      <c r="B11" s="805">
        <v>9</v>
      </c>
      <c r="C11" s="806" t="s">
        <v>1644</v>
      </c>
      <c r="D11" s="807" t="str">
        <f>IF($D$1="LACIE",VLOOKUP(C11,作業用タブ1!$D$2:$F$27,2,FALSE),IF($D$1="LIFE+",VLOOKUP(C11,作業用タブ1!$D$33:$F$58,2,FALSE),IF($D$1="LIFE",VLOOKUP(C11,作業用タブ1!$D$64:$F$89,2,FALSE),IF($D$1="BASE",VLOOKUP(C11,作業用タブ1!$D$95:$F$120,2,FALSE),IF($D$1="LIFE+（キャンペーン）",VLOOKUP(C11,作業用タブ1!$D$126:$F$151,2,FALSE),IF($D$1="LIFE（キャンペーン）",VLOOKUP(C11,作業用タブ1!$D$157:$F$182,2,FALSE)))))))</f>
        <v>施工面積が35坪未満12ヵ所、35～40坪13ヵ所、40～45坪14ヵ所、45～50坪15ヵ所、50坪以上16ヵ所までが標準個数です。
※既製品のみ選定可能とし特注品の選択不可。</v>
      </c>
      <c r="E11" s="808"/>
      <c r="F11" s="809" t="str">
        <f>IF($D$1="LACIE",VLOOKUP(C11,作業用タブ1!$D$2:$F$27,3,FALSE),IF($D$1="LIFE+",VLOOKUP(C11,作業用タブ1!$D$33:$F$58,3,FALSE),IF($D$1="LIFE",VLOOKUP(C11,作業用タブ1!$D$64:$F$89,3,FALSE),IF($D$1="BASE",VLOOKUP(C11,作業用タブ1!$D$95:$F$120,3,FALSE),IF($D$1="LIFE+（キャンペーン）",VLOOKUP(C11,作業用タブ1!$D$126:$F$151,3,FALSE),IF($D$1="LIFE（キャンペーン）",VLOOKUP(C11,作業用タブ1!$D$157:$F$182,3,FALSE)))))))</f>
        <v>掃き出し窓(手動シャッター付)H2200は2ヵ所まで</v>
      </c>
      <c r="G11" s="810"/>
    </row>
    <row r="12" ht="43.5" customHeight="1" spans="1:7" x14ac:dyDescent="0.25">
      <c r="A12" s="804" t="s">
        <v>1637</v>
      </c>
      <c r="B12" s="805">
        <v>10</v>
      </c>
      <c r="C12" s="811" t="s">
        <v>772</v>
      </c>
      <c r="D12" s="809" t="str">
        <f>IF($D$1="LACIE",VLOOKUP(C12,作業用タブ1!$D$2:$F$27,2,FALSE),IF($D$1="LIFE+",VLOOKUP(C12,作業用タブ1!$D$33:$F$58,2,FALSE),IF($D$1="LIFE",VLOOKUP(C12,作業用タブ1!$D$64:$F$89,2,FALSE),IF($D$1="BASE",VLOOKUP(C12,作業用タブ1!$D$95:$F$120,2,FALSE),IF($D$1="LIFE+（キャンペーン）",VLOOKUP(C12,作業用タブ1!$D$126:$F$151,2,FALSE),IF($D$1="LIFE（キャンペーン）",VLOOKUP(C12,作業用タブ1!$D$157:$F$182,2,FALSE)))))))</f>
        <v>開き扉H2400㎜標準(各居室・トイレ・脱衣室・ランドリーそれぞれ1ヵ所ずつ)　
※片引き戸2ヵ所まで標準</v>
      </c>
      <c r="E12" s="810"/>
      <c r="F12" s="809" t="str">
        <f>IF($D$1="LACIE",VLOOKUP(C12,作業用タブ1!$D$2:$F$27,3,FALSE),IF($D$1="LIFE+",VLOOKUP(C12,作業用タブ1!$D$33:$F$58,3,FALSE),IF($D$1="LIFE",VLOOKUP(C12,作業用タブ1!$D$64:$F$89,3,FALSE),IF($D$1="BASE",VLOOKUP(C12,作業用タブ1!$D$95:$F$120,3,FALSE),IF($D$1="LIFE+（キャンペーン）",VLOOKUP(C12,作業用タブ1!$D$126:$F$151,3,FALSE),IF($D$1="LIFE（キャンペーン）",VLOOKUP(C12,作業用タブ1!$D$157:$F$182,3,FALSE)))))))</f>
        <v>引き戸3枚目以上及び収納扉等、リビング・書斎・洗面室・ファミリーCL・その他の部屋はオプションです。</v>
      </c>
      <c r="G12" s="810"/>
    </row>
    <row r="13" ht="35.1" customHeight="1" spans="1:7" x14ac:dyDescent="0.25">
      <c r="A13" s="804" t="s">
        <v>1637</v>
      </c>
      <c r="B13" s="805">
        <v>11</v>
      </c>
      <c r="C13" s="812" t="s">
        <v>1645</v>
      </c>
      <c r="D13" s="807" t="str">
        <f>IF($D$1="LACIE",VLOOKUP(C13,作業用タブ1!$D$2:$F$27,2,FALSE),IF($D$1="LIFE+",VLOOKUP(C13,作業用タブ1!$D$33:$F$58,2,FALSE),IF($D$1="LIFE",VLOOKUP(C13,作業用タブ1!$D$64:$F$89,2,FALSE),IF($D$1="BASE",VLOOKUP(C13,作業用タブ1!$D$95:$F$120,2,FALSE),IF($D$1="LIFE+（キャンペーン）",VLOOKUP(C13,作業用タブ1!$D$126:$F$151,2,FALSE),IF($D$1="LIFE（キャンペーン）",VLOOKUP(C13,作業用タブ1!$D$157:$F$182,2,FALSE)))))))</f>
        <v>無垢床材を使用した場合、伸縮、床鳴り、及び経年劣化による変色が発生
する場合があります。</v>
      </c>
      <c r="E13" s="808"/>
      <c r="F13" s="809"/>
      <c r="G13" s="810"/>
    </row>
    <row r="14" ht="40.5" customHeight="1" spans="1:7" x14ac:dyDescent="0.25">
      <c r="A14" s="804" t="s">
        <v>1637</v>
      </c>
      <c r="B14" s="805">
        <v>12</v>
      </c>
      <c r="C14" s="812" t="s">
        <v>1646</v>
      </c>
      <c r="D14" s="807" t="str">
        <f>IF($D$1="LACIE",VLOOKUP(C14,作業用タブ1!$D$2:$F$27,2,FALSE),IF($D$1="LIFE+",VLOOKUP(C14,作業用タブ1!$D$33:$F$58,2,FALSE),IF($D$1="LIFE",VLOOKUP(C14,作業用タブ1!$D$64:$F$89,2,FALSE),IF($D$1="BASE",VLOOKUP(C14,作業用タブ1!$D$95:$F$120,2,FALSE),IF($D$1="LIFE+（キャンペーン）",VLOOKUP(C14,作業用タブ1!$D$126:$F$151,2,FALSE),IF($D$1="LIFE（キャンペーン）",VLOOKUP(C14,作業用タブ1!$D$157:$F$182,2,FALSE)))))))</f>
        <v>換気システムは全熱交換型第一種換気システム(Panasonic)が標準です。</v>
      </c>
      <c r="E14" s="808"/>
      <c r="F14" s="809" t="str">
        <f>IF($D$1="LACIE",VLOOKUP(C14,作業用タブ1!$D$2:$F$27,3,FALSE),IF($D$1="LIFE+",VLOOKUP(C14,作業用タブ1!$D$33:$F$58,3,FALSE),IF($D$1="LIFE",VLOOKUP(C14,作業用タブ1!$D$64:$F$89,3,FALSE),IF($D$1="BASE",VLOOKUP(C14,作業用タブ1!$D$95:$F$120,3,FALSE),IF($D$1="LIFE+（キャンペーン）",VLOOKUP(C14,作業用タブ1!$D$126:$F$151,3,FALSE),IF($D$1="LIFE（キャンペーン）",VLOOKUP(C14,作業用タブ1!$D$157:$F$182,3,FALSE)))))))</f>
        <v>DSDD換気システム(okatomi)はオプションとなり、請負契約までに確定が必要です。請負契約後は変更できません。</v>
      </c>
      <c r="G14" s="810"/>
    </row>
    <row r="15" ht="46.5" customHeight="1" spans="1:7" x14ac:dyDescent="0.25">
      <c r="A15" s="804" t="s">
        <v>1637</v>
      </c>
      <c r="B15" s="805">
        <v>13</v>
      </c>
      <c r="C15" s="811" t="s">
        <v>1647</v>
      </c>
      <c r="D15" s="809" t="str">
        <f>IF($D$1="LACIE",VLOOKUP(C15,作業用タブ1!$D$2:$F$27,2,FALSE),IF($D$1="LIFE+",VLOOKUP(C15,作業用タブ1!$D$33:$F$58,2,FALSE),IF($D$1="LIFE",VLOOKUP(C15,作業用タブ1!$D$64:$F$89,2,FALSE),IF($D$1="BASE",VLOOKUP(C15,作業用タブ1!$D$95:$F$120,2,FALSE),IF($D$1="LIFE+（キャンペーン）",VLOOKUP(C15,作業用タブ1!$D$126:$F$151,2,FALSE),IF($D$1="LIFE（キャンペーン）",VLOOKUP(C15,作業用タブ1!$D$157:$F$182,2,FALSE)))))))</f>
        <v>天井有り</v>
      </c>
      <c r="E15" s="810"/>
      <c r="F15" s="809" t="str">
        <f>IF($D$1="LACIE",VLOOKUP(C15,作業用タブ1!$D$2:$F$27,3,FALSE),IF($D$1="LIFE+",VLOOKUP(C15,作業用タブ1!$D$33:$F$58,3,FALSE),IF($D$1="LIFE",VLOOKUP(C15,作業用タブ1!$D$64:$F$89,3,FALSE),IF($D$1="BASE",VLOOKUP(C15,作業用タブ1!$D$95:$F$120,3,FALSE),IF($D$1="LIFE+（キャンペーン）",VLOOKUP(C15,作業用タブ1!$D$126:$F$151,3,FALSE),IF($D$1="LIFE（キャンペーン）",VLOOKUP(C15,作業用タブ1!$D$157:$F$182,3,FALSE)))))))</f>
        <v>天井無しの施工はDSDD換気システムをオプションで採用される場合のみ対応可能です。ご選択いただけるメーカーが限られますのでご注意ください。</v>
      </c>
      <c r="G15" s="810"/>
    </row>
    <row r="16" ht="33" customHeight="1" spans="1:7" x14ac:dyDescent="0.25">
      <c r="A16" s="804" t="s">
        <v>1637</v>
      </c>
      <c r="B16" s="805">
        <v>14</v>
      </c>
      <c r="C16" s="811" t="s">
        <v>1648</v>
      </c>
      <c r="D16" s="807" t="str">
        <f>IF($D$1="LACIE",VLOOKUP(C16,作業用タブ1!$D$2:$F$27,2,FALSE),IF($D$1="LIFE+",VLOOKUP(C16,作業用タブ1!$D$33:$F$58,2,FALSE),IF($D$1="LIFE",VLOOKUP(C16,作業用タブ1!$D$64:$F$89,2,FALSE),IF($D$1="BASE",VLOOKUP(C16,作業用タブ1!$D$95:$F$120,2,FALSE),IF($D$1="LIFE+（キャンペーン）",VLOOKUP(C16,作業用タブ1!$D$126:$F$151,2,FALSE),IF($D$1="LIFE（キャンペーン）",VLOOKUP(C16,作業用タブ1!$D$157:$F$182,2,FALSE)))))))</f>
        <v>室外置き</v>
      </c>
      <c r="E16" s="808"/>
      <c r="F16" s="809" t="str">
        <f>IF($D$1="LACIE",VLOOKUP(C16,作業用タブ1!$D$2:$F$27,3,FALSE),IF($D$1="LIFE+",VLOOKUP(C16,作業用タブ1!$D$33:$F$58,3,FALSE),IF($D$1="LIFE",VLOOKUP(C16,作業用タブ1!$D$64:$F$89,3,FALSE),IF($D$1="BASE",VLOOKUP(C16,作業用タブ1!$D$95:$F$120,3,FALSE),IF($D$1="LIFE+（キャンペーン）",VLOOKUP(C16,作業用タブ1!$D$126:$F$151,3,FALSE),IF($D$1="LIFE（キャンペーン）",VLOOKUP(C16,作業用タブ1!$D$157:$F$182,3,FALSE)))))))</f>
        <v>室内置きはオプションです。</v>
      </c>
      <c r="G16" s="810"/>
    </row>
    <row r="17" ht="35.1" customHeight="1" spans="1:7" x14ac:dyDescent="0.25">
      <c r="A17" s="804" t="s">
        <v>1637</v>
      </c>
      <c r="B17" s="805">
        <v>15</v>
      </c>
      <c r="C17" s="811" t="s">
        <v>1649</v>
      </c>
      <c r="D17" s="807" t="str">
        <f>IF($D$1="LACIE",VLOOKUP(C17,作業用タブ1!$D$2:$F$27,2,FALSE),IF($D$1="LIFE+",VLOOKUP(C17,作業用タブ1!$D$33:$F$58,2,FALSE),IF($D$1="LIFE",VLOOKUP(C17,作業用タブ1!$D$64:$F$89,2,FALSE),IF($D$1="BASE",VLOOKUP(C17,作業用タブ1!$D$95:$F$120,2,FALSE),IF($D$1="LIFE+（キャンペーン）",VLOOKUP(C17,作業用タブ1!$D$126:$F$151,2,FALSE),IF($D$1="LIFE（キャンペーン）",VLOOKUP(C17,作業用タブ1!$D$157:$F$182,2,FALSE)))))))</f>
        <v>換気システムや配管の定期点検及び不具合が起きた場合に備えて1,2Fに必要な箇所に天井･床下点検口を3～4つ以上設置しています。</v>
      </c>
      <c r="E17" s="808"/>
      <c r="F17" s="809" t="str">
        <f>IF($D$1="LACIE",VLOOKUP(C17,作業用タブ1!$D$2:$F$27,3,FALSE),IF($D$1="LIFE+",VLOOKUP(C17,作業用タブ1!$D$33:$F$58,3,FALSE),IF($D$1="LIFE",VLOOKUP(C17,作業用タブ1!$D$64:$F$89,3,FALSE),IF($D$1="BASE",VLOOKUP(C17,作業用タブ1!$D$95:$F$120,3,FALSE),IF($D$1="LIFE+（キャンペーン）",VLOOKUP(C17,作業用タブ1!$D$126:$F$151,3,FALSE),IF($D$1="LIFE（キャンペーン）",VLOOKUP(C17,作業用タブ1!$D$157:$F$182,3,FALSE)))))))</f>
        <v>点検口の個数および位置については間取りプランにより変動します。</v>
      </c>
      <c r="G17" s="810"/>
    </row>
    <row r="18" ht="32.1" customHeight="1" spans="1:7" x14ac:dyDescent="0.25">
      <c r="A18" s="804" t="s">
        <v>1637</v>
      </c>
      <c r="B18" s="805">
        <v>16</v>
      </c>
      <c r="C18" s="811" t="s">
        <v>1650</v>
      </c>
      <c r="D18" s="807" t="str">
        <f>IF($D$1="LACIE",VLOOKUP(C18,作業用タブ1!$D$2:$F$27,2,FALSE),IF($D$1="LIFE+",VLOOKUP(C18,作業用タブ1!$D$33:$F$58,2,FALSE),IF($D$1="LIFE",VLOOKUP(C18,作業用タブ1!$D$64:$F$89,2,FALSE),IF($D$1="BASE",VLOOKUP(C18,作業用タブ1!$D$95:$F$120,2,FALSE),IF($D$1="LIFE+（キャンペーン）",VLOOKUP(C18,作業用タブ1!$D$126:$F$151,2,FALSE),IF($D$1="LIFE（キャンペーン）",VLOOKUP(C18,作業用タブ1!$D$157:$F$182,2,FALSE)))))))</f>
        <v>造作工事はSTYLE BOOKに記載の内容のみ対応しています。</v>
      </c>
      <c r="E18" s="808"/>
      <c r="F18" s="809" t="str">
        <f>IF($D$1="LACIE",VLOOKUP(C18,作業用タブ1!$D$2:$F$27,3,FALSE),IF($D$1="LIFE+",VLOOKUP(C18,作業用タブ1!$D$33:$F$58,3,FALSE),IF($D$1="LIFE",VLOOKUP(C18,作業用タブ1!$D$64:$F$89,3,FALSE),IF($D$1="BASE",VLOOKUP(C18,作業用タブ1!$D$95:$F$120,3,FALSE),IF($D$1="LIFE+（キャンペーン）",VLOOKUP(C18,作業用タブ1!$D$126:$F$151,3,FALSE),IF($D$1="LIFE（キャンペーン）",VLOOKUP(C18,作業用タブ1!$D$157:$F$182,3,FALSE)))))))</f>
        <v>記載無き内容については提携リフォーム会社様へご相談ください。</v>
      </c>
      <c r="G18" s="810"/>
    </row>
    <row r="19" ht="52.15" customHeight="1" spans="1:7" x14ac:dyDescent="0.25">
      <c r="A19" s="804" t="s">
        <v>1637</v>
      </c>
      <c r="B19" s="805">
        <v>17</v>
      </c>
      <c r="C19" s="811" t="s">
        <v>1651</v>
      </c>
      <c r="D19" s="807" t="str">
        <f>IF($D$1="LACIE",VLOOKUP(C19,作業用タブ1!$D$2:$F$27,2,FALSE),IF($D$1="LIFE+",VLOOKUP(C19,作業用タブ1!$D$33:$F$58,2,FALSE),IF($D$1="LIFE",VLOOKUP(C19,作業用タブ1!$D$64:$F$89,2,FALSE),IF($D$1="BASE",VLOOKUP(C19,作業用タブ1!$D$95:$F$120,2,FALSE),IF($D$1="LIFE+（キャンペーン）",VLOOKUP(C19,作業用タブ1!$D$126:$F$151,2,FALSE),IF($D$1="LIFE（キャンペーン）",VLOOKUP(C19,作業用タブ1!$D$157:$F$182,2,FALSE)))))))</f>
        <v>STYLE BOOKに掲載の商品は、告知無しで変更になる場合があります。
※各メーカーの商品改定および更新が定期的に行われるため、
契約締結時に交付されたSTYLE BOOKの記載価格・内容が適用されます。</v>
      </c>
      <c r="E19" s="808"/>
      <c r="F19" s="809" t="str">
        <f>IF($D$1="LACIE",VLOOKUP(C19,作業用タブ1!$D$2:$F$27,3,FALSE),IF($D$1="LIFE+",VLOOKUP(C19,作業用タブ1!$D$33:$F$58,3,FALSE),IF($D$1="LIFE",VLOOKUP(C19,作業用タブ1!$D$64:$F$89,3,FALSE),IF($D$1="BASE",VLOOKUP(C19,作業用タブ1!$D$95:$F$120,3,FALSE),IF($D$1="LIFE+（キャンペーン）",VLOOKUP(C19,作業用タブ1!$D$126:$F$151,3,FALSE),IF($D$1="LIFE（キャンペーン）",VLOOKUP(C19,作業用タブ1!$D$157:$F$182,3,FALSE)))))))</f>
        <v>打ち合わせ中に選定商品が廃番になることもありますのでご注意ください。
SNS等へのデータのUPはご遠慮ください。</v>
      </c>
      <c r="G19" s="810"/>
    </row>
    <row r="20" ht="35.1" customHeight="1" spans="1:7" x14ac:dyDescent="0.25">
      <c r="A20" s="804" t="s">
        <v>1637</v>
      </c>
      <c r="B20" s="805">
        <v>18</v>
      </c>
      <c r="C20" s="811" t="s">
        <v>1652</v>
      </c>
      <c r="D20" s="807" t="str">
        <f>IF($D$1="LACIE",VLOOKUP(C20,作業用タブ1!$D$2:$F$27,2,FALSE),IF($D$1="LIFE+",VLOOKUP(C20,作業用タブ1!$D$33:$F$58,2,FALSE),IF($D$1="LIFE",VLOOKUP(C20,作業用タブ1!$D$64:$F$89,2,FALSE),IF($D$1="BASE",VLOOKUP(C20,作業用タブ1!$D$95:$F$120,2,FALSE),IF($D$1="LIFE+（キャンペーン）",VLOOKUP(C20,作業用タブ1!$D$126:$F$151,2,FALSE),IF($D$1="LIFE（キャンペーン）",VLOOKUP(C20,作業用タブ1!$D$157:$F$182,2,FALSE)))))))</f>
        <v>標準仕様の一部をやめることによる減額(＝マイナスオプション)は対応不可です。</v>
      </c>
      <c r="E20" s="808"/>
      <c r="F20" s="809" t="str">
        <f>IF($D$1="LACIE",VLOOKUP(C20,作業用タブ1!$D$2:$F$27,3,FALSE),IF($D$1="LIFE+",VLOOKUP(C20,作業用タブ1!$D$33:$F$58,3,FALSE),IF($D$1="LIFE",VLOOKUP(C20,作業用タブ1!$D$64:$F$89,3,FALSE),IF($D$1="BASE",VLOOKUP(C20,作業用タブ1!$D$95:$F$120,3,FALSE),IF($D$1="LIFE+（キャンペーン）",VLOOKUP(C20,作業用タブ1!$D$126:$F$151,3,FALSE),IF($D$1="LIFE（キャンペーン）",VLOOKUP(C20,作業用タブ1!$D$157:$F$182,3,FALSE)))))))</f>
        <v> </v>
      </c>
      <c r="G20" s="810"/>
    </row>
    <row r="21" ht="35.1" customHeight="1" spans="1:7" x14ac:dyDescent="0.25">
      <c r="A21" s="804" t="s">
        <v>1637</v>
      </c>
      <c r="B21" s="805">
        <v>19</v>
      </c>
      <c r="C21" s="811" t="s">
        <v>1653</v>
      </c>
      <c r="D21" s="807" t="str">
        <f>IF($D$1="LACIE",VLOOKUP(C21,作業用タブ1!$D$2:$F$27,2,FALSE),IF($D$1="LIFE+",VLOOKUP(C21,作業用タブ1!$D$33:$F$58,2,FALSE),IF($D$1="LIFE",VLOOKUP(C21,作業用タブ1!$D$64:$F$89,2,FALSE),IF($D$1="BASE",VLOOKUP(C21,作業用タブ1!$D$95:$F$120,2,FALSE),IF($D$1="LIFE+（キャンペーン）",VLOOKUP(C21,作業用タブ1!$D$126:$F$151,2,FALSE),IF($D$1="LIFE（キャンペーン）",VLOOKUP(C21,作業用タブ1!$D$157:$F$182,2,FALSE)))))))</f>
        <v>地鎮祭および上棟式は省略しています。</v>
      </c>
      <c r="E21" s="808"/>
      <c r="F21" s="809" t="str">
        <f>IF($D$1="LACIE",VLOOKUP(C21,作業用タブ1!$D$2:$F$27,3,FALSE),IF($D$1="LIFE+",VLOOKUP(C21,作業用タブ1!$D$33:$F$58,3,FALSE),IF($D$1="LIFE",VLOOKUP(C21,作業用タブ1!$D$64:$F$89,3,FALSE),IF($D$1="BASE",VLOOKUP(C21,作業用タブ1!$D$95:$F$120,3,FALSE),IF($D$1="LIFE+（キャンペーン）",VLOOKUP(C21,作業用タブ1!$D$126:$F$151,3,FALSE),IF($D$1="LIFE（キャンペーン）",VLOOKUP(C21,作業用タブ1!$D$157:$F$182,3,FALSE)))))))</f>
        <v>ご希望の方は鎮め物や上棟札を着工の2週間前までに担当者にお預けください。</v>
      </c>
      <c r="G21" s="810"/>
    </row>
    <row r="22" ht="35.1" customHeight="1" spans="1:7" x14ac:dyDescent="0.25">
      <c r="A22" s="804" t="s">
        <v>1637</v>
      </c>
      <c r="B22" s="805">
        <v>20</v>
      </c>
      <c r="C22" s="811" t="s">
        <v>1654</v>
      </c>
      <c r="D22" s="807" t="str">
        <f>IF($D$1="LACIE",VLOOKUP(C22,作業用タブ1!$D$2:$F$27,2,FALSE),IF($D$1="LIFE+",VLOOKUP(C22,作業用タブ1!$D$33:$F$58,2,FALSE),IF($D$1="LIFE",VLOOKUP(C22,作業用タブ1!$D$64:$F$89,2,FALSE),IF($D$1="BASE",VLOOKUP(C22,作業用タブ1!$D$95:$F$120,2,FALSE),IF($D$1="LIFE+（キャンペーン）",VLOOKUP(C22,作業用タブ1!$D$126:$F$151,2,FALSE),IF($D$1="LIFE（キャンペーン）",VLOOKUP(C22,作業用タブ1!$D$157:$F$182,2,FALSE)))))))</f>
        <v>施工については協力会社に委託する場合があります(協力会社は当社指定の一定の施工技術の基準を超えた会社)。</v>
      </c>
      <c r="E22" s="808"/>
      <c r="F22" s="809" t="str">
        <f>IF($D$1="LACIE",VLOOKUP(C22,作業用タブ1!$D$2:$F$27,3,FALSE),IF($D$1="LIFE+",VLOOKUP(C22,作業用タブ1!$D$33:$F$58,3,FALSE),IF($D$1="LIFE",VLOOKUP(C22,作業用タブ1!$D$64:$F$89,3,FALSE),IF($D$1="BASE",VLOOKUP(C22,作業用タブ1!$D$95:$F$120,3,FALSE),IF($D$1="LIFE+（キャンペーン）",VLOOKUP(C22,作業用タブ1!$D$126:$F$151,3,FALSE),IF($D$1="LIFE（キャンペーン）",VLOOKUP(C22,作業用タブ1!$D$157:$F$182,3,FALSE)))))))</f>
        <v> </v>
      </c>
      <c r="G22" s="810"/>
    </row>
    <row r="23" ht="35.1" customHeight="1" spans="1:7" x14ac:dyDescent="0.25">
      <c r="A23" s="804" t="s">
        <v>1637</v>
      </c>
      <c r="B23" s="805">
        <v>21</v>
      </c>
      <c r="C23" s="811" t="s">
        <v>1655</v>
      </c>
      <c r="D23" s="807" t="str">
        <f>IF($D$1="LACIE",VLOOKUP(C23,作業用タブ1!$D$2:$F$27,2,FALSE),IF($D$1="LIFE+",VLOOKUP(C23,作業用タブ1!$D$33:$F$58,2,FALSE),IF($D$1="LIFE",VLOOKUP(C23,作業用タブ1!$D$64:$F$89,2,FALSE),IF($D$1="BASE",VLOOKUP(C23,作業用タブ1!$D$95:$F$120,2,FALSE),IF($D$1="LIFE+（キャンペーン）",VLOOKUP(C23,作業用タブ1!$D$126:$F$151,2,FALSE),IF($D$1="LIFE（キャンペーン）",VLOOKUP(C23,作業用タブ1!$D$157:$F$182,2,FALSE)))))))</f>
        <v>広告媒体（紙面・WEB・SNSなど）への利用を目的とした撮影依頼をする場合がございます。ご協力お願いいたします。</v>
      </c>
      <c r="E23" s="808"/>
      <c r="F23" s="809" t="str">
        <f>IF($D$1="LACIE",VLOOKUP(C23,作業用タブ1!$D$2:$F$27,3,FALSE),IF($D$1="LIFE+",VLOOKUP(C23,作業用タブ1!$D$33:$F$58,3,FALSE),IF($D$1="LIFE",VLOOKUP(C23,作業用タブ1!$D$64:$F$89,3,FALSE),IF($D$1="BASE",VLOOKUP(C23,作業用タブ1!$D$95:$F$120,3,FALSE),IF($D$1="LIFE+（キャンペーン）",VLOOKUP(C23,作業用タブ1!$D$126:$F$151,3,FALSE),IF($D$1="LIFE（キャンペーン）",VLOOKUP(C23,作業用タブ1!$D$157:$F$182,3,FALSE)))))))</f>
        <v> </v>
      </c>
      <c r="G23" s="810"/>
    </row>
    <row r="24" ht="60.4" customHeight="1" spans="1:7" x14ac:dyDescent="0.25">
      <c r="A24" s="804" t="s">
        <v>1637</v>
      </c>
      <c r="B24" s="805">
        <v>22</v>
      </c>
      <c r="C24" s="811" t="s">
        <v>1656</v>
      </c>
      <c r="D24" s="807" t="str">
        <f>IF($D$1="LACIE",VLOOKUP(C24,作業用タブ1!$D$2:$F$27,2,FALSE),IF($D$1="LIFE+",VLOOKUP(C24,作業用タブ1!$D$33:$F$58,2,FALSE),IF($D$1="LIFE",VLOOKUP(C24,作業用タブ1!$D$64:$F$89,2,FALSE),IF($D$1="BASE",VLOOKUP(C24,作業用タブ1!$D$95:$F$120,2,FALSE),IF($D$1="LIFE+（キャンペーン）",VLOOKUP(C24,作業用タブ1!$D$126:$F$151,2,FALSE),IF($D$1="LIFE（キャンペーン）",VLOOKUP(C24,作業用タブ1!$D$157:$F$182,2,FALSE)))))))</f>
        <v>建物の残代金の全額お支払いを確認後、鍵をお渡しします。
外構工事の完成に関わらず、お支払いをお願いいたします。</v>
      </c>
      <c r="E24" s="808"/>
      <c r="F24" s="809" t="str">
        <f>IF($D$1="LACIE",VLOOKUP(C24,作業用タブ1!$D$2:$F$27,3,FALSE),IF($D$1="LIFE+",VLOOKUP(C24,作業用タブ1!$D$33:$F$58,3,FALSE),IF($D$1="LIFE",VLOOKUP(C24,作業用タブ1!$D$64:$F$89,3,FALSE),IF($D$1="BASE",VLOOKUP(C24,作業用タブ1!$D$95:$F$120,3,FALSE),IF($D$1="LIFE+（キャンペーン）",VLOOKUP(C24,作業用タブ1!$D$126:$F$151,3,FALSE),IF($D$1="LIFE（キャンペーン）",VLOOKUP(C24,作業用タブ1!$D$157:$F$182,3,FALSE)))))))</f>
        <v>外構工事をGハウス外構事業部GRAN GARDENにてご契約の方は、引渡し前に着工する場合がございます。GRAN GARDEN以外の業者様による外構工事については、責任の所在が不明確となる可能性があるため、建物のお引渡し後の着工とさせていただきます。</v>
      </c>
      <c r="G24" s="810"/>
    </row>
    <row r="25" ht="35.1" customHeight="1" spans="1:7" x14ac:dyDescent="0.25">
      <c r="A25" s="804" t="s">
        <v>1637</v>
      </c>
      <c r="B25" s="805">
        <v>23</v>
      </c>
      <c r="C25" s="811" t="s">
        <v>1657</v>
      </c>
      <c r="D25" s="807" t="str">
        <f>IF($D$1="LACIE",VLOOKUP(C25,作業用タブ1!$D$2:$F$27,2,FALSE),IF($D$1="LIFE+",VLOOKUP(C25,作業用タブ1!$D$33:$F$58,2,FALSE),IF($D$1="LIFE",VLOOKUP(C25,作業用タブ1!$D$64:$F$89,2,FALSE),IF($D$1="BASE",VLOOKUP(C25,作業用タブ1!$D$95:$F$120,2,FALSE),IF($D$1="LIFE+（キャンペーン）",VLOOKUP(C25,作業用タブ1!$D$126:$F$151,2,FALSE),IF($D$1="LIFE（キャンペーン）",VLOOKUP(C25,作業用タブ1!$D$157:$F$182,2,FALSE)))))))</f>
        <v>お引越しにあたり、階段手摺の取り外しおよび設置が必要となる場合は別途25,000円(税別)発生します。</v>
      </c>
      <c r="E25" s="808"/>
      <c r="F25" s="809" t="str">
        <f>IF($D$1="LACIE",VLOOKUP(C25,作業用タブ1!$D$2:$F$27,3,FALSE),IF($D$1="LIFE+",VLOOKUP(C25,作業用タブ1!$D$33:$F$58,3,FALSE),IF($D$1="LIFE",VLOOKUP(C25,作業用タブ1!$D$64:$F$89,3,FALSE),IF($D$1="BASE",VLOOKUP(C25,作業用タブ1!$D$95:$F$120,3,FALSE),IF($D$1="LIFE+（キャンペーン）",VLOOKUP(C25,作業用タブ1!$D$126:$F$151,3,FALSE),IF($D$1="LIFE（キャンペーン）",VLOOKUP(C25,作業用タブ1!$D$157:$F$182,3,FALSE)))))))</f>
        <v>お引越しに伴い必要となる工事は別途費用が発生します。</v>
      </c>
      <c r="G25" s="810"/>
    </row>
    <row r="26" ht="46.15" customHeight="1" spans="1:7" x14ac:dyDescent="0.25">
      <c r="A26" s="804" t="s">
        <v>1637</v>
      </c>
      <c r="B26" s="805">
        <v>24</v>
      </c>
      <c r="C26" s="811" t="s">
        <v>1658</v>
      </c>
      <c r="D26" s="807" t="str">
        <f>IF($D$1="LACIE",VLOOKUP(C26,作業用タブ1!$D$2:$F$27,2,FALSE),IF($D$1="LIFE+",VLOOKUP(C26,作業用タブ1!$D$33:$F$58,2,FALSE),IF($D$1="LIFE",VLOOKUP(C26,作業用タブ1!$D$64:$F$89,2,FALSE),IF($D$1="BASE",VLOOKUP(C26,作業用タブ1!$D$95:$F$120,2,FALSE),IF($D$1="LIFE+（キャンペーン）",VLOOKUP(C26,作業用タブ1!$D$126:$F$151,2,FALSE),IF($D$1="LIFE（キャンペーン）",VLOOKUP(C26,作業用タブ1!$D$157:$F$182,2,FALSE)))))))</f>
        <v>補助金の手続きはお施主様自身でお願いします。</v>
      </c>
      <c r="E26" s="808"/>
      <c r="F26" s="809" t="str">
        <f>IF($D$1="LACIE",VLOOKUP(C26,作業用タブ1!$D$2:$F$27,3,FALSE),IF($D$1="LIFE+",VLOOKUP(C26,作業用タブ1!$D$33:$F$58,3,FALSE),IF($D$1="LIFE",VLOOKUP(C26,作業用タブ1!$D$64:$F$89,3,FALSE),IF($D$1="BASE",VLOOKUP(C26,作業用タブ1!$D$95:$F$120,3,FALSE),IF($D$1="LIFE+（キャンペーン）",VLOOKUP(C26,作業用タブ1!$D$126:$F$151,3,FALSE),IF($D$1="LIFE（キャンペーン）",VLOOKUP(C26,作業用タブ1!$D$157:$F$182,3,FALSE)))))))</f>
        <v>※当社で代理申請する場合は別途費用が発生します。
　ZEH補助金はGハウスの行程では対応不可です。</v>
      </c>
      <c r="G26" s="810"/>
    </row>
    <row r="27" ht="54" customHeight="1" spans="1:7" x14ac:dyDescent="0.25">
      <c r="A27" s="804" t="s">
        <v>1637</v>
      </c>
      <c r="B27" s="805">
        <v>25</v>
      </c>
      <c r="C27" s="811" t="s">
        <v>1659</v>
      </c>
      <c r="D27" s="807" t="str">
        <f>IF($D$1="LACIE",VLOOKUP(C27,作業用タブ1!$D$2:$F$27,2,FALSE),IF($D$1="LIFE+",VLOOKUP(C27,作業用タブ1!$D$33:$F$58,2,FALSE),IF($D$1="LIFE",VLOOKUP(C27,作業用タブ1!$D$64:$F$89,2,FALSE),IF($D$1="BASE",VLOOKUP(C27,作業用タブ1!$D$95:$F$120,2,FALSE),IF($D$1="LIFE+（キャンペーン）",VLOOKUP(C27,作業用タブ1!$D$126:$F$151,2,FALSE),IF($D$1="LIFE（キャンペーン）",VLOOKUP(C27,作業用タブ1!$D$157:$F$182,2,FALSE)))))))</f>
        <v>間違い防止のため、設計･コーディネーター担当へのご要望･ご質問等、ご相談内容をLINEやメールにてお伝えいただくことをお断りしております。打ち合わせの際にまとめて担当者にご相談いただくようにご協力お願いします。</v>
      </c>
      <c r="E27" s="808"/>
      <c r="F27" s="809" t="str">
        <f>IF($D$1="LACIE",VLOOKUP(C27,作業用タブ1!$D$2:$F$27,3,FALSE),IF($D$1="LIFE+",VLOOKUP(C27,作業用タブ1!$D$33:$F$58,3,FALSE),IF($D$1="LIFE",VLOOKUP(C27,作業用タブ1!$D$64:$F$89,3,FALSE),IF($D$1="BASE",VLOOKUP(C27,作業用タブ1!$D$95:$F$120,3,FALSE),IF($D$1="LIFE+（キャンペーン）",VLOOKUP(C27,作業用タブ1!$D$126:$F$151,3,FALSE),IF($D$1="LIFE（キャンペーン）",VLOOKUP(C27,作業用タブ1!$D$157:$F$182,3,FALSE)))))))</f>
        <v> </v>
      </c>
      <c r="G27" s="810"/>
    </row>
    <row r="28" ht="15" customHeight="1" spans="1:7" x14ac:dyDescent="0.25">
      <c r="A28" s="813"/>
      <c r="B28" s="813"/>
      <c r="C28" s="677"/>
      <c r="D28" s="677"/>
      <c r="E28" s="677"/>
      <c r="F28" s="677"/>
      <c r="G28" s="677"/>
    </row>
    <row r="29" ht="26.1" customHeight="1" spans="1:7" x14ac:dyDescent="0.25">
      <c r="A29" s="813"/>
      <c r="B29" s="813"/>
      <c r="C29" s="677"/>
      <c r="D29" s="81"/>
      <c r="E29" s="814" t="s">
        <v>1540</v>
      </c>
      <c r="F29" s="815">
        <f>初期入力!B5</f>
        <v>0</v>
      </c>
      <c r="G29" s="816"/>
    </row>
    <row r="30" ht="30.6" customHeight="1" spans="1:7" x14ac:dyDescent="0.25">
      <c r="A30" s="813"/>
      <c r="B30" s="813"/>
      <c r="C30" s="677"/>
      <c r="D30" s="677"/>
      <c r="E30" s="817"/>
      <c r="F30" s="818"/>
      <c r="G30" s="819"/>
    </row>
    <row r="31" ht="26.25" customHeight="1" spans="1:7" x14ac:dyDescent="0.25">
      <c r="A31" s="813"/>
      <c r="B31" s="813"/>
      <c r="C31" s="677"/>
      <c r="D31" s="677"/>
      <c r="E31" s="820" t="s">
        <v>198</v>
      </c>
      <c r="F31" s="821">
        <f>初期入力!B4</f>
        <v>0</v>
      </c>
      <c r="G31" s="816" t="s">
        <v>222</v>
      </c>
    </row>
    <row r="32" ht="15" customHeight="1" spans="1:7" x14ac:dyDescent="0.25">
      <c r="A32" s="813"/>
      <c r="B32" s="813"/>
      <c r="C32" s="677"/>
      <c r="D32" s="677"/>
      <c r="E32" s="814"/>
      <c r="F32" s="679"/>
      <c r="G32" s="816"/>
    </row>
    <row r="33" ht="26.25" customHeight="1" spans="1:7" x14ac:dyDescent="0.25">
      <c r="A33" s="813"/>
      <c r="B33" s="813"/>
      <c r="C33" s="677"/>
      <c r="D33" s="677"/>
      <c r="E33" s="814" t="s">
        <v>1540</v>
      </c>
      <c r="F33" s="822">
        <f>IF(初期入力!B7="","",初期入力!B7)</f>
      </c>
      <c r="G33" s="816"/>
    </row>
    <row r="34" ht="30.6" customHeight="1" spans="1:7" x14ac:dyDescent="0.25">
      <c r="A34" s="813"/>
      <c r="B34" s="813"/>
      <c r="C34" s="677"/>
      <c r="D34" s="677"/>
      <c r="E34" s="817"/>
      <c r="F34" s="823"/>
      <c r="G34" s="667"/>
    </row>
    <row r="35" ht="27" customHeight="1" spans="1:26" x14ac:dyDescent="0.25">
      <c r="A35" s="813"/>
      <c r="B35" s="813"/>
      <c r="C35" s="677"/>
      <c r="D35" s="677"/>
      <c r="E35" s="820" t="s">
        <v>198</v>
      </c>
      <c r="F35" s="821">
        <f>IF(初期入力!B6="","",初期入力!B6)</f>
      </c>
      <c r="G35" s="816" t="s">
        <v>222</v>
      </c>
      <c r="I35" s="81"/>
      <c r="J35" s="81"/>
      <c r="K35" s="81"/>
      <c r="L35" s="81"/>
      <c r="M35" s="81"/>
      <c r="N35" s="81"/>
      <c r="O35" s="81"/>
      <c r="P35" s="81"/>
      <c r="Q35" s="81"/>
      <c r="R35" s="81"/>
      <c r="S35" s="81"/>
      <c r="T35" s="81"/>
      <c r="U35" s="81"/>
      <c r="V35" s="81"/>
      <c r="W35" s="81"/>
      <c r="X35" s="81"/>
      <c r="Y35" s="81"/>
      <c r="Z35" s="81"/>
    </row>
  </sheetData>
  <mergeCells count="52">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s>
  <pageMargins left="0.4330708661417323" right="0.2362204724409449" top="0.5511811023622047" bottom="0.15748031496062992" header="0.31496062992125984" footer="0.31496062992125984"/>
  <pageSetup paperSize="9" orientation="portrait" horizontalDpi="4294967295" verticalDpi="4294967295" scale="54" fitToWidth="1" fitToHeight="1" firstPageNumber="1" useFirstPageNumber="1" copies="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1"/>
  <sheetViews>
    <sheetView workbookViewId="0" zoomScale="70" zoomScaleNormal="100" view="pageBreakPreview">
      <selection activeCell="D4" sqref="D4"/>
    </sheetView>
  </sheetViews>
  <sheetFormatPr defaultRowHeight="15" outlineLevelRow="0" outlineLevelCol="0" x14ac:dyDescent="0" defaultColWidth="14.42578125"/>
  <cols>
    <col min="1" max="1" width="3.42578125" style="677" customWidth="1"/>
    <col min="2" max="2" width="4.28515625" style="677" customWidth="1"/>
    <col min="3" max="3" width="16.28515625" style="677" customWidth="1"/>
    <col min="4" max="4" width="60.28515625" style="864" customWidth="1"/>
    <col min="5" max="5" width="21.7109375" style="864" customWidth="1"/>
    <col min="6" max="6" width="56.7109375" style="864" customWidth="1"/>
    <col min="7" max="7" width="7.7109375" style="864" customWidth="1"/>
    <col min="8" max="9" width="3.42578125" style="677" customWidth="1"/>
    <col min="10" max="16384" width="14.42578125" style="677" customWidth="1"/>
  </cols>
  <sheetData>
    <row r="1" ht="27" customHeight="1" spans="1:9" x14ac:dyDescent="0.25">
      <c r="A1" s="865"/>
      <c r="B1" s="866"/>
      <c r="C1" s="867"/>
      <c r="D1" s="868" t="s">
        <v>1728</v>
      </c>
      <c r="E1" s="869" t="s">
        <v>1634</v>
      </c>
      <c r="F1" s="868"/>
      <c r="G1" s="870"/>
      <c r="I1" s="790" t="s">
        <v>1635</v>
      </c>
    </row>
    <row r="2" ht="19.5" customHeight="1" spans="1:7" x14ac:dyDescent="0.25">
      <c r="A2" s="871"/>
      <c r="B2" s="872"/>
      <c r="C2" s="873" t="s">
        <v>1597</v>
      </c>
      <c r="D2" s="873" t="s">
        <v>1636</v>
      </c>
      <c r="E2" s="814"/>
      <c r="F2" s="785" t="s">
        <v>948</v>
      </c>
      <c r="G2" s="874"/>
    </row>
    <row r="3" ht="32.65" customHeight="1" spans="1:7" x14ac:dyDescent="0.25">
      <c r="A3" s="875" t="s">
        <v>1637</v>
      </c>
      <c r="B3" s="876">
        <v>1</v>
      </c>
      <c r="C3" s="877" t="str">
        <f>IF($D$1="HOURS",作業用タブ2!D34,作業用タブ2!D3)</f>
        <v>間取り</v>
      </c>
      <c r="D3" s="802" t="str">
        <f>IF($D$1="LIFE　LIMITED(キャンペーン)",VLOOKUP(C3,作業用タブ2!$D$2:$F$29,2,FALSE),IF($D$1="HOURS",VLOOKUP(C3,作業用タブ2!$D$33:$F$61,2,FALSE),IF($D$1="LIFE+　LIMITED(キャンペーン)",VLOOKUP(C3,作業用タブ2!$D$2:$F$29,2,FALSE))))</f>
        <v>完全自由設計 ※4マス×910mm間隔に柱または壁の設置が必要です。</v>
      </c>
      <c r="E3" s="878"/>
      <c r="F3" s="879" t="str">
        <f>IF($D$1="LIFE　LIMITED(キャンペーン)",VLOOKUP(C3,作業用タブ2!$D$2:$F$29,3,FALSE),IF($D$1="HOURS",VLOOKUP(C3,作業用タブ2!$D$33:$F$61,3,FALSE),IF($D$1="LIFE+　LIMITED(キャンペーン)",VLOOKUP(C3,作業用タブ2!$D$2:$F$29,3,FALSE))))</f>
        <v>申請業務に進んでいくため、基本設計確定後の変更は出来ません。</v>
      </c>
      <c r="G3" s="880"/>
    </row>
    <row r="4" ht="74.25" customHeight="1" spans="1:7" x14ac:dyDescent="0.25">
      <c r="A4" s="881" t="s">
        <v>1637</v>
      </c>
      <c r="B4" s="882">
        <v>2</v>
      </c>
      <c r="C4" s="805" t="str">
        <f>IF($D$1="HOURS",作業用タブ2!D35,作業用タブ2!D4)</f>
        <v>坪単価</v>
      </c>
      <c r="D4" s="809" t="str">
        <f>IF($D$1="LIFE　LIMITED(キャンペーン)",VLOOKUP(C4,作業用タブ2!$D$2:$F$29,2,FALSE),IF($D$1="HOURS",VLOOKUP(C4,作業用タブ2!$D$33:$F$61,2,FALSE),IF($D$1="LIFE+　LIMITED(キャンペーン)",VLOOKUP(C4,作業用タブ2!$D$2:$F$29,2,FALSE))))</f>
        <v>本体工事価格は63万円(税別)
30坪未満の場合割増計算となり、1坪下がる度に15,000円×坪数＝追加費用が発生します。
3階建ての場合は坪単価＋40,000円UP
下屋の場合は下屋部分㎡×30,000円UP</v>
      </c>
      <c r="E4" s="883"/>
      <c r="F4" s="884" t="str">
        <f>IF($D$1="LIFE　LIMITED(キャンペーン)",VLOOKUP(C4,作業用タブ2!$D$2:$F$29,3,FALSE),IF($D$1="HOURS",VLOOKUP(C4,作業用タブ2!$D$33:$F$61,3,FALSE),IF($D$1="LIFE+　LIMITED(キャンペーン)",VLOOKUP(C4,作業用タブ2!$D$2:$F$29,3,FALSE))))</f>
        <v>例)28坪の場合、30坪に対して2坪下がる
　30,000円×28坪＝840,000円UP</v>
      </c>
      <c r="G4" s="885"/>
    </row>
    <row r="5" ht="128.1" customHeight="1" spans="1:7" x14ac:dyDescent="0.25">
      <c r="A5" s="804" t="s">
        <v>1637</v>
      </c>
      <c r="B5" s="805">
        <v>3</v>
      </c>
      <c r="C5" s="806" t="s">
        <v>72</v>
      </c>
      <c r="D5" s="809" t="str">
        <f>IF($D$1="LIFE　LIMITED(キャンペーン)",VLOOKUP(C5,作業用タブ2!$D$2:$F$29,2,FALSE),IF($D$1="HOURS",VLOOKUP(C5,作業用タブ2!$D$33:$F$61,2,FALSE),IF($D$1="LIFE+　LIMITED(キャンペーン)",VLOOKUP(C5,作業用タブ2!$D$2:$F$29,2,FALSE))))</f>
        <v>建物価格は「施工面積 × 坪単価」にて算出します。
施工面積は、延床面積に加え、外壁に三方を囲まれたビルトインガレージ、半ビルトインガレージを含み、当社基準により算出します。
また、以下の工事は、施工面積に含まれていない場合でも、別途費用が加算されます。
　① 軒の出・オーバーハング工事　：42,000円／㎡（税別）
　② 下屋工事　　　　　　　　　　：30,000円／㎡（税別）
　③ バルコニー工事・吹抜工事　　：60,000円／㎡（税別）
※対象となる面積は、設計図書に基づき当社が算出します。</v>
      </c>
      <c r="E5" s="883"/>
      <c r="F5" s="884" t="str">
        <f>IF($D$1="LIFE　LIMITED(キャンペーン)",VLOOKUP(C5,作業用タブ2!$D$2:$F$29,3,FALSE),IF($D$1="HOURS",VLOOKUP(C5,作業用タブ2!$D$33:$F$61,3,FALSE),IF($D$1="LIFE+　LIMITED(キャンペーン)",VLOOKUP(C5,作業用タブ2!$D$2:$F$29,3,FALSE))))</f>
        <v>左記内容の対象となる面積については別紙1の参考写真をご確認下さい。</v>
      </c>
      <c r="G5" s="885"/>
    </row>
    <row r="6" ht="32.65" customHeight="1" spans="1:7" x14ac:dyDescent="0.25">
      <c r="A6" s="881" t="s">
        <v>1637</v>
      </c>
      <c r="B6" s="805">
        <v>4</v>
      </c>
      <c r="C6" s="805" t="str">
        <f>IF($D$1="HOURS",作業用タブ2!D37,作業用タブ2!D5)</f>
        <v>住宅ローン</v>
      </c>
      <c r="D6" s="809" t="str">
        <f>IF($D$1="LIFE　LIMITED(キャンペーン)",VLOOKUP(C6,作業用タブ2!$D$2:$F$29,2,FALSE),IF($D$1="HOURS",VLOOKUP(C6,作業用タブ2!$D$33:$F$61,2,FALSE),IF($D$1="LIFE+　LIMITED(キャンペーン)",VLOOKUP(C6,作業用タブ2!$D$2:$F$29,2,FALSE))))</f>
        <v>住宅ローンの手続きはお施主様自身でお願いします。
当社でしかご用意ができない書類や図面等はお渡しします。</v>
      </c>
      <c r="E6" s="883"/>
      <c r="F6" s="884" t="str">
        <f>IF($D$1="LIFE　LIMITED(キャンペーン)",VLOOKUP(C6,作業用タブ2!$D$2:$F$29,3,FALSE),IF($D$1="HOURS",VLOOKUP(C6,作業用タブ2!$D$33:$F$61,3,FALSE),IF($D$1="LIFE+　LIMITED(キャンペーン)",VLOOKUP(C6,作業用タブ2!$D$2:$F$29,3,FALSE))))</f>
        <v>※事前審査も同様</v>
      </c>
      <c r="G6" s="885"/>
    </row>
    <row r="7" ht="47.65" customHeight="1" spans="1:7" x14ac:dyDescent="0.25">
      <c r="A7" s="881" t="s">
        <v>1637</v>
      </c>
      <c r="B7" s="805">
        <v>5</v>
      </c>
      <c r="C7" s="805" t="str">
        <f>IF($D$1="HOURS",作業用タブ2!D38,作業用タブ2!D6)</f>
        <v>打ち合わせ
期間</v>
      </c>
      <c r="D7" s="809" t="str">
        <f>IF($D$1="LIFE　LIMITED(キャンペーン)",VLOOKUP(C7,作業用タブ2!$D$2:$F$29,2,FALSE),IF($D$1="HOURS",VLOOKUP(C7,作業用タブ2!$D$33:$F$61,2,FALSE),IF($D$1="LIFE+　LIMITED(キャンペーン)",VLOOKUP(C7,作業用タブ2!$D$2:$F$29,2,FALSE))))</f>
        <v>最大3ヵ月間　(回数：6回)</v>
      </c>
      <c r="E7" s="883"/>
      <c r="F7" s="884" t="str">
        <f>IF($D$1="LIFE　LIMITED(キャンペーン)",VLOOKUP(C7,作業用タブ2!$D$2:$F$29,3,FALSE),IF($D$1="HOURS",VLOOKUP(C7,作業用タブ2!$D$33:$F$61,3,FALSE),IF($D$1="LIFE+　LIMITED(キャンペーン)",VLOOKUP(C7,作業用タブ2!$D$2:$F$29,3,FALSE))))</f>
        <v>打ち合わせ回数6回以下で下記の特典があります。
6回：★10万円相当
5回：★★20万円相当　　 ※初回ヒアリングは除く</v>
      </c>
      <c r="G7" s="885"/>
    </row>
    <row r="8" ht="32.65" customHeight="1" spans="1:7" x14ac:dyDescent="0.25">
      <c r="A8" s="881" t="s">
        <v>1637</v>
      </c>
      <c r="B8" s="805">
        <v>6</v>
      </c>
      <c r="C8" s="805" t="str">
        <f>IF($D$1="HOURS",作業用タブ2!D39,作業用タブ2!D7)</f>
        <v>仕様</v>
      </c>
      <c r="D8" s="809" t="str">
        <f>IF($D$1="LIFE　LIMITED(キャンペーン)",VLOOKUP(C8,作業用タブ2!$D$2:$F$29,2,FALSE),IF($D$1="HOURS",VLOOKUP(C8,作業用タブ2!$D$33:$F$61,2,FALSE),IF($D$1="LIFE+　LIMITED(キャンペーン)",VLOOKUP(C8,作業用タブ2!$D$2:$F$29,2,FALSE))))</f>
        <v>セミオーダー制
当社の設計士がこだわり抜いた【 STYLE BOOK 】からのみ選択できます。</v>
      </c>
      <c r="E8" s="883"/>
      <c r="F8" s="884" t="str">
        <f>IF($D$1="LIFE　LIMITED(キャンペーン)",VLOOKUP(C8,作業用タブ2!$D$2:$F$29,3,FALSE),IF($D$1="HOURS",VLOOKUP(C8,作業用タブ2!$D$33:$F$61,3,FALSE),IF($D$1="LIFE+　LIMITED(キャンペーン)",VLOOKUP(C8,作業用タブ2!$D$2:$F$29,3,FALSE))))</f>
        <v> </v>
      </c>
      <c r="G8" s="885"/>
    </row>
    <row r="9" ht="48.6" customHeight="1" spans="1:7" x14ac:dyDescent="0.25">
      <c r="A9" s="881" t="s">
        <v>1637</v>
      </c>
      <c r="B9" s="805">
        <v>7</v>
      </c>
      <c r="C9" s="805" t="str">
        <f>IF($D$1="HOURS",作業用タブ2!D40,作業用タブ2!D8)</f>
        <v>長期優良住宅</v>
      </c>
      <c r="D9" s="809" t="str">
        <f>IF($D$1="LIFE　LIMITED(キャンペーン)",VLOOKUP(C9,作業用タブ2!$D$2:$F$29,2,FALSE),IF($D$1="HOURS",VLOOKUP(C9,作業用タブ2!$D$33:$F$61,2,FALSE),IF($D$1="LIFE+　LIMITED(キャンペーン)",VLOOKUP(C9,作業用タブ2!$D$2:$F$29,2,FALSE))))</f>
        <v>認定基準として、少なくとも1の階の床面積(階段部分を除く)が40㎡以上かつ床面積の合計75㎡必要です。
また、都市計画法第53条許可の対象となる地域では認定対象外です。</v>
      </c>
      <c r="E9" s="883"/>
      <c r="F9" s="884" t="str">
        <f>IF($D$1="LIFE　LIMITED(キャンペーン)",VLOOKUP(C9,作業用タブ2!$D$2:$F$29,3,FALSE),IF($D$1="HOURS",VLOOKUP(C9,作業用タブ2!$D$33:$F$61,3,FALSE),IF($D$1="LIFE+　LIMITED(キャンペーン)",VLOOKUP(C9,作業用タブ2!$D$2:$F$29,3,FALSE))))</f>
        <v>詳細は設計打ち合わせにてご確認ください。</v>
      </c>
      <c r="G9" s="885"/>
    </row>
    <row r="10" ht="32.65" customHeight="1" spans="1:7" x14ac:dyDescent="0.25">
      <c r="A10" s="881" t="s">
        <v>1637</v>
      </c>
      <c r="B10" s="805">
        <v>8</v>
      </c>
      <c r="C10" s="805" t="str">
        <f>IF($D$1="HOURS",作業用タブ2!D41,作業用タブ2!D9)</f>
        <v>Ua値</v>
      </c>
      <c r="D10" s="809" t="str">
        <f>IF($D$1="LIFE　LIMITED(キャンペーン)",VLOOKUP(C10,作業用タブ2!$D$2:$F$29,2,FALSE),IF($D$1="HOURS",VLOOKUP(C10,作業用タブ2!$D$33:$F$61,2,FALSE),IF($D$1="LIFE+　LIMITED(キャンペーン)",VLOOKUP(C10,作業用タブ2!$D$2:$F$29,2,FALSE))))</f>
        <v>0.46W/㎡･Kを目安としております。但し、間取りや窓の個数･種類によって数値が変わり、0.46W/㎡･Kを確保できない場合があります。</v>
      </c>
      <c r="E10" s="883"/>
      <c r="F10" s="884" t="str">
        <f>IF($D$1="LIFE　LIMITED(キャンペーン)",VLOOKUP(C10,作業用タブ2!$D$2:$F$29,3,FALSE),IF($D$1="HOURS",VLOOKUP(C10,作業用タブ2!$D$33:$F$61,3,FALSE),IF($D$1="LIFE+　LIMITED(キャンペーン)",VLOOKUP(C10,作業用タブ2!$D$2:$F$29,3,FALSE))))</f>
        <v> </v>
      </c>
      <c r="G10" s="885"/>
    </row>
    <row r="11" ht="48.6" customHeight="1" spans="1:7" x14ac:dyDescent="0.25">
      <c r="A11" s="881" t="s">
        <v>1637</v>
      </c>
      <c r="B11" s="805">
        <v>9</v>
      </c>
      <c r="C11" s="805" t="str">
        <f>IF($D$1="HOURS",作業用タブ2!D42,作業用タブ2!D10)</f>
        <v>窓　</v>
      </c>
      <c r="D11" s="809" t="str">
        <f>IF($D$1="LIFE　LIMITED(キャンペーン)",VLOOKUP(C11,作業用タブ2!$D$2:$F$29,2,FALSE),IF($D$1="HOURS",VLOOKUP(C11,作業用タブ2!$D$33:$F$61,2,FALSE),IF($D$1="LIFE+　LIMITED(キャンペーン)",VLOOKUP(C11,作業用タブ2!$D$2:$F$29,2,FALSE))))</f>
        <v>施工面積が35坪未満12ヵ所、35～40坪13ヵ所、40～45坪14ヵ所、45～50坪15ヵ所、50坪以上16ヵ所までが標準個数です。
※既製品のみ選定可能とし特注品の選択不可。</v>
      </c>
      <c r="E11" s="883"/>
      <c r="F11" s="884" t="str">
        <f>IF($D$1="LIFE　LIMITED(キャンペーン)",VLOOKUP(C11,作業用タブ2!$D$2:$F$29,3,FALSE),IF($D$1="HOURS",VLOOKUP(C11,作業用タブ2!$D$33:$F$61,3,FALSE),IF($D$1="LIFE+　LIMITED(キャンペーン)",VLOOKUP(C11,作業用タブ2!$D$2:$F$29,3,FALSE))))</f>
        <v>掃き出し窓(手動シャッター付)H2200は2ヵ所まで
</v>
      </c>
      <c r="G11" s="885"/>
    </row>
    <row r="12" ht="48.6" customHeight="1" spans="1:7" x14ac:dyDescent="0.25">
      <c r="A12" s="881" t="s">
        <v>1637</v>
      </c>
      <c r="B12" s="805">
        <v>10</v>
      </c>
      <c r="C12" s="805" t="str">
        <f>IF($D$1="HOURS",作業用タブ2!D43,作業用タブ2!D11)</f>
        <v>建具</v>
      </c>
      <c r="D12" s="809" t="str">
        <f>IF($D$1="LIFE　LIMITED(キャンペーン)",VLOOKUP(C12,作業用タブ2!$D$2:$F$29,2,FALSE),IF($D$1="HOURS",VLOOKUP(C12,作業用タブ2!$D$33:$F$61,2,FALSE),IF($D$1="LIFE+　LIMITED(キャンペーン)",VLOOKUP(C12,作業用タブ2!$D$2:$F$29,2,FALSE))))</f>
        <v>開き扉H2400㎜標準(各居室・トイレ・脱衣室・ランドリーそれぞれ1ヵ所ずつ)　
※片引き戸2ヵ所まで標準</v>
      </c>
      <c r="E12" s="883"/>
      <c r="F12" s="884" t="str">
        <f>IF($D$1="LIFE　LIMITED(キャンペーン)",VLOOKUP(C12,作業用タブ2!$D$2:$F$29,3,FALSE),IF($D$1="HOURS",VLOOKUP(C12,作業用タブ2!$D$33:$F$61,3,FALSE),IF($D$1="LIFE+　LIMITED(キャンペーン)",VLOOKUP(C12,作業用タブ2!$D$2:$F$29,3,FALSE))))</f>
        <v>引き戸3枚目以上及び収納扉等、リビング・書斎・洗面室・ファミリーCL・その他の部屋はオプションです。</v>
      </c>
      <c r="G12" s="885"/>
    </row>
    <row r="13" ht="32.65" customHeight="1" spans="1:7" x14ac:dyDescent="0.25">
      <c r="A13" s="881" t="s">
        <v>1637</v>
      </c>
      <c r="B13" s="805">
        <v>11</v>
      </c>
      <c r="C13" s="886" t="s">
        <v>1645</v>
      </c>
      <c r="D13" s="809" t="str">
        <f>IF($D$1="LIFE　LIMITED(キャンペーン)",VLOOKUP(C13,作業用タブ2!$D$2:$F$29,2,FALSE),IF($D$1="HOURS",VLOOKUP(C13,作業用タブ2!$D$33:$F$61,2,FALSE),IF($D$1="LIFE+　LIMITED(キャンペーン)",VLOOKUP(C13,作業用タブ2!$D$2:$F$29,2,FALSE))))</f>
        <v>無垢床材を使用した場合、伸縮、床鳴り、及び経年劣化による変色が発生
する場合があります。</v>
      </c>
      <c r="E13" s="883"/>
      <c r="F13" s="887">
        <f>IF($D$1="LIFE　LIMITED(キャンペーン)",VLOOKUP(C13,作業用タブ2!$D$2:$F$29,3,FALSE),IF($D$1="HOURS",VLOOKUP(C13,作業用タブ2!$D$33:$F$61,3,FALSE),IF($D$1="LIFE+　LIMITED(キャンペーン)",VLOOKUP(C13,作業用タブ2!$D$2:$F$29,3,FALSE))))</f>
        <v>0</v>
      </c>
      <c r="G13" s="888"/>
    </row>
    <row r="14" ht="35.1" customHeight="1" spans="1:7" x14ac:dyDescent="0.25">
      <c r="A14" s="881" t="s">
        <v>1637</v>
      </c>
      <c r="B14" s="805">
        <v>12</v>
      </c>
      <c r="C14" s="889" t="s">
        <v>1646</v>
      </c>
      <c r="D14" s="809" t="str">
        <f>IF($D$1="LIFE　LIMITED(キャンペーン)",VLOOKUP(C14,作業用タブ2!$D$2:$F$29,2,FALSE),IF($D$1="HOURS",VLOOKUP(C14,作業用タブ2!$D$33:$F$61,2,FALSE),IF($D$1="LIFE+　LIMITED(キャンペーン)",VLOOKUP(C14,作業用タブ2!$D$2:$F$29,2,FALSE))))</f>
        <v>換気システムは全熱交換型第一種換気システム(Panasonic)が標準です。</v>
      </c>
      <c r="E14" s="883"/>
      <c r="F14" s="884" t="str">
        <f>IF($D$1="LIFE　LIMITED(キャンペーン)",VLOOKUP(C14,作業用タブ2!$D$2:$F$29,3,FALSE),IF($D$1="HOURS",VLOOKUP(C14,作業用タブ2!$D$33:$F$61,3,FALSE),IF($D$1="LIFE+　LIMITED(キャンペーン)",VLOOKUP(C14,作業用タブ2!$D$2:$F$29,3,FALSE))))</f>
        <v>DSDD換気システム(okatomi)はオプションとなり、請負契約までに確定が必要です。請負契約後は変更できません。</v>
      </c>
      <c r="G14" s="885"/>
    </row>
    <row r="15" ht="48.6" customHeight="1" spans="1:7" x14ac:dyDescent="0.25">
      <c r="A15" s="881" t="s">
        <v>1637</v>
      </c>
      <c r="B15" s="805">
        <v>13</v>
      </c>
      <c r="C15" s="805" t="str">
        <f>IF($D$1="HOURS",作業用タブ2!D46,作業用タブ2!D17)</f>
        <v>ユニットバス</v>
      </c>
      <c r="D15" s="809" t="str">
        <f>IF($D$1="LIFE　LIMITED(キャンペーン)",VLOOKUP(C15,作業用タブ2!$D$2:$F$29,2,FALSE),IF($D$1="HOURS",VLOOKUP(C15,作業用タブ2!$D$33:$F$61,2,FALSE),IF($D$1="LIFE+　LIMITED(キャンペーン)",VLOOKUP(C15,作業用タブ2!$D$2:$F$29,2,FALSE))))</f>
        <v>天井有り</v>
      </c>
      <c r="E15" s="883"/>
      <c r="F15" s="884" t="str">
        <f>IF($D$1="LIFE　LIMITED(キャンペーン)",VLOOKUP(C15,作業用タブ2!$D$2:$F$29,3,FALSE),IF($D$1="HOURS",VLOOKUP(C15,作業用タブ2!$D$33:$F$61,3,FALSE),IF($D$1="LIFE+　LIMITED(キャンペーン)",VLOOKUP(C15,作業用タブ2!$D$2:$F$29,3,FALSE))))</f>
        <v>天井無しの施工はDSDD換気システムをオプションで採用される場合のみ対応可能です。ご選択いただけるメーカーが限られますのでご注意ください。</v>
      </c>
      <c r="G15" s="885"/>
    </row>
    <row r="16" ht="32.65" customHeight="1" spans="1:7" x14ac:dyDescent="0.25">
      <c r="A16" s="881" t="s">
        <v>1637</v>
      </c>
      <c r="B16" s="805">
        <v>14</v>
      </c>
      <c r="C16" s="805" t="str">
        <f>IF($D$1="HOURS",作業用タブ2!D47,作業用タブ2!D13)</f>
        <v>エコキュート
タンク</v>
      </c>
      <c r="D16" s="809" t="str">
        <f>IF($D$1="LIFE　LIMITED(キャンペーン)",VLOOKUP(C16,作業用タブ2!$D$2:$F$29,2,FALSE),IF($D$1="HOURS",VLOOKUP(C16,作業用タブ2!$D$33:$F$61,2,FALSE),IF($D$1="LIFE+　LIMITED(キャンペーン)",VLOOKUP(C16,作業用タブ2!$D$2:$F$29,2,FALSE))))</f>
        <v>室外置き</v>
      </c>
      <c r="E16" s="883"/>
      <c r="F16" s="884" t="str">
        <f>IF($D$1="LIFE　LIMITED(キャンペーン)",VLOOKUP(C16,作業用タブ2!$D$2:$F$29,3,FALSE),IF($D$1="HOURS",VLOOKUP(C16,作業用タブ2!$D$33:$F$61,3,FALSE),IF($D$1="LIFE+　LIMITED(キャンペーン)",VLOOKUP(C16,作業用タブ2!$D$2:$F$29,3,FALSE))))</f>
        <v>室内置きはオプションです。</v>
      </c>
      <c r="G16" s="885"/>
    </row>
    <row r="17" ht="32.65" customHeight="1" spans="1:7" x14ac:dyDescent="0.25">
      <c r="A17" s="881" t="s">
        <v>1637</v>
      </c>
      <c r="B17" s="805">
        <v>15</v>
      </c>
      <c r="C17" s="805" t="str">
        <f>IF($D$1="HOURS",作業用タブ2!D48,作業用タブ2!D14)</f>
        <v>点検口</v>
      </c>
      <c r="D17" s="809" t="str">
        <f>IF($D$1="LIFE　LIMITED(キャンペーン)",VLOOKUP(C17,作業用タブ2!$D$2:$F$29,2,FALSE),IF($D$1="HOURS",VLOOKUP(C17,作業用タブ2!$D$33:$F$61,2,FALSE),IF($D$1="LIFE+　LIMITED(キャンペーン)",VLOOKUP(C17,作業用タブ2!$D$2:$F$29,2,FALSE))))</f>
        <v>換気システムや配管の定期点検および不具合が起きた場合に備えて1,2Fに必要な箇所に天井･床下点検口を3～4つ以上設置しています。</v>
      </c>
      <c r="E17" s="883"/>
      <c r="F17" s="884" t="str">
        <f>IF($D$1="LIFE　LIMITED(キャンペーン)",VLOOKUP(C17,作業用タブ2!$D$2:$F$29,3,FALSE),IF($D$1="HOURS",VLOOKUP(C17,作業用タブ2!$D$33:$F$61,3,FALSE),IF($D$1="LIFE+　LIMITED(キャンペーン)",VLOOKUP(C17,作業用タブ2!$D$2:$F$29,3,FALSE))))</f>
        <v>点検口の個数および位置については間取りプランにより変動します。</v>
      </c>
      <c r="G17" s="885"/>
    </row>
    <row r="18" ht="31.5" customHeight="1" spans="1:7" x14ac:dyDescent="0.25">
      <c r="A18" s="881" t="s">
        <v>1637</v>
      </c>
      <c r="B18" s="805">
        <v>16</v>
      </c>
      <c r="C18" s="890" t="s">
        <v>1648</v>
      </c>
      <c r="D18" s="809" t="str">
        <f>IF($D$1="LIFE　LIMITED(キャンペーン)",VLOOKUP(C18,作業用タブ2!$D$2:$F$29,2,FALSE),IF($D$1="HOURS",VLOOKUP(C18,作業用タブ2!$D$33:$F$61,2,FALSE),IF($D$1="LIFE+　LIMITED(キャンペーン)",VLOOKUP(C18,作業用タブ2!$D$2:$F$29,2,FALSE))))</f>
        <v>室外置き</v>
      </c>
      <c r="E18" s="883"/>
      <c r="F18" s="884" t="str">
        <f>IF($D$1="LIFE　LIMITED(キャンペーン)",VLOOKUP(C18,作業用タブ2!$D$2:$F$29,3,FALSE),IF($D$1="HOURS",VLOOKUP(C18,作業用タブ2!$D$33:$F$61,3,FALSE),IF($D$1="LIFE+　LIMITED(キャンペーン)",VLOOKUP(C18,作業用タブ2!$D$2:$F$29,3,FALSE))))</f>
        <v>室内置きはオプションです。</v>
      </c>
      <c r="G18" s="885"/>
    </row>
    <row r="19" ht="48.6" customHeight="1" spans="1:7" x14ac:dyDescent="0.25">
      <c r="A19" s="881" t="s">
        <v>1637</v>
      </c>
      <c r="B19" s="805">
        <v>17</v>
      </c>
      <c r="C19" s="805" t="str">
        <f>IF($D$1="HOURS",作業用タブ2!D50,作業用タブ2!D18)</f>
        <v>トラブル防止</v>
      </c>
      <c r="D19" s="809" t="str">
        <f>IF($D$1="LIFE　LIMITED(キャンペーン)",VLOOKUP(C19,作業用タブ2!$D$2:$F$29,2,FALSE),IF($D$1="HOURS",VLOOKUP(C19,作業用タブ2!$D$33:$F$61,2,FALSE),IF($D$1="LIFE+　LIMITED(キャンペーン)",VLOOKUP(C19,作業用タブ2!$D$2:$F$29,2,FALSE))))</f>
        <v>STYLE BOOKに掲載の商品は、告知無しで変更になる場合があります。
※各メーカーの商品改定及び更新が定期的に行われるため、
契約締結時に交付されたSTYLE BOOKの記載価格・内容が適用されます。</v>
      </c>
      <c r="E19" s="883"/>
      <c r="F19" s="884" t="str">
        <f>IF($D$1="LIFE　LIMITED(キャンペーン)",VLOOKUP(C19,作業用タブ2!$D$2:$F$29,3,FALSE),IF($D$1="HOURS",VLOOKUP(C19,作業用タブ2!$D$33:$F$61,3,FALSE),IF($D$1="LIFE+　LIMITED(キャンペーン)",VLOOKUP(C19,作業用タブ2!$D$2:$F$29,3,FALSE))))</f>
        <v>打ち合わせ中に選定商品が廃番になることもありますのでご注意ください。
SNS等へのデータのUPはご遠慮ください。</v>
      </c>
      <c r="G19" s="885"/>
    </row>
    <row r="20" ht="48" customHeight="1" spans="1:7" x14ac:dyDescent="0.25">
      <c r="A20" s="881" t="s">
        <v>1637</v>
      </c>
      <c r="B20" s="805">
        <v>18</v>
      </c>
      <c r="C20" s="805" t="str">
        <f>IF($D$1="HOURS",作業用タブ2!D51,作業用タブ2!D19)</f>
        <v>太陽光パネル</v>
      </c>
      <c r="D20" s="809" t="str">
        <f>IF($D$1="LIFE　LIMITED(キャンペーン)",VLOOKUP(C20,作業用タブ2!$D$2:$F$29,2,FALSE),IF($D$1="HOURS",VLOOKUP(C20,作業用タブ2!$D$33:$F$61,2,FALSE),IF($D$1="LIFE+　LIMITED(キャンペーン)",VLOOKUP(C20,作業用タブ2!$D$2:$F$29,2,FALSE))))</f>
        <v>当社指定の太陽光パネルが6.53Kw付属いたします。　
※6.53Kwに搭載出来ない場合でも減額(＝マイナスオプション)は対応不可です。</v>
      </c>
      <c r="E20" s="883"/>
      <c r="F20" s="884" t="str">
        <f>IF($D$1="LIFE　LIMITED(キャンペーン)",VLOOKUP(C20,作業用タブ2!$D$2:$F$29,3,FALSE),IF($D$1="HOURS",VLOOKUP(C20,作業用タブ2!$D$33:$F$61,3,FALSE),IF($D$1="LIFE+　LIMITED(キャンペーン)",VLOOKUP(C20,作業用タブ2!$D$2:$F$29,3,FALSE))))</f>
        <v> </v>
      </c>
      <c r="G20" s="885"/>
    </row>
    <row r="21" ht="48.6" customHeight="1" spans="1:7" x14ac:dyDescent="0.25">
      <c r="A21" s="881" t="s">
        <v>1637</v>
      </c>
      <c r="B21" s="805">
        <v>19</v>
      </c>
      <c r="C21" s="805" t="str">
        <f>IF($D$1="HOURS",作業用タブ2!D52,作業用タブ2!D20)</f>
        <v>照明器具</v>
      </c>
      <c r="D21" s="809" t="str">
        <f>IF($D$1="LIFE　LIMITED(キャンペーン)",VLOOKUP(C21,作業用タブ2!$D$2:$F$29,2,FALSE),IF($D$1="HOURS",VLOOKUP(C21,作業用タブ2!$D$33:$F$61,2,FALSE),IF($D$1="LIFE+　LIMITED(キャンペーン)",VLOOKUP(C21,作業用タブ2!$D$2:$F$29,2,FALSE))))</f>
        <v>照明器具が(税抜)30万円分付属いたします。　
※(税抜)30万円に到達しない場合でも減額(＝マイナスオプション)は対応不可です。</v>
      </c>
      <c r="E21" s="883"/>
      <c r="F21" s="884" t="str">
        <f>IF($D$1="LIFE　LIMITED(キャンペーン)",VLOOKUP(C21,作業用タブ2!$D$2:$F$29,3,FALSE),IF($D$1="HOURS",VLOOKUP(C21,作業用タブ2!$D$33:$F$61,3,FALSE),IF($D$1="LIFE+　LIMITED(キャンペーン)",VLOOKUP(C21,作業用タブ2!$D$2:$F$29,3,FALSE))))</f>
        <v> </v>
      </c>
      <c r="G21" s="885"/>
    </row>
    <row r="22" ht="48.6" customHeight="1" spans="1:7" x14ac:dyDescent="0.25">
      <c r="A22" s="881" t="s">
        <v>1637</v>
      </c>
      <c r="B22" s="805">
        <v>20</v>
      </c>
      <c r="C22" s="805" t="str">
        <f>IF($D$1="HOURS",作業用タブ2!D53,作業用タブ2!D21)</f>
        <v>家具・家電・
カーテン</v>
      </c>
      <c r="D22" s="809" t="str">
        <f>IF($D$1="LIFE　LIMITED(キャンペーン)",VLOOKUP(C22,作業用タブ2!$D$2:$F$29,2,FALSE),IF($D$1="HOURS",VLOOKUP(C22,作業用タブ2!$D$33:$F$61,2,FALSE),IF($D$1="LIFE+　LIMITED(キャンペーン)",VLOOKUP(C22,作業用タブ2!$D$2:$F$29,2,FALSE))))</f>
        <v>合計(税抜)100万円分プレゼントいたします。
※100万円に到達しない場合でも減額(＝マイナスオプション)は対応不可です。</v>
      </c>
      <c r="E22" s="883"/>
      <c r="F22" s="884" t="str">
        <f>IF($D$1="LIFE　LIMITED(キャンペーン)",VLOOKUP(C22,作業用タブ2!$D$2:$F$29,3,FALSE),IF($D$1="HOURS",VLOOKUP(C22,作業用タブ2!$D$33:$F$61,3,FALSE),IF($D$1="LIFE+　LIMITED(キャンペーン)",VLOOKUP(C22,作業用タブ2!$D$2:$F$29,3,FALSE))))</f>
        <v>当社で外構工事をご依頼いただけることが条件です。</v>
      </c>
      <c r="G22" s="885"/>
    </row>
    <row r="23" ht="32.65" customHeight="1" spans="1:7" x14ac:dyDescent="0.25">
      <c r="A23" s="881" t="s">
        <v>1637</v>
      </c>
      <c r="B23" s="805">
        <v>21</v>
      </c>
      <c r="C23" s="805" t="str">
        <f>IF($D$1="HOURS",作業用タブ2!D54,作業用タブ2!D22)</f>
        <v>オプション</v>
      </c>
      <c r="D23" s="809" t="str">
        <f>IF($D$1="LIFE　LIMITED(キャンペーン)",VLOOKUP(C23,作業用タブ2!$D$2:$F$29,2,FALSE),IF($D$1="HOURS",VLOOKUP(C23,作業用タブ2!$D$33:$F$61,2,FALSE),IF($D$1="LIFE+　LIMITED(キャンペーン)",VLOOKUP(C23,作業用タブ2!$D$2:$F$29,2,FALSE))))</f>
        <v>標準仕様の一部をやめることによる減額(＝マイナスオプション)は対応不可です。</v>
      </c>
      <c r="E23" s="883"/>
      <c r="F23" s="884" t="str">
        <f>IF($D$1="LIFE　LIMITED(キャンペーン)",VLOOKUP(C23,作業用タブ2!$D$2:$F$29,3,FALSE),IF($D$1="HOURS",VLOOKUP(C23,作業用タブ2!$D$33:$F$61,3,FALSE),IF($D$1="LIFE+　LIMITED(キャンペーン)",VLOOKUP(C23,作業用タブ2!$D$2:$F$29,3,FALSE))))</f>
        <v> </v>
      </c>
      <c r="G23" s="885"/>
    </row>
    <row r="24" ht="32.65" customHeight="1" spans="1:7" x14ac:dyDescent="0.25">
      <c r="A24" s="881" t="s">
        <v>1637</v>
      </c>
      <c r="B24" s="805">
        <v>22</v>
      </c>
      <c r="C24" s="805" t="str">
        <f>IF($D$1="HOURS",作業用タブ2!D55,作業用タブ2!D23)</f>
        <v>式典</v>
      </c>
      <c r="D24" s="809" t="str">
        <f>IF($D$1="LIFE　LIMITED(キャンペーン)",VLOOKUP(C24,作業用タブ2!$D$2:$F$29,2,FALSE),IF($D$1="HOURS",VLOOKUP(C24,作業用タブ2!$D$33:$F$61,2,FALSE),IF($D$1="LIFE+　LIMITED(キャンペーン)",VLOOKUP(C24,作業用タブ2!$D$2:$F$29,2,FALSE))))</f>
        <v>地鎮祭および上棟式は省略しています。</v>
      </c>
      <c r="E24" s="883"/>
      <c r="F24" s="884" t="str">
        <f>IF($D$1="LIFE　LIMITED(キャンペーン)",VLOOKUP(C24,作業用タブ2!$D$2:$F$29,3,FALSE),IF($D$1="HOURS",VLOOKUP(C24,作業用タブ2!$D$33:$F$61,3,FALSE),IF($D$1="LIFE+　LIMITED(キャンペーン)",VLOOKUP(C24,作業用タブ2!$D$2:$F$29,3,FALSE))))</f>
        <v>ご希望の方は鎮め物や上棟札を着工の2週間前までに担当者にお預けください。</v>
      </c>
      <c r="G24" s="885"/>
    </row>
    <row r="25" ht="32.65" customHeight="1" spans="1:7" x14ac:dyDescent="0.25">
      <c r="A25" s="881" t="s">
        <v>1637</v>
      </c>
      <c r="B25" s="805">
        <v>23</v>
      </c>
      <c r="C25" s="805" t="str">
        <f>IF($D$1="HOURS",作業用タブ2!D56,作業用タブ2!D24)</f>
        <v>施工会社</v>
      </c>
      <c r="D25" s="809" t="str">
        <f>IF($D$1="LIFE　LIMITED(キャンペーン)",VLOOKUP(C25,作業用タブ2!$D$2:$F$29,2,FALSE),IF($D$1="HOURS",VLOOKUP(C25,作業用タブ2!$D$33:$F$61,2,FALSE),IF($D$1="LIFE+　LIMITED(キャンペーン)",VLOOKUP(C25,作業用タブ2!$D$2:$F$29,2,FALSE))))</f>
        <v>施工については協力会社に委託する場合があります(協力会社は当社指定の一定の施工技術の基準を超えた会社)。</v>
      </c>
      <c r="E25" s="883"/>
      <c r="F25" s="884" t="str">
        <f>IF($D$1="LIFE　LIMITED(キャンペーン)",VLOOKUP(C25,作業用タブ2!$D$2:$F$29,3,FALSE),IF($D$1="HOURS",VLOOKUP(C25,作業用タブ2!$D$33:$F$61,3,FALSE),IF($D$1="LIFE+　LIMITED(キャンペーン)",VLOOKUP(C25,作業用タブ2!$D$2:$F$29,3,FALSE))))</f>
        <v> </v>
      </c>
      <c r="G25" s="885"/>
    </row>
    <row r="26" ht="32.65" customHeight="1" spans="1:7" x14ac:dyDescent="0.25">
      <c r="A26" s="891" t="s">
        <v>1637</v>
      </c>
      <c r="B26" s="805">
        <v>24</v>
      </c>
      <c r="C26" s="805" t="str">
        <f>IF($D$1="HOURS",作業用タブ2!D57,作業用タブ2!D25)</f>
        <v>撮影協力</v>
      </c>
      <c r="D26" s="809" t="str">
        <f>IF($D$1="LIFE　LIMITED(キャンペーン)",VLOOKUP(C26,作業用タブ2!$D$2:$F$29,2,FALSE),IF($D$1="HOURS",VLOOKUP(C26,作業用タブ2!$D$33:$F$61,2,FALSE),IF($D$1="LIFE+　LIMITED(キャンペーン)",VLOOKUP(C26,作業用タブ2!$D$2:$F$29,2,FALSE))))</f>
        <v>広告媒体（紙面・WEB・SNSなど）への利用を目的とした撮影依頼をする場合がございます。ご協力お願いいたします。</v>
      </c>
      <c r="E26" s="883"/>
      <c r="F26" s="884" t="str">
        <f>IF($D$1="LIFE　LIMITED(キャンペーン)",VLOOKUP(C26,作業用タブ2!$D$2:$F$29,3,FALSE),IF($D$1="HOURS",VLOOKUP(C26,作業用タブ2!$D$33:$F$61,3,FALSE),IF($D$1="LIFE+　LIMITED(キャンペーン)",VLOOKUP(C26,作業用タブ2!$D$2:$F$29,3,FALSE))))</f>
        <v> </v>
      </c>
      <c r="G26" s="885"/>
    </row>
    <row r="27" ht="75" customHeight="1" spans="1:7" x14ac:dyDescent="0.25">
      <c r="A27" s="891" t="s">
        <v>1637</v>
      </c>
      <c r="B27" s="805">
        <v>25</v>
      </c>
      <c r="C27" s="805" t="str">
        <f>IF($D$1="HOURS",作業用タブ2!D58,作業用タブ2!D26)</f>
        <v>お引渡し</v>
      </c>
      <c r="D27" s="809" t="str">
        <f>IF($D$1="LIFE　LIMITED(キャンペーン)",VLOOKUP(C27,作業用タブ2!$D$2:$F$29,2,FALSE),IF($D$1="HOURS",VLOOKUP(C27,作業用タブ2!$D$33:$F$61,2,FALSE),IF($D$1="LIFE+　LIMITED(キャンペーン)",VLOOKUP(C27,作業用タブ2!$D$2:$F$29,2,FALSE))))</f>
        <v>建物の残代金の全額お支払いを確認後、鍵をお渡しします。
外構工事の完成に関わらず、お支払いをお願いいたします。</v>
      </c>
      <c r="E27" s="883"/>
      <c r="F27" s="884" t="str">
        <f>IF($D$1="LIFE　LIMITED(キャンペーン)",VLOOKUP(C27,作業用タブ2!$D$2:$F$29,3,FALSE),IF($D$1="HOURS",VLOOKUP(C27,作業用タブ2!$D$33:$F$61,3,FALSE),IF($D$1="LIFE+　LIMITED(キャンペーン)",VLOOKUP(C27,作業用タブ2!$D$2:$F$29,3,FALSE))))</f>
        <v>外構工事をGハウス外構事業部GRAN GARDENにてご契約の方は、引渡し前に着工する場合がございます。GRAN GARDEN以外の業者様による外構工事については、責任の所在が不明確となる可能性があるため、建物のお引渡し後の着工とさせていただきます。</v>
      </c>
      <c r="G27" s="885"/>
    </row>
    <row r="28" ht="32.65" customHeight="1" spans="1:7" x14ac:dyDescent="0.25">
      <c r="A28" s="891" t="s">
        <v>1637</v>
      </c>
      <c r="B28" s="805">
        <v>26</v>
      </c>
      <c r="C28" s="805" t="str">
        <f>IF($D$1="HOURS",作業用タブ2!D59,作業用タブ2!D27)</f>
        <v>お引越し</v>
      </c>
      <c r="D28" s="809" t="str">
        <f>IF($D$1="LIFE　LIMITED(キャンペーン)",VLOOKUP(C28,作業用タブ2!$D$2:$F$29,2,FALSE),IF($D$1="HOURS",VLOOKUP(C28,作業用タブ2!$D$33:$F$61,2,FALSE),IF($D$1="LIFE+　LIMITED(キャンペーン)",VLOOKUP(C28,作業用タブ2!$D$2:$F$29,2,FALSE))))</f>
        <v>お引越しにあたり、階段手摺の取り外しおよび設置が必要となる場合は別途25,000円(税別)発生します。</v>
      </c>
      <c r="E28" s="883"/>
      <c r="F28" s="884" t="str">
        <f>IF($D$1="LIFE　LIMITED(キャンペーン)",VLOOKUP(C28,作業用タブ2!$D$2:$F$29,3,FALSE),IF($D$1="HOURS",VLOOKUP(C28,作業用タブ2!$D$33:$F$61,3,FALSE),IF($D$1="LIFE+　LIMITED(キャンペーン)",VLOOKUP(C28,作業用タブ2!$D$2:$F$29,3,FALSE))))</f>
        <v>お引越しに伴い必要となる工事は別途費用が発生します。</v>
      </c>
      <c r="G28" s="885"/>
    </row>
    <row r="29" ht="48.6" customHeight="1" spans="1:7" x14ac:dyDescent="0.25">
      <c r="A29" s="881" t="s">
        <v>1637</v>
      </c>
      <c r="B29" s="805">
        <v>27</v>
      </c>
      <c r="C29" s="805" t="str">
        <f>IF($D$1="HOURS",作業用タブ2!D60,作業用タブ2!D28)</f>
        <v>補助金</v>
      </c>
      <c r="D29" s="809" t="str">
        <f>IF($D$1="LIFE　LIMITED(キャンペーン)",VLOOKUP(C29,作業用タブ2!$D$2:$F$29,2,FALSE),IF($D$1="HOURS",VLOOKUP(C29,作業用タブ2!$D$33:$F$61,2,FALSE),IF($D$1="LIFE+　LIMITED(キャンペーン)",VLOOKUP(C29,作業用タブ2!$D$2:$F$29,2,FALSE))))</f>
        <v>補助金の手続きはお施主様自身でお願いします。</v>
      </c>
      <c r="E29" s="883"/>
      <c r="F29" s="884" t="str">
        <f>IF($D$1="LIFE　LIMITED(キャンペーン)",VLOOKUP(C29,作業用タブ2!$D$2:$F$29,3,FALSE),IF($D$1="HOURS",VLOOKUP(C29,作業用タブ2!$D$33:$F$61,3,FALSE),IF($D$1="LIFE+　LIMITED(キャンペーン)",VLOOKUP(C29,作業用タブ2!$D$2:$F$29,3,FALSE))))</f>
        <v>※当社で代理申請する場合は別途費用が発生します。
　ZEH補助金はGハウスの行程では対応不可です。</v>
      </c>
      <c r="G29" s="885"/>
    </row>
    <row r="30" ht="48.6" customHeight="1" spans="1:7" x14ac:dyDescent="0.25">
      <c r="A30" s="892" t="s">
        <v>1637</v>
      </c>
      <c r="B30" s="893">
        <v>28</v>
      </c>
      <c r="C30" s="894" t="str">
        <f>IF($D$1="HOURS",作業用タブ2!D61,作業用タブ2!D29)</f>
        <v>LINE・メール</v>
      </c>
      <c r="D30" s="895" t="str">
        <f>IF($D$1="LIFE　LIMITED(キャンペーン)",VLOOKUP(C30,作業用タブ2!$D$2:$F$29,2,FALSE),IF($D$1="HOURS",VLOOKUP(C30,作業用タブ2!$D$33:$F$61,2,FALSE),IF($D$1="LIFE+　LIMITED(キャンペーン)",VLOOKUP(C30,作業用タブ2!$D$2:$F$29,2,FALSE))))</f>
        <v>間違い防止のため、設計･コーディネーター担当へのご要望･ご質問等、ご相談内容をLINEやメールにてお伝えいただくことをお断りしております。打ち合わせの際にまとめて担当者にご相談いただくようにご協力お願いします。</v>
      </c>
      <c r="E30" s="896"/>
      <c r="F30" s="897" t="str">
        <f>IF($D$1="LIFE　LIMITED(キャンペーン)",VLOOKUP(C30,作業用タブ2!$D$2:$F$29,3,FALSE),IF($D$1="HOURS",VLOOKUP(C30,作業用タブ2!$D$33:$F$61,3,FALSE),IF($D$1="LIFE+　LIMITED(キャンペーン)",VLOOKUP(C30,作業用タブ2!$D$2:$F$29,3,FALSE))))</f>
        <v> </v>
      </c>
      <c r="G30" s="898"/>
    </row>
    <row r="31" ht="15" customHeight="1" spans="2:7" x14ac:dyDescent="0.25">
      <c r="B31" s="814"/>
      <c r="E31" s="795"/>
      <c r="F31" s="899"/>
      <c r="G31" s="899"/>
    </row>
    <row r="32" ht="22.5" customHeight="1" spans="2:19" x14ac:dyDescent="0.25">
      <c r="B32" s="814"/>
      <c r="E32" s="820" t="s">
        <v>1540</v>
      </c>
      <c r="F32" s="900">
        <f>初期入力!B5</f>
        <v>0</v>
      </c>
      <c r="G32" s="816"/>
      <c r="J32" s="822"/>
      <c r="K32" s="822"/>
      <c r="L32" s="822"/>
      <c r="M32" s="822"/>
      <c r="N32" s="822"/>
      <c r="O32" s="822"/>
      <c r="P32" s="822"/>
      <c r="Q32" s="822"/>
      <c r="R32" s="822"/>
      <c r="S32" s="822"/>
    </row>
    <row r="33" ht="30.6" customHeight="1" spans="2:6" x14ac:dyDescent="0.25">
      <c r="B33" s="814"/>
      <c r="E33" s="814"/>
      <c r="F33" s="822"/>
    </row>
    <row r="34" ht="22.5" customHeight="1" spans="2:7" x14ac:dyDescent="0.25">
      <c r="B34" s="814"/>
      <c r="E34" s="820" t="s">
        <v>198</v>
      </c>
      <c r="F34" s="821">
        <f>初期入力!B4</f>
        <v>0</v>
      </c>
      <c r="G34" s="816" t="s">
        <v>222</v>
      </c>
    </row>
    <row r="35" ht="15" customHeight="1" spans="2:7" x14ac:dyDescent="0.25">
      <c r="B35" s="814"/>
      <c r="E35" s="901"/>
      <c r="F35" s="679"/>
      <c r="G35" s="816"/>
    </row>
    <row r="36" ht="19.5" customHeight="1" spans="2:6" x14ac:dyDescent="0.25">
      <c r="B36" s="814"/>
      <c r="D36" s="677"/>
      <c r="E36" s="820" t="s">
        <v>1540</v>
      </c>
      <c r="F36" s="815">
        <f>IF(初期入力!B7="","",初期入力!B7)</f>
      </c>
    </row>
    <row r="37" ht="30.6" customHeight="1" spans="2:7" x14ac:dyDescent="0.25">
      <c r="B37" s="814"/>
      <c r="D37" s="677"/>
      <c r="E37" s="814"/>
      <c r="F37" s="670"/>
      <c r="G37" s="670"/>
    </row>
    <row r="38" ht="22.5" customHeight="1" spans="2:7" x14ac:dyDescent="0.25">
      <c r="B38" s="814"/>
      <c r="D38" s="677"/>
      <c r="E38" s="820" t="s">
        <v>198</v>
      </c>
      <c r="F38" s="821">
        <f>IF(初期入力!B6="","",初期入力!B6)</f>
      </c>
      <c r="G38" s="816" t="s">
        <v>222</v>
      </c>
    </row>
    <row r="39" ht="15" customHeight="1" spans="2:2" x14ac:dyDescent="0.25">
      <c r="B39" s="814"/>
    </row>
    <row r="40" ht="19.5" customHeight="1" spans="2:4" x14ac:dyDescent="0.25">
      <c r="B40" s="814"/>
      <c r="D40" s="677"/>
    </row>
    <row r="41" ht="19.5" customHeight="1" spans="2:4" x14ac:dyDescent="0.25">
      <c r="B41" s="814"/>
      <c r="D41" s="677"/>
    </row>
    <row r="42" ht="19.5" customHeight="1" spans="2:4" x14ac:dyDescent="0.25">
      <c r="B42" s="814"/>
      <c r="D42" s="677"/>
    </row>
    <row r="43" ht="19.5" customHeight="1" spans="2:4" x14ac:dyDescent="0.25">
      <c r="B43" s="814"/>
      <c r="D43" s="677"/>
    </row>
    <row r="44" ht="19.5" customHeight="1" spans="2:4" x14ac:dyDescent="0.25">
      <c r="B44" s="814"/>
      <c r="D44" s="677"/>
    </row>
    <row r="45" ht="19.5" customHeight="1" spans="2:4" x14ac:dyDescent="0.25">
      <c r="B45" s="814"/>
      <c r="D45" s="677"/>
    </row>
    <row r="46" ht="19.5" customHeight="1" spans="2:4" x14ac:dyDescent="0.25">
      <c r="B46" s="814"/>
      <c r="D46" s="677"/>
    </row>
    <row r="47" ht="19.5" customHeight="1" spans="2:4" x14ac:dyDescent="0.25">
      <c r="B47" s="814"/>
      <c r="D47" s="677"/>
    </row>
    <row r="48" ht="19.5" customHeight="1" spans="4:4" x14ac:dyDescent="0.25">
      <c r="D48" s="677"/>
    </row>
    <row r="49" ht="19.5" customHeight="1" spans="4:4" x14ac:dyDescent="0.25">
      <c r="D49" s="677"/>
    </row>
    <row r="50" ht="19.5" customHeight="1" spans="4:4" x14ac:dyDescent="0.25">
      <c r="D50" s="677"/>
    </row>
    <row r="51" ht="19.5" customHeight="1" spans="4:4" x14ac:dyDescent="0.25">
      <c r="D51" s="677"/>
    </row>
    <row r="52" ht="19.5" customHeight="1" spans="4:4" x14ac:dyDescent="0.25">
      <c r="D52" s="677"/>
    </row>
    <row r="53" ht="19.5" customHeight="1" spans="4:7" x14ac:dyDescent="0.25">
      <c r="D53" s="677"/>
      <c r="E53" s="677"/>
      <c r="F53" s="677"/>
      <c r="G53" s="677"/>
    </row>
    <row r="54" ht="19.5" customHeight="1" spans="4:7" x14ac:dyDescent="0.25">
      <c r="D54" s="677"/>
      <c r="E54" s="677"/>
      <c r="F54" s="677"/>
      <c r="G54" s="677"/>
    </row>
    <row r="55" ht="19.5" customHeight="1" spans="4:7" x14ac:dyDescent="0.25">
      <c r="D55" s="677"/>
      <c r="E55" s="677"/>
      <c r="F55" s="677"/>
      <c r="G55" s="677"/>
    </row>
    <row r="56" ht="19.5" customHeight="1" spans="4:7" x14ac:dyDescent="0.25">
      <c r="D56" s="677"/>
      <c r="E56" s="677"/>
      <c r="F56" s="677"/>
      <c r="G56" s="677"/>
    </row>
    <row r="57" ht="19.5" customHeight="1" spans="4:7" x14ac:dyDescent="0.25">
      <c r="D57" s="677"/>
      <c r="E57" s="677"/>
      <c r="F57" s="677"/>
      <c r="G57" s="677"/>
    </row>
    <row r="58" ht="19.5" customHeight="1" spans="4:7" x14ac:dyDescent="0.25">
      <c r="D58" s="677"/>
      <c r="E58" s="677"/>
      <c r="F58" s="677"/>
      <c r="G58" s="677"/>
    </row>
    <row r="59" ht="19.5" customHeight="1" spans="4:7" x14ac:dyDescent="0.25">
      <c r="D59" s="677"/>
      <c r="E59" s="677"/>
      <c r="F59" s="677"/>
      <c r="G59" s="677"/>
    </row>
    <row r="60" ht="19.5" customHeight="1" spans="4:7" x14ac:dyDescent="0.25">
      <c r="D60" s="677"/>
      <c r="E60" s="677"/>
      <c r="F60" s="677"/>
      <c r="G60" s="677"/>
    </row>
    <row r="61" ht="19.5" customHeight="1" spans="4:7" x14ac:dyDescent="0.25">
      <c r="D61" s="677"/>
      <c r="E61" s="677"/>
      <c r="F61" s="677"/>
      <c r="G61" s="677"/>
    </row>
    <row r="62" ht="19.5" customHeight="1" spans="4:7" x14ac:dyDescent="0.25">
      <c r="D62" s="677"/>
      <c r="E62" s="677"/>
      <c r="F62" s="677"/>
      <c r="G62" s="677"/>
    </row>
    <row r="63" ht="19.5" customHeight="1" spans="4:7" x14ac:dyDescent="0.25">
      <c r="D63" s="677"/>
      <c r="E63" s="677"/>
      <c r="F63" s="677"/>
      <c r="G63" s="677"/>
    </row>
    <row r="64" ht="19.5" customHeight="1" spans="4:7" x14ac:dyDescent="0.25">
      <c r="D64" s="677"/>
      <c r="E64" s="677"/>
      <c r="F64" s="677"/>
      <c r="G64" s="677"/>
    </row>
    <row r="65" ht="19.5" customHeight="1" s="677" customFormat="1" x14ac:dyDescent="0.25"/>
    <row r="66" ht="19.5" customHeight="1" s="677" customFormat="1" x14ac:dyDescent="0.25"/>
    <row r="67" ht="19.5" customHeight="1" s="677" customFormat="1" x14ac:dyDescent="0.25"/>
    <row r="68" ht="19.5" customHeight="1" s="677" customFormat="1" x14ac:dyDescent="0.25"/>
    <row r="69" ht="19.5" customHeight="1" s="677" customFormat="1" x14ac:dyDescent="0.25"/>
    <row r="70" ht="19.5" customHeight="1" s="677" customFormat="1" x14ac:dyDescent="0.25"/>
    <row r="71" ht="19.5" customHeight="1" s="677" customFormat="1" x14ac:dyDescent="0.25"/>
    <row r="72" ht="19.5" customHeight="1" s="677" customFormat="1" x14ac:dyDescent="0.25"/>
    <row r="73" ht="19.5" customHeight="1" s="677" customFormat="1" x14ac:dyDescent="0.25"/>
    <row r="74" ht="19.5" customHeight="1" s="677" customFormat="1" x14ac:dyDescent="0.25"/>
    <row r="75" ht="19.5" customHeight="1" s="677" customFormat="1" x14ac:dyDescent="0.25"/>
    <row r="76" ht="19.5" customHeight="1" s="677" customFormat="1" x14ac:dyDescent="0.25"/>
    <row r="77" ht="19.5" customHeight="1" s="677" customFormat="1" x14ac:dyDescent="0.25"/>
    <row r="78" ht="19.5" customHeight="1" s="677" customFormat="1" x14ac:dyDescent="0.25"/>
    <row r="79" ht="19.5" customHeight="1" s="677" customFormat="1" x14ac:dyDescent="0.25"/>
    <row r="80" ht="19.5" customHeight="1" s="677" customFormat="1" x14ac:dyDescent="0.25"/>
    <row r="81" ht="19.5" customHeight="1" s="677" customFormat="1" x14ac:dyDescent="0.25"/>
    <row r="82" ht="19.5" customHeight="1" s="677" customFormat="1" x14ac:dyDescent="0.25"/>
    <row r="83" ht="19.5" customHeight="1" s="677" customFormat="1" x14ac:dyDescent="0.25"/>
    <row r="84" ht="19.5" customHeight="1" s="677" customFormat="1" x14ac:dyDescent="0.25"/>
    <row r="85" ht="19.5" customHeight="1" s="677" customFormat="1" x14ac:dyDescent="0.25"/>
    <row r="86" ht="19.5" customHeight="1" s="677" customFormat="1" x14ac:dyDescent="0.25"/>
    <row r="87" ht="19.5" customHeight="1" s="677" customFormat="1" x14ac:dyDescent="0.25"/>
    <row r="88" ht="19.5" customHeight="1" s="677" customFormat="1" x14ac:dyDescent="0.25"/>
    <row r="89" ht="19.5" customHeight="1" s="677" customFormat="1" x14ac:dyDescent="0.25"/>
    <row r="90" ht="19.5" customHeight="1" s="677" customFormat="1" x14ac:dyDescent="0.25"/>
    <row r="91" ht="19.5" customHeight="1" s="677" customFormat="1" x14ac:dyDescent="0.25"/>
    <row r="92" ht="19.5" customHeight="1" s="677" customFormat="1" x14ac:dyDescent="0.25"/>
    <row r="93" ht="19.5" customHeight="1" s="677" customFormat="1" x14ac:dyDescent="0.25"/>
    <row r="94" ht="19.5" customHeight="1" s="677" customFormat="1" x14ac:dyDescent="0.25"/>
    <row r="95" ht="19.5" customHeight="1" s="677" customFormat="1" x14ac:dyDescent="0.25"/>
    <row r="96" ht="19.5" customHeight="1" s="677" customFormat="1" x14ac:dyDescent="0.25"/>
    <row r="97" ht="19.5" customHeight="1" s="677" customFormat="1" x14ac:dyDescent="0.25"/>
    <row r="98" ht="19.5" customHeight="1" s="677" customFormat="1" x14ac:dyDescent="0.25"/>
    <row r="99" ht="19.5" customHeight="1" s="677" customFormat="1" x14ac:dyDescent="0.25"/>
    <row r="100" ht="19.5" customHeight="1" s="677" customFormat="1" x14ac:dyDescent="0.25"/>
    <row r="101" ht="19.5" customHeight="1" s="677" customFormat="1" x14ac:dyDescent="0.25"/>
    <row r="102" ht="19.5" customHeight="1" s="677" customFormat="1" x14ac:dyDescent="0.25"/>
    <row r="103" ht="19.5" customHeight="1" s="677" customFormat="1" x14ac:dyDescent="0.25"/>
    <row r="104" ht="19.5" customHeight="1" s="677" customFormat="1" x14ac:dyDescent="0.25"/>
    <row r="105" ht="19.5" customHeight="1" s="677" customFormat="1" x14ac:dyDescent="0.25"/>
    <row r="106" ht="19.5" customHeight="1" s="677" customFormat="1" x14ac:dyDescent="0.25"/>
    <row r="107" ht="19.5" customHeight="1" s="677" customFormat="1" x14ac:dyDescent="0.25"/>
    <row r="108" ht="19.5" customHeight="1" s="677" customFormat="1" x14ac:dyDescent="0.25"/>
    <row r="109" ht="19.5" customHeight="1" s="677" customFormat="1" x14ac:dyDescent="0.25"/>
    <row r="110" ht="19.5" customHeight="1" s="677" customFormat="1" x14ac:dyDescent="0.25"/>
    <row r="111" ht="19.5" customHeight="1" s="677" customFormat="1" x14ac:dyDescent="0.25"/>
    <row r="112" ht="19.5" customHeight="1" s="677" customFormat="1" x14ac:dyDescent="0.25"/>
    <row r="113" ht="19.5" customHeight="1" s="677" customFormat="1" x14ac:dyDescent="0.25"/>
    <row r="114" ht="19.5" customHeight="1" s="677" customFormat="1" x14ac:dyDescent="0.25"/>
    <row r="115" ht="19.5" customHeight="1" s="677" customFormat="1" x14ac:dyDescent="0.25"/>
    <row r="116" ht="19.5" customHeight="1" s="677" customFormat="1" x14ac:dyDescent="0.25"/>
    <row r="117" ht="19.5" customHeight="1" s="677" customFormat="1" x14ac:dyDescent="0.25"/>
    <row r="118" ht="19.5" customHeight="1" s="677" customFormat="1" x14ac:dyDescent="0.25"/>
    <row r="119" ht="19.5" customHeight="1" s="677" customFormat="1" x14ac:dyDescent="0.25"/>
    <row r="120" ht="19.5" customHeight="1" s="677" customFormat="1" x14ac:dyDescent="0.25"/>
    <row r="121" ht="19.5" customHeight="1" s="677" customFormat="1" x14ac:dyDescent="0.25"/>
    <row r="122" ht="19.5" customHeight="1" s="677" customFormat="1" x14ac:dyDescent="0.25"/>
    <row r="123" ht="19.5" customHeight="1" s="677" customFormat="1" x14ac:dyDescent="0.25"/>
    <row r="124" ht="19.5" customHeight="1" s="677" customFormat="1" x14ac:dyDescent="0.25"/>
    <row r="125" ht="19.5" customHeight="1" s="677" customFormat="1" x14ac:dyDescent="0.25"/>
    <row r="126" ht="19.5" customHeight="1" s="677" customFormat="1" x14ac:dyDescent="0.25"/>
    <row r="127" ht="19.5" customHeight="1" s="677" customFormat="1" x14ac:dyDescent="0.25"/>
    <row r="128" ht="19.5" customHeight="1" s="677" customFormat="1" x14ac:dyDescent="0.25"/>
    <row r="129" ht="19.5" customHeight="1" s="677" customFormat="1" x14ac:dyDescent="0.25"/>
    <row r="130" ht="19.5" customHeight="1" s="677" customFormat="1" x14ac:dyDescent="0.25"/>
    <row r="131" ht="19.5" customHeight="1" s="677" customFormat="1" x14ac:dyDescent="0.25"/>
    <row r="132" ht="19.5" customHeight="1" s="677" customFormat="1" x14ac:dyDescent="0.25"/>
    <row r="133" ht="19.5" customHeight="1" s="677" customFormat="1" x14ac:dyDescent="0.25"/>
    <row r="134" ht="19.5" customHeight="1" s="677" customFormat="1" x14ac:dyDescent="0.25"/>
    <row r="135" ht="19.5" customHeight="1" s="677" customFormat="1" x14ac:dyDescent="0.25"/>
    <row r="136" ht="19.5" customHeight="1" s="677" customFormat="1" x14ac:dyDescent="0.25"/>
    <row r="137" ht="19.5" customHeight="1" s="677" customFormat="1" x14ac:dyDescent="0.25"/>
    <row r="138" ht="19.5" customHeight="1" s="677" customFormat="1" x14ac:dyDescent="0.25"/>
    <row r="139" ht="19.5" customHeight="1" s="677" customFormat="1" x14ac:dyDescent="0.25"/>
    <row r="140" ht="19.5" customHeight="1" s="677" customFormat="1" x14ac:dyDescent="0.25"/>
    <row r="141" ht="19.5" customHeight="1" s="677" customFormat="1" x14ac:dyDescent="0.25"/>
    <row r="142" ht="19.5" customHeight="1" s="677" customFormat="1" x14ac:dyDescent="0.25"/>
    <row r="143" ht="19.5" customHeight="1" s="677" customFormat="1" x14ac:dyDescent="0.25"/>
    <row r="144" ht="19.5" customHeight="1" s="677" customFormat="1" x14ac:dyDescent="0.25"/>
    <row r="145" ht="19.5" customHeight="1" s="677" customFormat="1" x14ac:dyDescent="0.25"/>
    <row r="146" ht="19.5" customHeight="1" s="677" customFormat="1" x14ac:dyDescent="0.25"/>
    <row r="147" ht="19.5" customHeight="1" s="677" customFormat="1" x14ac:dyDescent="0.25"/>
    <row r="148" ht="19.5" customHeight="1" s="677" customFormat="1" x14ac:dyDescent="0.25"/>
    <row r="149" ht="19.5" customHeight="1" s="677" customFormat="1" x14ac:dyDescent="0.25"/>
    <row r="150" ht="19.5" customHeight="1" s="677" customFormat="1" x14ac:dyDescent="0.25"/>
    <row r="151" ht="19.5" customHeight="1" s="677" customFormat="1" x14ac:dyDescent="0.25"/>
    <row r="152" ht="19.5" customHeight="1" s="677" customFormat="1" x14ac:dyDescent="0.25"/>
    <row r="153" ht="19.5" customHeight="1" s="677" customFormat="1" x14ac:dyDescent="0.25"/>
    <row r="154" ht="19.5" customHeight="1" s="677" customFormat="1" x14ac:dyDescent="0.25"/>
    <row r="155" ht="19.5" customHeight="1" s="677" customFormat="1" x14ac:dyDescent="0.25"/>
    <row r="156" ht="19.5" customHeight="1" s="677" customFormat="1" x14ac:dyDescent="0.25"/>
    <row r="157" ht="19.5" customHeight="1" s="677" customFormat="1" x14ac:dyDescent="0.25"/>
    <row r="158" ht="19.5" customHeight="1" s="677" customFormat="1" x14ac:dyDescent="0.25"/>
    <row r="159" ht="19.5" customHeight="1" s="677" customFormat="1" x14ac:dyDescent="0.25"/>
    <row r="160" ht="19.5" customHeight="1" s="677" customFormat="1" x14ac:dyDescent="0.25"/>
    <row r="161" ht="19.5" customHeight="1" s="677" customFormat="1" x14ac:dyDescent="0.25"/>
    <row r="162" ht="19.5" customHeight="1" s="677" customFormat="1" x14ac:dyDescent="0.25"/>
    <row r="163" ht="19.5" customHeight="1" s="677" customFormat="1" x14ac:dyDescent="0.25"/>
    <row r="164" ht="19.5" customHeight="1" s="677" customFormat="1" x14ac:dyDescent="0.25"/>
    <row r="165" ht="19.5" customHeight="1" s="677" customFormat="1" x14ac:dyDescent="0.25"/>
    <row r="166" ht="19.5" customHeight="1" s="677" customFormat="1" x14ac:dyDescent="0.25"/>
    <row r="167" ht="19.5" customHeight="1" s="677" customFormat="1" x14ac:dyDescent="0.25"/>
    <row r="168" ht="19.5" customHeight="1" s="677" customFormat="1" x14ac:dyDescent="0.25"/>
    <row r="169" ht="19.5" customHeight="1" s="677" customFormat="1" x14ac:dyDescent="0.25"/>
    <row r="170" ht="19.5" customHeight="1" s="677" customFormat="1" x14ac:dyDescent="0.25"/>
    <row r="171" ht="19.5" customHeight="1" s="677" customFormat="1" x14ac:dyDescent="0.25"/>
    <row r="172" ht="19.5" customHeight="1" s="677" customFormat="1" x14ac:dyDescent="0.25"/>
    <row r="173" ht="19.5" customHeight="1" s="677" customFormat="1" x14ac:dyDescent="0.25"/>
    <row r="174" ht="19.5" customHeight="1" s="677" customFormat="1" x14ac:dyDescent="0.25"/>
    <row r="175" ht="19.5" customHeight="1" s="677" customFormat="1" x14ac:dyDescent="0.25"/>
    <row r="176" ht="19.5" customHeight="1" s="677" customFormat="1" x14ac:dyDescent="0.25"/>
    <row r="177" ht="19.5" customHeight="1" s="677" customFormat="1" x14ac:dyDescent="0.25"/>
    <row r="178" ht="19.5" customHeight="1" s="677" customFormat="1" x14ac:dyDescent="0.25"/>
    <row r="179" ht="19.5" customHeight="1" s="677" customFormat="1" x14ac:dyDescent="0.25"/>
    <row r="180" ht="19.5" customHeight="1" s="677" customFormat="1" x14ac:dyDescent="0.25"/>
    <row r="181" ht="19.5" customHeight="1" s="677" customFormat="1" x14ac:dyDescent="0.25"/>
    <row r="182" ht="19.5" customHeight="1" s="677" customFormat="1" x14ac:dyDescent="0.25"/>
    <row r="183" ht="19.5" customHeight="1" s="677" customFormat="1" x14ac:dyDescent="0.25"/>
    <row r="184" ht="19.5" customHeight="1" s="677" customFormat="1" x14ac:dyDescent="0.25"/>
    <row r="185" ht="19.5" customHeight="1" s="677" customFormat="1" x14ac:dyDescent="0.25"/>
    <row r="186" ht="19.5" customHeight="1" s="677" customFormat="1" x14ac:dyDescent="0.25"/>
    <row r="187" ht="19.5" customHeight="1" s="677" customFormat="1" x14ac:dyDescent="0.25"/>
    <row r="188" ht="19.5" customHeight="1" s="677" customFormat="1" x14ac:dyDescent="0.25"/>
    <row r="189" ht="19.5" customHeight="1" s="677" customFormat="1" x14ac:dyDescent="0.25"/>
    <row r="190" ht="19.5" customHeight="1" s="677" customFormat="1" x14ac:dyDescent="0.25"/>
    <row r="191" ht="19.5" customHeight="1" s="677" customFormat="1" x14ac:dyDescent="0.25"/>
    <row r="192" ht="19.5" customHeight="1" s="677" customFormat="1" x14ac:dyDescent="0.25"/>
    <row r="193" ht="19.5" customHeight="1" s="677" customFormat="1" x14ac:dyDescent="0.25"/>
    <row r="194" ht="19.5" customHeight="1" s="677" customFormat="1" x14ac:dyDescent="0.25"/>
    <row r="195" ht="19.5" customHeight="1" s="677" customFormat="1" x14ac:dyDescent="0.25"/>
    <row r="196" ht="19.5" customHeight="1" s="677" customFormat="1" x14ac:dyDescent="0.25"/>
    <row r="197" ht="19.5" customHeight="1" s="677" customFormat="1" x14ac:dyDescent="0.25"/>
    <row r="198" ht="19.5" customHeight="1" s="677" customFormat="1" x14ac:dyDescent="0.25"/>
    <row r="199" ht="19.5" customHeight="1" s="677" customFormat="1" x14ac:dyDescent="0.25"/>
    <row r="200" ht="19.5" customHeight="1" s="677" customFormat="1" x14ac:dyDescent="0.25"/>
    <row r="201" ht="19.5" customHeight="1" s="677" customFormat="1" x14ac:dyDescent="0.25"/>
    <row r="202" ht="19.5" customHeight="1" s="677" customFormat="1" x14ac:dyDescent="0.25"/>
    <row r="203" ht="19.5" customHeight="1" s="677" customFormat="1" x14ac:dyDescent="0.25"/>
    <row r="204" ht="19.5" customHeight="1" s="677" customFormat="1" x14ac:dyDescent="0.25"/>
    <row r="205" ht="19.5" customHeight="1" s="677" customFormat="1" x14ac:dyDescent="0.25"/>
    <row r="206" ht="19.5" customHeight="1" s="677" customFormat="1" x14ac:dyDescent="0.25"/>
    <row r="207" ht="19.5" customHeight="1" s="677" customFormat="1" x14ac:dyDescent="0.25"/>
    <row r="208" ht="19.5" customHeight="1" s="677" customFormat="1" x14ac:dyDescent="0.25"/>
    <row r="209" ht="19.5" customHeight="1" s="677" customFormat="1" x14ac:dyDescent="0.25"/>
    <row r="210" ht="19.5" customHeight="1" s="677" customFormat="1" x14ac:dyDescent="0.25"/>
    <row r="211" ht="19.5" customHeight="1" s="677" customFormat="1" x14ac:dyDescent="0.25"/>
    <row r="212" ht="19.5" customHeight="1" s="677" customFormat="1" x14ac:dyDescent="0.25"/>
    <row r="213" ht="19.5" customHeight="1" s="677" customFormat="1" x14ac:dyDescent="0.25"/>
    <row r="214" ht="19.5" customHeight="1" s="677" customFormat="1" x14ac:dyDescent="0.25"/>
    <row r="215" ht="19.5" customHeight="1" s="677" customFormat="1" x14ac:dyDescent="0.25"/>
    <row r="216" ht="19.5" customHeight="1" s="677" customFormat="1" x14ac:dyDescent="0.25"/>
    <row r="217" ht="19.5" customHeight="1" s="677" customFormat="1" x14ac:dyDescent="0.25"/>
    <row r="218" ht="19.5" customHeight="1" s="677" customFormat="1" x14ac:dyDescent="0.25"/>
    <row r="219" ht="19.5" customHeight="1" s="677" customFormat="1" x14ac:dyDescent="0.25"/>
    <row r="220" ht="19.5" customHeight="1" s="677" customFormat="1" x14ac:dyDescent="0.25"/>
    <row r="221" ht="19.5" customHeight="1" s="677" customFormat="1" x14ac:dyDescent="0.25"/>
    <row r="222" ht="19.5" customHeight="1" s="677" customFormat="1" x14ac:dyDescent="0.25"/>
    <row r="223" ht="19.5" customHeight="1" s="677" customFormat="1" x14ac:dyDescent="0.25"/>
    <row r="224" ht="19.5" customHeight="1" s="677" customFormat="1" x14ac:dyDescent="0.25"/>
    <row r="225" ht="19.5" customHeight="1" s="677" customFormat="1" x14ac:dyDescent="0.25"/>
    <row r="226" ht="19.5" customHeight="1" s="677" customFormat="1" x14ac:dyDescent="0.25"/>
    <row r="227" ht="19.5" customHeight="1" s="677" customFormat="1" x14ac:dyDescent="0.25"/>
    <row r="228" ht="19.5" customHeight="1" s="677" customFormat="1" x14ac:dyDescent="0.25"/>
    <row r="229" ht="19.5" customHeight="1" s="677" customFormat="1" x14ac:dyDescent="0.25"/>
    <row r="230" ht="19.5" customHeight="1" s="677" customFormat="1" x14ac:dyDescent="0.25"/>
    <row r="231" ht="19.5" customHeight="1" s="677" customFormat="1" x14ac:dyDescent="0.25"/>
    <row r="232" ht="19.5" customHeight="1" s="677" customFormat="1" x14ac:dyDescent="0.25"/>
    <row r="233" ht="19.5" customHeight="1" s="677" customFormat="1" x14ac:dyDescent="0.25"/>
    <row r="234" ht="19.5" customHeight="1" s="677" customFormat="1" x14ac:dyDescent="0.25"/>
    <row r="235" ht="19.5" customHeight="1" s="677" customFormat="1" x14ac:dyDescent="0.25"/>
    <row r="236" ht="19.5" customHeight="1" s="677" customFormat="1" x14ac:dyDescent="0.25"/>
    <row r="237" ht="19.5" customHeight="1" s="677" customFormat="1" x14ac:dyDescent="0.25"/>
    <row r="238" ht="19.5" customHeight="1" s="677" customFormat="1" x14ac:dyDescent="0.25"/>
    <row r="239" ht="19.5" customHeight="1" s="677" customFormat="1" x14ac:dyDescent="0.25"/>
    <row r="240" ht="19.5" customHeight="1" s="677" customFormat="1" x14ac:dyDescent="0.25"/>
    <row r="241" ht="19.5" customHeight="1" s="677" customFormat="1" x14ac:dyDescent="0.25"/>
    <row r="242" ht="19.5" customHeight="1" s="677" customFormat="1" x14ac:dyDescent="0.25"/>
    <row r="243" ht="19.5" customHeight="1" s="677" customFormat="1" x14ac:dyDescent="0.25"/>
    <row r="244" ht="19.5" customHeight="1" s="677" customFormat="1" x14ac:dyDescent="0.25"/>
    <row r="245" ht="19.5" customHeight="1" s="677" customFormat="1" x14ac:dyDescent="0.25"/>
    <row r="246" ht="19.5" customHeight="1" s="677" customFormat="1" x14ac:dyDescent="0.25"/>
    <row r="247" ht="19.5" customHeight="1" s="677" customFormat="1" x14ac:dyDescent="0.25"/>
    <row r="248" ht="19.5" customHeight="1" s="677" customFormat="1" x14ac:dyDescent="0.25"/>
    <row r="249" ht="19.5" customHeight="1" s="677" customFormat="1" x14ac:dyDescent="0.25"/>
    <row r="250" ht="19.5" customHeight="1" s="677" customFormat="1" x14ac:dyDescent="0.25"/>
    <row r="251" ht="19.5" customHeight="1" s="677" customFormat="1" x14ac:dyDescent="0.25"/>
    <row r="252" ht="19.5" customHeight="1" s="677" customFormat="1" x14ac:dyDescent="0.25"/>
    <row r="253" ht="19.5" customHeight="1" s="677" customFormat="1" x14ac:dyDescent="0.25"/>
    <row r="254" ht="19.5" customHeight="1" s="677" customFormat="1" x14ac:dyDescent="0.25"/>
    <row r="255" ht="19.5" customHeight="1" s="677" customFormat="1" x14ac:dyDescent="0.25"/>
    <row r="256" ht="19.5" customHeight="1" s="677" customFormat="1" x14ac:dyDescent="0.25"/>
    <row r="257" ht="19.5" customHeight="1" s="677" customFormat="1" x14ac:dyDescent="0.25"/>
    <row r="258" ht="19.5" customHeight="1" s="677" customFormat="1" x14ac:dyDescent="0.25"/>
    <row r="259" ht="19.5" customHeight="1" s="677" customFormat="1" x14ac:dyDescent="0.25"/>
    <row r="260" ht="19.5" customHeight="1" s="677" customFormat="1" x14ac:dyDescent="0.25"/>
    <row r="261" ht="19.5" customHeight="1" s="677" customFormat="1" x14ac:dyDescent="0.25"/>
    <row r="262" ht="19.5" customHeight="1" s="677" customFormat="1" x14ac:dyDescent="0.25"/>
    <row r="263" ht="19.5" customHeight="1" s="677" customFormat="1" x14ac:dyDescent="0.25"/>
    <row r="264" ht="19.5" customHeight="1" s="677" customFormat="1" x14ac:dyDescent="0.25"/>
    <row r="265" ht="19.5" customHeight="1" s="677" customFormat="1" x14ac:dyDescent="0.25"/>
    <row r="266" ht="19.5" customHeight="1" s="677" customFormat="1" x14ac:dyDescent="0.25"/>
    <row r="267" ht="19.5" customHeight="1" s="677" customFormat="1" x14ac:dyDescent="0.25"/>
    <row r="268" ht="19.5" customHeight="1" s="677" customFormat="1" x14ac:dyDescent="0.25"/>
    <row r="269" ht="19.5" customHeight="1" s="677" customFormat="1" x14ac:dyDescent="0.25"/>
    <row r="270" ht="19.5" customHeight="1" s="677" customFormat="1" x14ac:dyDescent="0.25"/>
    <row r="271" ht="19.5" customHeight="1" s="677" customFormat="1" x14ac:dyDescent="0.25"/>
    <row r="272" ht="19.5" customHeight="1" s="677" customFormat="1" x14ac:dyDescent="0.25"/>
    <row r="273" ht="19.5" customHeight="1" s="677" customFormat="1" x14ac:dyDescent="0.25"/>
    <row r="274" ht="19.5" customHeight="1" s="677" customFormat="1" x14ac:dyDescent="0.25"/>
    <row r="275" ht="19.5" customHeight="1" s="677" customFormat="1" x14ac:dyDescent="0.25"/>
    <row r="276" ht="19.5" customHeight="1" s="677" customFormat="1" x14ac:dyDescent="0.25"/>
    <row r="277" ht="19.5" customHeight="1" s="677" customFormat="1" x14ac:dyDescent="0.25"/>
    <row r="278" ht="19.5" customHeight="1" s="677" customFormat="1" x14ac:dyDescent="0.25"/>
    <row r="279" ht="19.5" customHeight="1" s="677" customFormat="1" x14ac:dyDescent="0.25"/>
    <row r="280" ht="19.5" customHeight="1" s="677" customFormat="1" x14ac:dyDescent="0.25"/>
    <row r="281" ht="19.5" customHeight="1" s="677" customFormat="1" x14ac:dyDescent="0.25"/>
    <row r="282" ht="19.5" customHeight="1" s="677" customFormat="1" x14ac:dyDescent="0.25"/>
    <row r="283" ht="19.5" customHeight="1" s="677" customFormat="1" x14ac:dyDescent="0.25"/>
    <row r="284" ht="19.5" customHeight="1" s="677" customFormat="1" x14ac:dyDescent="0.25"/>
    <row r="285" ht="19.5" customHeight="1" s="677" customFormat="1" x14ac:dyDescent="0.25"/>
    <row r="286" ht="19.5" customHeight="1" s="677" customFormat="1" x14ac:dyDescent="0.25"/>
    <row r="287" ht="19.5" customHeight="1" s="677" customFormat="1" x14ac:dyDescent="0.25"/>
    <row r="288" ht="19.5" customHeight="1" s="677" customFormat="1" x14ac:dyDescent="0.25"/>
    <row r="289" ht="19.5" customHeight="1" s="677" customFormat="1" x14ac:dyDescent="0.25"/>
    <row r="290" ht="19.5" customHeight="1" s="677" customFormat="1" x14ac:dyDescent="0.25"/>
    <row r="291" ht="19.5" customHeight="1" s="677" customFormat="1" x14ac:dyDescent="0.25"/>
    <row r="292" ht="19.5" customHeight="1" s="677" customFormat="1" x14ac:dyDescent="0.25"/>
    <row r="293" ht="19.5" customHeight="1" s="677" customFormat="1" x14ac:dyDescent="0.25"/>
    <row r="294" ht="19.5" customHeight="1" s="677" customFormat="1" x14ac:dyDescent="0.25"/>
    <row r="295" ht="19.5" customHeight="1" s="677" customFormat="1" x14ac:dyDescent="0.25"/>
    <row r="296" ht="19.5" customHeight="1" s="677" customFormat="1" x14ac:dyDescent="0.25"/>
    <row r="297" ht="19.5" customHeight="1" s="677" customFormat="1" x14ac:dyDescent="0.25"/>
    <row r="298" ht="19.5" customHeight="1" s="677" customFormat="1" x14ac:dyDescent="0.25"/>
    <row r="299" ht="19.5" customHeight="1" s="677" customFormat="1" x14ac:dyDescent="0.25"/>
    <row r="300" ht="19.5" customHeight="1" s="677" customFormat="1" x14ac:dyDescent="0.25"/>
    <row r="301" ht="19.5" customHeight="1" s="677" customFormat="1" x14ac:dyDescent="0.25"/>
    <row r="302" ht="19.5" customHeight="1" s="677" customFormat="1" x14ac:dyDescent="0.25"/>
    <row r="303" ht="19.5" customHeight="1" s="677" customFormat="1" x14ac:dyDescent="0.25"/>
    <row r="304" ht="19.5" customHeight="1" s="677" customFormat="1" x14ac:dyDescent="0.25"/>
    <row r="305" ht="19.5" customHeight="1" s="677" customFormat="1" x14ac:dyDescent="0.25"/>
    <row r="306" ht="19.5" customHeight="1" s="677" customFormat="1" x14ac:dyDescent="0.25"/>
    <row r="307" ht="19.5" customHeight="1" s="677" customFormat="1" x14ac:dyDescent="0.25"/>
    <row r="308" ht="19.5" customHeight="1" s="677" customFormat="1" x14ac:dyDescent="0.25"/>
    <row r="309" ht="19.5" customHeight="1" s="677" customFormat="1" x14ac:dyDescent="0.25"/>
    <row r="310" ht="19.5" customHeight="1" s="677" customFormat="1" x14ac:dyDescent="0.25"/>
    <row r="311" ht="19.5" customHeight="1" s="677" customFormat="1" x14ac:dyDescent="0.25"/>
    <row r="312" ht="19.5" customHeight="1" s="677" customFormat="1" x14ac:dyDescent="0.25"/>
    <row r="313" ht="19.5" customHeight="1" s="677" customFormat="1" x14ac:dyDescent="0.25"/>
    <row r="314" ht="19.5" customHeight="1" s="677" customFormat="1" x14ac:dyDescent="0.25"/>
    <row r="315" ht="19.5" customHeight="1" s="677" customFormat="1" x14ac:dyDescent="0.25"/>
    <row r="316" ht="19.5" customHeight="1" s="677" customFormat="1" x14ac:dyDescent="0.25"/>
    <row r="317" ht="19.5" customHeight="1" s="677" customFormat="1" x14ac:dyDescent="0.25"/>
    <row r="318" ht="19.5" customHeight="1" s="677" customFormat="1" x14ac:dyDescent="0.25"/>
    <row r="319" ht="19.5" customHeight="1" s="677" customFormat="1" x14ac:dyDescent="0.25"/>
    <row r="320" ht="19.5" customHeight="1" s="677" customFormat="1" x14ac:dyDescent="0.25"/>
    <row r="321" ht="19.5" customHeight="1" s="677" customFormat="1" x14ac:dyDescent="0.25"/>
    <row r="322" ht="19.5" customHeight="1" s="677" customFormat="1" x14ac:dyDescent="0.25"/>
    <row r="323" ht="19.5" customHeight="1" s="677" customFormat="1" x14ac:dyDescent="0.25"/>
    <row r="324" ht="19.5" customHeight="1" s="677" customFormat="1" x14ac:dyDescent="0.25"/>
    <row r="325" ht="19.5" customHeight="1" s="677" customFormat="1" x14ac:dyDescent="0.25"/>
    <row r="326" ht="19.5" customHeight="1" s="677" customFormat="1" x14ac:dyDescent="0.25"/>
    <row r="327" ht="19.5" customHeight="1" s="677" customFormat="1" x14ac:dyDescent="0.25"/>
    <row r="328" ht="19.5" customHeight="1" s="677" customFormat="1" x14ac:dyDescent="0.25"/>
    <row r="329" ht="19.5" customHeight="1" s="677" customFormat="1" x14ac:dyDescent="0.25"/>
    <row r="330" ht="19.5" customHeight="1" s="677" customFormat="1" x14ac:dyDescent="0.25"/>
    <row r="331" ht="19.5" customHeight="1" s="677" customFormat="1" x14ac:dyDescent="0.25"/>
    <row r="332" ht="19.5" customHeight="1" s="677" customFormat="1" x14ac:dyDescent="0.25"/>
    <row r="333" ht="19.5" customHeight="1" s="677" customFormat="1" x14ac:dyDescent="0.25"/>
    <row r="334" ht="19.5" customHeight="1" s="677" customFormat="1" x14ac:dyDescent="0.25"/>
    <row r="335" ht="19.5" customHeight="1" s="677" customFormat="1" x14ac:dyDescent="0.25"/>
    <row r="336" ht="19.5" customHeight="1" s="677" customFormat="1" x14ac:dyDescent="0.25"/>
    <row r="337" ht="19.5" customHeight="1" s="677" customFormat="1" x14ac:dyDescent="0.25"/>
    <row r="338" ht="19.5" customHeight="1" s="677" customFormat="1" x14ac:dyDescent="0.25"/>
    <row r="339" ht="19.5" customHeight="1" s="677" customFormat="1" x14ac:dyDescent="0.25"/>
    <row r="340" ht="19.5" customHeight="1" s="677" customFormat="1" x14ac:dyDescent="0.25"/>
    <row r="341" ht="19.5" customHeight="1" s="677" customFormat="1" x14ac:dyDescent="0.25"/>
    <row r="342" ht="19.5" customHeight="1" s="677" customFormat="1" x14ac:dyDescent="0.25"/>
    <row r="343" ht="19.5" customHeight="1" s="677" customFormat="1" x14ac:dyDescent="0.25"/>
    <row r="344" ht="19.5" customHeight="1" s="677" customFormat="1" x14ac:dyDescent="0.25"/>
    <row r="345" ht="19.5" customHeight="1" s="677" customFormat="1" x14ac:dyDescent="0.25"/>
    <row r="346" ht="19.5" customHeight="1" s="677" customFormat="1" x14ac:dyDescent="0.25"/>
    <row r="347" ht="19.5" customHeight="1" s="677" customFormat="1" x14ac:dyDescent="0.25"/>
    <row r="348" ht="19.5" customHeight="1" s="677" customFormat="1" x14ac:dyDescent="0.25"/>
    <row r="349" ht="19.5" customHeight="1" s="677" customFormat="1" x14ac:dyDescent="0.25"/>
    <row r="350" ht="19.5" customHeight="1" s="677" customFormat="1" x14ac:dyDescent="0.25"/>
    <row r="351" ht="19.5" customHeight="1" s="677" customFormat="1" x14ac:dyDescent="0.25"/>
    <row r="352" ht="19.5" customHeight="1" s="677" customFormat="1" x14ac:dyDescent="0.25"/>
    <row r="353" ht="19.5" customHeight="1" s="677" customFormat="1" x14ac:dyDescent="0.25"/>
    <row r="354" ht="19.5" customHeight="1" s="677" customFormat="1" x14ac:dyDescent="0.25"/>
    <row r="355" ht="19.5" customHeight="1" s="677" customFormat="1" x14ac:dyDescent="0.25"/>
    <row r="356" ht="19.5" customHeight="1" s="677" customFormat="1" x14ac:dyDescent="0.25"/>
    <row r="357" ht="19.5" customHeight="1" s="677" customFormat="1" x14ac:dyDescent="0.25"/>
    <row r="358" ht="19.5" customHeight="1" s="677" customFormat="1" x14ac:dyDescent="0.25"/>
    <row r="359" ht="19.5" customHeight="1" s="677" customFormat="1" x14ac:dyDescent="0.25"/>
    <row r="360" ht="19.5" customHeight="1" s="677" customFormat="1" x14ac:dyDescent="0.25"/>
    <row r="361" ht="19.5" customHeight="1" s="677" customFormat="1" x14ac:dyDescent="0.25"/>
    <row r="362" ht="19.5" customHeight="1" s="677" customFormat="1" x14ac:dyDescent="0.25"/>
    <row r="363" ht="19.5" customHeight="1" s="677" customFormat="1" x14ac:dyDescent="0.25"/>
    <row r="364" ht="19.5" customHeight="1" s="677" customFormat="1" x14ac:dyDescent="0.25"/>
    <row r="365" ht="19.5" customHeight="1" s="677" customFormat="1" x14ac:dyDescent="0.25"/>
    <row r="366" ht="19.5" customHeight="1" s="677" customFormat="1" x14ac:dyDescent="0.25"/>
    <row r="367" ht="19.5" customHeight="1" s="677" customFormat="1" x14ac:dyDescent="0.25"/>
    <row r="368" ht="19.5" customHeight="1" s="677" customFormat="1" x14ac:dyDescent="0.25"/>
    <row r="369" ht="19.5" customHeight="1" s="677" customFormat="1" x14ac:dyDescent="0.25"/>
    <row r="370" ht="19.5" customHeight="1" s="677" customFormat="1" x14ac:dyDescent="0.25"/>
    <row r="371" ht="19.5" customHeight="1" s="677" customFormat="1" x14ac:dyDescent="0.25"/>
    <row r="372" ht="19.5" customHeight="1" s="677" customFormat="1" x14ac:dyDescent="0.25"/>
    <row r="373" ht="19.5" customHeight="1" s="677" customFormat="1" x14ac:dyDescent="0.25"/>
    <row r="374" ht="19.5" customHeight="1" s="677" customFormat="1" x14ac:dyDescent="0.25"/>
    <row r="375" ht="19.5" customHeight="1" s="677" customFormat="1" x14ac:dyDescent="0.25"/>
    <row r="376" ht="19.5" customHeight="1" s="677" customFormat="1" x14ac:dyDescent="0.25"/>
    <row r="377" ht="19.5" customHeight="1" s="677" customFormat="1" x14ac:dyDescent="0.25"/>
    <row r="378" ht="19.5" customHeight="1" s="677" customFormat="1" x14ac:dyDescent="0.25"/>
    <row r="379" ht="19.5" customHeight="1" s="677" customFormat="1" x14ac:dyDescent="0.25"/>
    <row r="380" ht="19.5" customHeight="1" s="677" customFormat="1" x14ac:dyDescent="0.25"/>
    <row r="381" ht="19.5" customHeight="1" s="677" customFormat="1" x14ac:dyDescent="0.25"/>
    <row r="382" ht="19.5" customHeight="1" s="677" customFormat="1" x14ac:dyDescent="0.25"/>
    <row r="383" ht="19.5" customHeight="1" s="677" customFormat="1" x14ac:dyDescent="0.25"/>
    <row r="384" ht="19.5" customHeight="1" s="677" customFormat="1" x14ac:dyDescent="0.25"/>
    <row r="385" ht="19.5" customHeight="1" s="677" customFormat="1" x14ac:dyDescent="0.25"/>
    <row r="386" ht="19.5" customHeight="1" s="677" customFormat="1" x14ac:dyDescent="0.25"/>
    <row r="387" ht="19.5" customHeight="1" s="677" customFormat="1" x14ac:dyDescent="0.25"/>
    <row r="388" ht="19.5" customHeight="1" s="677" customFormat="1" x14ac:dyDescent="0.25"/>
    <row r="389" ht="19.5" customHeight="1" s="677" customFormat="1" x14ac:dyDescent="0.25"/>
    <row r="390" ht="19.5" customHeight="1" s="677" customFormat="1" x14ac:dyDescent="0.25"/>
    <row r="391" ht="19.5" customHeight="1" s="677" customFormat="1" x14ac:dyDescent="0.25"/>
    <row r="392" ht="19.5" customHeight="1" s="677" customFormat="1" x14ac:dyDescent="0.25"/>
    <row r="393" ht="19.5" customHeight="1" s="677" customFormat="1" x14ac:dyDescent="0.25"/>
    <row r="394" ht="19.5" customHeight="1" s="677" customFormat="1" x14ac:dyDescent="0.25"/>
    <row r="395" ht="19.5" customHeight="1" s="677" customFormat="1" x14ac:dyDescent="0.25"/>
    <row r="396" ht="19.5" customHeight="1" s="677" customFormat="1" x14ac:dyDescent="0.25"/>
    <row r="397" ht="19.5" customHeight="1" s="677" customFormat="1" x14ac:dyDescent="0.25"/>
    <row r="398" ht="19.5" customHeight="1" s="677" customFormat="1" x14ac:dyDescent="0.25"/>
    <row r="399" ht="19.5" customHeight="1" s="677" customFormat="1" x14ac:dyDescent="0.25"/>
    <row r="400" ht="19.5" customHeight="1" s="677" customFormat="1" x14ac:dyDescent="0.25"/>
    <row r="401" ht="19.5" customHeight="1" s="677" customFormat="1" x14ac:dyDescent="0.25"/>
    <row r="402" ht="19.5" customHeight="1" s="677" customFormat="1" x14ac:dyDescent="0.25"/>
    <row r="403" ht="19.5" customHeight="1" s="677" customFormat="1" x14ac:dyDescent="0.25"/>
    <row r="404" ht="19.5" customHeight="1" s="677" customFormat="1" x14ac:dyDescent="0.25"/>
    <row r="405" ht="19.5" customHeight="1" s="677" customFormat="1" x14ac:dyDescent="0.25"/>
    <row r="406" ht="19.5" customHeight="1" s="677" customFormat="1" x14ac:dyDescent="0.25"/>
    <row r="407" ht="19.5" customHeight="1" s="677" customFormat="1" x14ac:dyDescent="0.25"/>
    <row r="408" ht="19.5" customHeight="1" s="677" customFormat="1" x14ac:dyDescent="0.25"/>
    <row r="409" ht="19.5" customHeight="1" s="677" customFormat="1" x14ac:dyDescent="0.25"/>
    <row r="410" ht="19.5" customHeight="1" s="677" customFormat="1" x14ac:dyDescent="0.25"/>
    <row r="411" ht="19.5" customHeight="1" s="677" customFormat="1" x14ac:dyDescent="0.25"/>
    <row r="412" ht="19.5" customHeight="1" s="677" customFormat="1" x14ac:dyDescent="0.25"/>
    <row r="413" ht="19.5" customHeight="1" s="677" customFormat="1" x14ac:dyDescent="0.25"/>
    <row r="414" ht="19.5" customHeight="1" s="677" customFormat="1" x14ac:dyDescent="0.25"/>
    <row r="415" ht="19.5" customHeight="1" s="677" customFormat="1" x14ac:dyDescent="0.25"/>
    <row r="416" ht="19.5" customHeight="1" s="677" customFormat="1" x14ac:dyDescent="0.25"/>
    <row r="417" ht="19.5" customHeight="1" s="677" customFormat="1" x14ac:dyDescent="0.25"/>
    <row r="418" ht="19.5" customHeight="1" s="677" customFormat="1" x14ac:dyDescent="0.25"/>
    <row r="419" ht="19.5" customHeight="1" s="677" customFormat="1" x14ac:dyDescent="0.25"/>
    <row r="420" ht="19.5" customHeight="1" s="677" customFormat="1" x14ac:dyDescent="0.25"/>
    <row r="421" ht="19.5" customHeight="1" s="677" customFormat="1" x14ac:dyDescent="0.25"/>
    <row r="422" ht="19.5" customHeight="1" s="677" customFormat="1" x14ac:dyDescent="0.25"/>
    <row r="423" ht="19.5" customHeight="1" s="677" customFormat="1" x14ac:dyDescent="0.25"/>
    <row r="424" ht="19.5" customHeight="1" s="677" customFormat="1" x14ac:dyDescent="0.25"/>
    <row r="425" ht="19.5" customHeight="1" s="677" customFormat="1" x14ac:dyDescent="0.25"/>
    <row r="426" ht="19.5" customHeight="1" s="677" customFormat="1" x14ac:dyDescent="0.25"/>
    <row r="427" ht="19.5" customHeight="1" s="677" customFormat="1" x14ac:dyDescent="0.25"/>
    <row r="428" ht="19.5" customHeight="1" s="677" customFormat="1" x14ac:dyDescent="0.25"/>
    <row r="429" ht="19.5" customHeight="1" s="677" customFormat="1" x14ac:dyDescent="0.25"/>
    <row r="430" ht="19.5" customHeight="1" s="677" customFormat="1" x14ac:dyDescent="0.25"/>
    <row r="431" ht="19.5" customHeight="1" s="677" customFormat="1" x14ac:dyDescent="0.25"/>
    <row r="432" ht="19.5" customHeight="1" s="677" customFormat="1" x14ac:dyDescent="0.25"/>
    <row r="433" ht="19.5" customHeight="1" s="677" customFormat="1" x14ac:dyDescent="0.25"/>
    <row r="434" ht="19.5" customHeight="1" s="677" customFormat="1" x14ac:dyDescent="0.25"/>
    <row r="435" ht="19.5" customHeight="1" s="677" customFormat="1" x14ac:dyDescent="0.25"/>
    <row r="436" ht="19.5" customHeight="1" s="677" customFormat="1" x14ac:dyDescent="0.25"/>
    <row r="437" ht="19.5" customHeight="1" s="677" customFormat="1" x14ac:dyDescent="0.25"/>
    <row r="438" ht="19.5" customHeight="1" s="677" customFormat="1" x14ac:dyDescent="0.25"/>
    <row r="439" ht="19.5" customHeight="1" s="677" customFormat="1" x14ac:dyDescent="0.25"/>
    <row r="440" ht="19.5" customHeight="1" s="677" customFormat="1" x14ac:dyDescent="0.25"/>
    <row r="441" ht="19.5" customHeight="1" s="677" customFormat="1" x14ac:dyDescent="0.25"/>
    <row r="442" ht="19.5" customHeight="1" s="677" customFormat="1" x14ac:dyDescent="0.25"/>
    <row r="443" ht="19.5" customHeight="1" s="677" customFormat="1" x14ac:dyDescent="0.25"/>
    <row r="444" ht="19.5" customHeight="1" s="677" customFormat="1" x14ac:dyDescent="0.25"/>
    <row r="445" ht="19.5" customHeight="1" s="677" customFormat="1" x14ac:dyDescent="0.25"/>
    <row r="446" ht="19.5" customHeight="1" s="677" customFormat="1" x14ac:dyDescent="0.25"/>
    <row r="447" ht="19.5" customHeight="1" s="677" customFormat="1" x14ac:dyDescent="0.25"/>
    <row r="448" ht="19.5" customHeight="1" s="677" customFormat="1" x14ac:dyDescent="0.25"/>
    <row r="449" ht="19.5" customHeight="1" s="677" customFormat="1" x14ac:dyDescent="0.25"/>
    <row r="450" ht="19.5" customHeight="1" s="677" customFormat="1" x14ac:dyDescent="0.25"/>
    <row r="451" ht="19.5" customHeight="1" s="677" customFormat="1" x14ac:dyDescent="0.25"/>
    <row r="452" ht="19.5" customHeight="1" s="677" customFormat="1" x14ac:dyDescent="0.25"/>
    <row r="453" ht="19.5" customHeight="1" s="677" customFormat="1" x14ac:dyDescent="0.25"/>
    <row r="454" ht="19.5" customHeight="1" s="677" customFormat="1" x14ac:dyDescent="0.25"/>
    <row r="455" ht="19.5" customHeight="1" s="677" customFormat="1" x14ac:dyDescent="0.25"/>
    <row r="456" ht="19.5" customHeight="1" s="677" customFormat="1" x14ac:dyDescent="0.25"/>
    <row r="457" ht="19.5" customHeight="1" s="677" customFormat="1" x14ac:dyDescent="0.25"/>
    <row r="458" ht="19.5" customHeight="1" s="677" customFormat="1" x14ac:dyDescent="0.25"/>
    <row r="459" ht="19.5" customHeight="1" s="677" customFormat="1" x14ac:dyDescent="0.25"/>
    <row r="460" ht="19.5" customHeight="1" s="677" customFormat="1" x14ac:dyDescent="0.25"/>
    <row r="461" ht="19.5" customHeight="1" s="677" customFormat="1" x14ac:dyDescent="0.25"/>
    <row r="462" ht="19.5" customHeight="1" s="677" customFormat="1" x14ac:dyDescent="0.25"/>
    <row r="463" ht="19.5" customHeight="1" s="677" customFormat="1" x14ac:dyDescent="0.25"/>
    <row r="464" ht="19.5" customHeight="1" s="677" customFormat="1" x14ac:dyDescent="0.25"/>
    <row r="465" ht="19.5" customHeight="1" s="677" customFormat="1" x14ac:dyDescent="0.25"/>
    <row r="466" ht="19.5" customHeight="1" s="677" customFormat="1" x14ac:dyDescent="0.25"/>
    <row r="467" ht="19.5" customHeight="1" s="677" customFormat="1" x14ac:dyDescent="0.25"/>
    <row r="468" ht="19.5" customHeight="1" s="677" customFormat="1" x14ac:dyDescent="0.25"/>
    <row r="469" ht="19.5" customHeight="1" s="677" customFormat="1" x14ac:dyDescent="0.25"/>
    <row r="470" ht="19.5" customHeight="1" s="677" customFormat="1" x14ac:dyDescent="0.25"/>
    <row r="471" ht="19.5" customHeight="1" s="677" customFormat="1" x14ac:dyDescent="0.25"/>
    <row r="472" ht="19.5" customHeight="1" s="677" customFormat="1" x14ac:dyDescent="0.25"/>
    <row r="473" ht="19.5" customHeight="1" s="677" customFormat="1" x14ac:dyDescent="0.25"/>
    <row r="474" ht="19.5" customHeight="1" s="677" customFormat="1" x14ac:dyDescent="0.25"/>
    <row r="475" ht="19.5" customHeight="1" s="677" customFormat="1" x14ac:dyDescent="0.25"/>
    <row r="476" ht="19.5" customHeight="1" s="677" customFormat="1" x14ac:dyDescent="0.25"/>
    <row r="477" ht="19.5" customHeight="1" s="677" customFormat="1" x14ac:dyDescent="0.25"/>
    <row r="478" ht="19.5" customHeight="1" s="677" customFormat="1" x14ac:dyDescent="0.25"/>
    <row r="479" ht="19.5" customHeight="1" s="677" customFormat="1" x14ac:dyDescent="0.25"/>
    <row r="480" ht="19.5" customHeight="1" s="677" customFormat="1" x14ac:dyDescent="0.25"/>
    <row r="481" ht="19.5" customHeight="1" s="677" customFormat="1" x14ac:dyDescent="0.25"/>
    <row r="482" ht="19.5" customHeight="1" s="677" customFormat="1" x14ac:dyDescent="0.25"/>
    <row r="483" ht="19.5" customHeight="1" s="677" customFormat="1" x14ac:dyDescent="0.25"/>
    <row r="484" ht="19.5" customHeight="1" s="677" customFormat="1" x14ac:dyDescent="0.25"/>
    <row r="485" ht="19.5" customHeight="1" s="677" customFormat="1" x14ac:dyDescent="0.25"/>
    <row r="486" ht="19.5" customHeight="1" s="677" customFormat="1" x14ac:dyDescent="0.25"/>
    <row r="487" ht="19.5" customHeight="1" s="677" customFormat="1" x14ac:dyDescent="0.25"/>
    <row r="488" ht="19.5" customHeight="1" s="677" customFormat="1" x14ac:dyDescent="0.25"/>
    <row r="489" ht="19.5" customHeight="1" s="677" customFormat="1" x14ac:dyDescent="0.25"/>
    <row r="490" ht="19.5" customHeight="1" s="677" customFormat="1" x14ac:dyDescent="0.25"/>
    <row r="491" ht="19.5" customHeight="1" s="677" customFormat="1" x14ac:dyDescent="0.25"/>
    <row r="492" ht="19.5" customHeight="1" s="677" customFormat="1" x14ac:dyDescent="0.25"/>
    <row r="493" ht="19.5" customHeight="1" s="677" customFormat="1" x14ac:dyDescent="0.25"/>
    <row r="494" ht="19.5" customHeight="1" s="677" customFormat="1" x14ac:dyDescent="0.25"/>
    <row r="495" ht="19.5" customHeight="1" s="677" customFormat="1" x14ac:dyDescent="0.25"/>
    <row r="496" ht="19.5" customHeight="1" s="677" customFormat="1" x14ac:dyDescent="0.25"/>
    <row r="497" ht="19.5" customHeight="1" s="677" customFormat="1" x14ac:dyDescent="0.25"/>
    <row r="498" ht="19.5" customHeight="1" s="677" customFormat="1" x14ac:dyDescent="0.25"/>
    <row r="499" ht="19.5" customHeight="1" s="677" customFormat="1" x14ac:dyDescent="0.25"/>
    <row r="500" ht="19.5" customHeight="1" s="677" customFormat="1" x14ac:dyDescent="0.25"/>
    <row r="501" ht="19.5" customHeight="1" s="677" customFormat="1" x14ac:dyDescent="0.25"/>
    <row r="502" ht="19.5" customHeight="1" s="677" customFormat="1" x14ac:dyDescent="0.25"/>
    <row r="503" ht="19.5" customHeight="1" s="677" customFormat="1" x14ac:dyDescent="0.25"/>
    <row r="504" ht="19.5" customHeight="1" s="677" customFormat="1" x14ac:dyDescent="0.25"/>
    <row r="505" ht="19.5" customHeight="1" s="677" customFormat="1" x14ac:dyDescent="0.25"/>
    <row r="506" ht="19.5" customHeight="1" s="677" customFormat="1" x14ac:dyDescent="0.25"/>
    <row r="507" ht="19.5" customHeight="1" s="677" customFormat="1" x14ac:dyDescent="0.25"/>
    <row r="508" ht="19.5" customHeight="1" s="677" customFormat="1" x14ac:dyDescent="0.25"/>
    <row r="509" ht="19.5" customHeight="1" s="677" customFormat="1" x14ac:dyDescent="0.25"/>
    <row r="510" ht="19.5" customHeight="1" s="677" customFormat="1" x14ac:dyDescent="0.25"/>
    <row r="511" ht="19.5" customHeight="1" s="677" customFormat="1" x14ac:dyDescent="0.25"/>
    <row r="512" ht="19.5" customHeight="1" s="677" customFormat="1" x14ac:dyDescent="0.25"/>
    <row r="513" ht="19.5" customHeight="1" s="677" customFormat="1" x14ac:dyDescent="0.25"/>
    <row r="514" ht="19.5" customHeight="1" s="677" customFormat="1" x14ac:dyDescent="0.25"/>
    <row r="515" ht="19.5" customHeight="1" s="677" customFormat="1" x14ac:dyDescent="0.25"/>
    <row r="516" ht="19.5" customHeight="1" s="677" customFormat="1" x14ac:dyDescent="0.25"/>
    <row r="517" ht="19.5" customHeight="1" s="677" customFormat="1" x14ac:dyDescent="0.25"/>
    <row r="518" ht="19.5" customHeight="1" s="677" customFormat="1" x14ac:dyDescent="0.25"/>
    <row r="519" ht="19.5" customHeight="1" s="677" customFormat="1" x14ac:dyDescent="0.25"/>
    <row r="520" ht="19.5" customHeight="1" s="677" customFormat="1" x14ac:dyDescent="0.25"/>
    <row r="521" ht="19.5" customHeight="1" s="677" customFormat="1" x14ac:dyDescent="0.25"/>
    <row r="522" ht="19.5" customHeight="1" s="677" customFormat="1" x14ac:dyDescent="0.25"/>
    <row r="523" ht="19.5" customHeight="1" s="677" customFormat="1" x14ac:dyDescent="0.25"/>
    <row r="524" ht="19.5" customHeight="1" s="677" customFormat="1" x14ac:dyDescent="0.25"/>
    <row r="525" ht="19.5" customHeight="1" s="677" customFormat="1" x14ac:dyDescent="0.25"/>
    <row r="526" ht="19.5" customHeight="1" s="677" customFormat="1" x14ac:dyDescent="0.25"/>
    <row r="527" ht="19.5" customHeight="1" s="677" customFormat="1" x14ac:dyDescent="0.25"/>
    <row r="528" ht="19.5" customHeight="1" s="677" customFormat="1" x14ac:dyDescent="0.25"/>
    <row r="529" ht="19.5" customHeight="1" s="677" customFormat="1" x14ac:dyDescent="0.25"/>
    <row r="530" ht="19.5" customHeight="1" s="677" customFormat="1" x14ac:dyDescent="0.25"/>
    <row r="531" ht="19.5" customHeight="1" s="677" customFormat="1" x14ac:dyDescent="0.25"/>
    <row r="532" ht="19.5" customHeight="1" s="677" customFormat="1" x14ac:dyDescent="0.25"/>
    <row r="533" ht="19.5" customHeight="1" s="677" customFormat="1" x14ac:dyDescent="0.25"/>
    <row r="534" ht="19.5" customHeight="1" s="677" customFormat="1" x14ac:dyDescent="0.25"/>
    <row r="535" ht="19.5" customHeight="1" s="677" customFormat="1" x14ac:dyDescent="0.25"/>
    <row r="536" ht="19.5" customHeight="1" s="677" customFormat="1" x14ac:dyDescent="0.25"/>
    <row r="537" ht="19.5" customHeight="1" s="677" customFormat="1" x14ac:dyDescent="0.25"/>
    <row r="538" ht="19.5" customHeight="1" s="677" customFormat="1" x14ac:dyDescent="0.25"/>
    <row r="539" ht="19.5" customHeight="1" s="677" customFormat="1" x14ac:dyDescent="0.25"/>
    <row r="540" ht="19.5" customHeight="1" s="677" customFormat="1" x14ac:dyDescent="0.25"/>
    <row r="541" ht="19.5" customHeight="1" s="677" customFormat="1" x14ac:dyDescent="0.25"/>
    <row r="542" ht="19.5" customHeight="1" s="677" customFormat="1" x14ac:dyDescent="0.25"/>
    <row r="543" ht="19.5" customHeight="1" s="677" customFormat="1" x14ac:dyDescent="0.25"/>
    <row r="544" ht="19.5" customHeight="1" s="677" customFormat="1" x14ac:dyDescent="0.25"/>
    <row r="545" ht="19.5" customHeight="1" s="677" customFormat="1" x14ac:dyDescent="0.25"/>
    <row r="546" ht="19.5" customHeight="1" s="677" customFormat="1" x14ac:dyDescent="0.25"/>
    <row r="547" ht="19.5" customHeight="1" s="677" customFormat="1" x14ac:dyDescent="0.25"/>
    <row r="548" ht="19.5" customHeight="1" s="677" customFormat="1" x14ac:dyDescent="0.25"/>
    <row r="549" ht="19.5" customHeight="1" s="677" customFormat="1" x14ac:dyDescent="0.25"/>
    <row r="550" ht="19.5" customHeight="1" s="677" customFormat="1" x14ac:dyDescent="0.25"/>
    <row r="551" ht="19.5" customHeight="1" s="677" customFormat="1" x14ac:dyDescent="0.25"/>
    <row r="552" ht="19.5" customHeight="1" s="677" customFormat="1" x14ac:dyDescent="0.25"/>
    <row r="553" ht="19.5" customHeight="1" s="677" customFormat="1" x14ac:dyDescent="0.25"/>
    <row r="554" ht="19.5" customHeight="1" s="677" customFormat="1" x14ac:dyDescent="0.25"/>
    <row r="555" ht="19.5" customHeight="1" s="677" customFormat="1" x14ac:dyDescent="0.25"/>
    <row r="556" ht="19.5" customHeight="1" s="677" customFormat="1" x14ac:dyDescent="0.25"/>
    <row r="557" ht="19.5" customHeight="1" s="677" customFormat="1" x14ac:dyDescent="0.25"/>
    <row r="558" ht="19.5" customHeight="1" s="677" customFormat="1" x14ac:dyDescent="0.25"/>
    <row r="559" ht="19.5" customHeight="1" s="677" customFormat="1" x14ac:dyDescent="0.25"/>
    <row r="560" ht="19.5" customHeight="1" s="677" customFormat="1" x14ac:dyDescent="0.25"/>
    <row r="561" ht="19.5" customHeight="1" s="677" customFormat="1" x14ac:dyDescent="0.25"/>
    <row r="562" ht="19.5" customHeight="1" s="677" customFormat="1" x14ac:dyDescent="0.25"/>
    <row r="563" ht="19.5" customHeight="1" s="677" customFormat="1" x14ac:dyDescent="0.25"/>
    <row r="564" ht="19.5" customHeight="1" s="677" customFormat="1" x14ac:dyDescent="0.25"/>
    <row r="565" ht="19.5" customHeight="1" s="677" customFormat="1" x14ac:dyDescent="0.25"/>
    <row r="566" ht="19.5" customHeight="1" s="677" customFormat="1" x14ac:dyDescent="0.25"/>
    <row r="567" ht="19.5" customHeight="1" s="677" customFormat="1" x14ac:dyDescent="0.25"/>
    <row r="568" ht="19.5" customHeight="1" s="677" customFormat="1" x14ac:dyDescent="0.25"/>
    <row r="569" ht="19.5" customHeight="1" s="677" customFormat="1" x14ac:dyDescent="0.25"/>
    <row r="570" ht="19.5" customHeight="1" s="677" customFormat="1" x14ac:dyDescent="0.25"/>
    <row r="571" ht="19.5" customHeight="1" s="677" customFormat="1" x14ac:dyDescent="0.25"/>
    <row r="572" ht="19.5" customHeight="1" s="677" customFormat="1" x14ac:dyDescent="0.25"/>
    <row r="573" ht="19.5" customHeight="1" s="677" customFormat="1" x14ac:dyDescent="0.25"/>
    <row r="574" ht="19.5" customHeight="1" s="677" customFormat="1" x14ac:dyDescent="0.25"/>
    <row r="575" ht="19.5" customHeight="1" s="677" customFormat="1" x14ac:dyDescent="0.25"/>
    <row r="576" ht="19.5" customHeight="1" s="677" customFormat="1" x14ac:dyDescent="0.25"/>
    <row r="577" ht="19.5" customHeight="1" s="677" customFormat="1" x14ac:dyDescent="0.25"/>
    <row r="578" ht="19.5" customHeight="1" s="677" customFormat="1" x14ac:dyDescent="0.25"/>
    <row r="579" ht="19.5" customHeight="1" s="677" customFormat="1" x14ac:dyDescent="0.25"/>
    <row r="580" ht="19.5" customHeight="1" s="677" customFormat="1" x14ac:dyDescent="0.25"/>
    <row r="581" ht="19.5" customHeight="1" s="677" customFormat="1" x14ac:dyDescent="0.25"/>
    <row r="582" ht="19.5" customHeight="1" s="677" customFormat="1" x14ac:dyDescent="0.25"/>
    <row r="583" ht="19.5" customHeight="1" s="677" customFormat="1" x14ac:dyDescent="0.25"/>
    <row r="584" ht="19.5" customHeight="1" s="677" customFormat="1" x14ac:dyDescent="0.25"/>
    <row r="585" ht="19.5" customHeight="1" s="677" customFormat="1" x14ac:dyDescent="0.25"/>
    <row r="586" ht="19.5" customHeight="1" s="677" customFormat="1" x14ac:dyDescent="0.25"/>
    <row r="587" ht="19.5" customHeight="1" s="677" customFormat="1" x14ac:dyDescent="0.25"/>
    <row r="588" ht="19.5" customHeight="1" s="677" customFormat="1" x14ac:dyDescent="0.25"/>
    <row r="589" ht="19.5" customHeight="1" s="677" customFormat="1" x14ac:dyDescent="0.25"/>
    <row r="590" ht="19.5" customHeight="1" s="677" customFormat="1" x14ac:dyDescent="0.25"/>
    <row r="591" ht="19.5" customHeight="1" s="677" customFormat="1" x14ac:dyDescent="0.25"/>
    <row r="592" ht="19.5" customHeight="1" s="677" customFormat="1" x14ac:dyDescent="0.25"/>
    <row r="593" ht="19.5" customHeight="1" s="677" customFormat="1" x14ac:dyDescent="0.25"/>
    <row r="594" ht="19.5" customHeight="1" s="677" customFormat="1" x14ac:dyDescent="0.25"/>
    <row r="595" ht="19.5" customHeight="1" s="677" customFormat="1" x14ac:dyDescent="0.25"/>
    <row r="596" ht="19.5" customHeight="1" s="677" customFormat="1" x14ac:dyDescent="0.25"/>
    <row r="597" ht="19.5" customHeight="1" s="677" customFormat="1" x14ac:dyDescent="0.25"/>
    <row r="598" ht="19.5" customHeight="1" s="677" customFormat="1" x14ac:dyDescent="0.25"/>
    <row r="599" ht="19.5" customHeight="1" s="677" customFormat="1" x14ac:dyDescent="0.25"/>
    <row r="600" ht="19.5" customHeight="1" s="677" customFormat="1" x14ac:dyDescent="0.25"/>
    <row r="601" ht="19.5" customHeight="1" s="677" customFormat="1" x14ac:dyDescent="0.25"/>
    <row r="602" ht="19.5" customHeight="1" s="677" customFormat="1" x14ac:dyDescent="0.25"/>
    <row r="603" ht="19.5" customHeight="1" s="677" customFormat="1" x14ac:dyDescent="0.25"/>
    <row r="604" ht="19.5" customHeight="1" s="677" customFormat="1" x14ac:dyDescent="0.25"/>
    <row r="605" ht="19.5" customHeight="1" s="677" customFormat="1" x14ac:dyDescent="0.25"/>
    <row r="606" ht="19.5" customHeight="1" s="677" customFormat="1" x14ac:dyDescent="0.25"/>
    <row r="607" ht="19.5" customHeight="1" s="677" customFormat="1" x14ac:dyDescent="0.25"/>
    <row r="608" ht="19.5" customHeight="1" s="677" customFormat="1" x14ac:dyDescent="0.25"/>
    <row r="609" ht="19.5" customHeight="1" s="677" customFormat="1" x14ac:dyDescent="0.25"/>
    <row r="610" ht="19.5" customHeight="1" s="677" customFormat="1" x14ac:dyDescent="0.25"/>
    <row r="611" ht="19.5" customHeight="1" s="677" customFormat="1" x14ac:dyDescent="0.25"/>
    <row r="612" ht="19.5" customHeight="1" s="677" customFormat="1" x14ac:dyDescent="0.25"/>
    <row r="613" ht="19.5" customHeight="1" s="677" customFormat="1" x14ac:dyDescent="0.25"/>
    <row r="614" ht="19.5" customHeight="1" s="677" customFormat="1" x14ac:dyDescent="0.25"/>
    <row r="615" ht="19.5" customHeight="1" s="677" customFormat="1" x14ac:dyDescent="0.25"/>
    <row r="616" ht="19.5" customHeight="1" s="677" customFormat="1" x14ac:dyDescent="0.25"/>
    <row r="617" ht="19.5" customHeight="1" s="677" customFormat="1" x14ac:dyDescent="0.25"/>
    <row r="618" ht="19.5" customHeight="1" s="677" customFormat="1" x14ac:dyDescent="0.25"/>
    <row r="619" ht="19.5" customHeight="1" s="677" customFormat="1" x14ac:dyDescent="0.25"/>
    <row r="620" ht="19.5" customHeight="1" s="677" customFormat="1" x14ac:dyDescent="0.25"/>
    <row r="621" ht="19.5" customHeight="1" s="677" customFormat="1" x14ac:dyDescent="0.25"/>
    <row r="622" ht="19.5" customHeight="1" s="677" customFormat="1" x14ac:dyDescent="0.25"/>
    <row r="623" ht="19.5" customHeight="1" s="677" customFormat="1" x14ac:dyDescent="0.25"/>
    <row r="624" ht="19.5" customHeight="1" s="677" customFormat="1" x14ac:dyDescent="0.25"/>
    <row r="625" ht="19.5" customHeight="1" s="677" customFormat="1" x14ac:dyDescent="0.25"/>
    <row r="626" ht="19.5" customHeight="1" s="677" customFormat="1" x14ac:dyDescent="0.25"/>
    <row r="627" ht="19.5" customHeight="1" s="677" customFormat="1" x14ac:dyDescent="0.25"/>
    <row r="628" ht="19.5" customHeight="1" s="677" customFormat="1" x14ac:dyDescent="0.25"/>
    <row r="629" ht="19.5" customHeight="1" s="677" customFormat="1" x14ac:dyDescent="0.25"/>
    <row r="630" ht="19.5" customHeight="1" s="677" customFormat="1" x14ac:dyDescent="0.25"/>
    <row r="631" ht="19.5" customHeight="1" s="677" customFormat="1" x14ac:dyDescent="0.25"/>
    <row r="632" ht="19.5" customHeight="1" s="677" customFormat="1" x14ac:dyDescent="0.25"/>
    <row r="633" ht="19.5" customHeight="1" s="677" customFormat="1" x14ac:dyDescent="0.25"/>
    <row r="634" ht="19.5" customHeight="1" s="677" customFormat="1" x14ac:dyDescent="0.25"/>
    <row r="635" ht="19.5" customHeight="1" s="677" customFormat="1" x14ac:dyDescent="0.25"/>
    <row r="636" ht="19.5" customHeight="1" s="677" customFormat="1" x14ac:dyDescent="0.25"/>
    <row r="637" ht="19.5" customHeight="1" s="677" customFormat="1" x14ac:dyDescent="0.25"/>
    <row r="638" ht="19.5" customHeight="1" s="677" customFormat="1" x14ac:dyDescent="0.25"/>
    <row r="639" ht="19.5" customHeight="1" s="677" customFormat="1" x14ac:dyDescent="0.25"/>
    <row r="640" ht="19.5" customHeight="1" s="677" customFormat="1" x14ac:dyDescent="0.25"/>
    <row r="641" ht="19.5" customHeight="1" s="677" customFormat="1" x14ac:dyDescent="0.25"/>
    <row r="642" ht="19.5" customHeight="1" s="677" customFormat="1" x14ac:dyDescent="0.25"/>
    <row r="643" ht="19.5" customHeight="1" s="677" customFormat="1" x14ac:dyDescent="0.25"/>
    <row r="644" ht="19.5" customHeight="1" s="677" customFormat="1" x14ac:dyDescent="0.25"/>
    <row r="645" ht="19.5" customHeight="1" s="677" customFormat="1" x14ac:dyDescent="0.25"/>
    <row r="646" ht="19.5" customHeight="1" s="677" customFormat="1" x14ac:dyDescent="0.25"/>
    <row r="647" ht="19.5" customHeight="1" s="677" customFormat="1" x14ac:dyDescent="0.25"/>
    <row r="648" ht="19.5" customHeight="1" s="677" customFormat="1" x14ac:dyDescent="0.25"/>
    <row r="649" ht="19.5" customHeight="1" s="677" customFormat="1" x14ac:dyDescent="0.25"/>
    <row r="650" ht="19.5" customHeight="1" s="677" customFormat="1" x14ac:dyDescent="0.25"/>
    <row r="651" ht="19.5" customHeight="1" s="677" customFormat="1" x14ac:dyDescent="0.25"/>
    <row r="652" ht="19.5" customHeight="1" s="677" customFormat="1" x14ac:dyDescent="0.25"/>
    <row r="653" ht="19.5" customHeight="1" s="677" customFormat="1" x14ac:dyDescent="0.25"/>
    <row r="654" ht="19.5" customHeight="1" s="677" customFormat="1" x14ac:dyDescent="0.25"/>
    <row r="655" ht="19.5" customHeight="1" s="677" customFormat="1" x14ac:dyDescent="0.25"/>
    <row r="656" ht="19.5" customHeight="1" s="677" customFormat="1" x14ac:dyDescent="0.25"/>
    <row r="657" ht="19.5" customHeight="1" s="677" customFormat="1" x14ac:dyDescent="0.25"/>
    <row r="658" ht="19.5" customHeight="1" s="677" customFormat="1" x14ac:dyDescent="0.25"/>
    <row r="659" ht="19.5" customHeight="1" s="677" customFormat="1" x14ac:dyDescent="0.25"/>
    <row r="660" ht="19.5" customHeight="1" s="677" customFormat="1" x14ac:dyDescent="0.25"/>
    <row r="661" ht="19.5" customHeight="1" s="677" customFormat="1" x14ac:dyDescent="0.25"/>
    <row r="662" ht="19.5" customHeight="1" s="677" customFormat="1" x14ac:dyDescent="0.25"/>
    <row r="663" ht="19.5" customHeight="1" s="677" customFormat="1" x14ac:dyDescent="0.25"/>
    <row r="664" ht="19.5" customHeight="1" s="677" customFormat="1" x14ac:dyDescent="0.25"/>
    <row r="665" ht="19.5" customHeight="1" s="677" customFormat="1" x14ac:dyDescent="0.25"/>
    <row r="666" ht="19.5" customHeight="1" s="677" customFormat="1" x14ac:dyDescent="0.25"/>
    <row r="667" ht="19.5" customHeight="1" s="677" customFormat="1" x14ac:dyDescent="0.25"/>
    <row r="668" ht="19.5" customHeight="1" s="677" customFormat="1" x14ac:dyDescent="0.25"/>
    <row r="669" ht="19.5" customHeight="1" s="677" customFormat="1" x14ac:dyDescent="0.25"/>
    <row r="670" ht="19.5" customHeight="1" s="677" customFormat="1" x14ac:dyDescent="0.25"/>
    <row r="671" ht="19.5" customHeight="1" s="677" customFormat="1" x14ac:dyDescent="0.25"/>
    <row r="672" ht="19.5" customHeight="1" s="677" customFormat="1" x14ac:dyDescent="0.25"/>
    <row r="673" ht="19.5" customHeight="1" s="677" customFormat="1" x14ac:dyDescent="0.25"/>
    <row r="674" ht="19.5" customHeight="1" s="677" customFormat="1" x14ac:dyDescent="0.25"/>
    <row r="675" ht="19.5" customHeight="1" s="677" customFormat="1" x14ac:dyDescent="0.25"/>
    <row r="676" ht="19.5" customHeight="1" s="677" customFormat="1" x14ac:dyDescent="0.25"/>
    <row r="677" ht="19.5" customHeight="1" s="677" customFormat="1" x14ac:dyDescent="0.25"/>
    <row r="678" ht="19.5" customHeight="1" s="677" customFormat="1" x14ac:dyDescent="0.25"/>
    <row r="679" ht="19.5" customHeight="1" s="677" customFormat="1" x14ac:dyDescent="0.25"/>
    <row r="680" ht="19.5" customHeight="1" s="677" customFormat="1" x14ac:dyDescent="0.25"/>
    <row r="681" ht="19.5" customHeight="1" s="677" customFormat="1" x14ac:dyDescent="0.25"/>
    <row r="682" ht="19.5" customHeight="1" s="677" customFormat="1" x14ac:dyDescent="0.25"/>
    <row r="683" ht="19.5" customHeight="1" s="677" customFormat="1" x14ac:dyDescent="0.25"/>
    <row r="684" ht="19.5" customHeight="1" s="677" customFormat="1" x14ac:dyDescent="0.25"/>
    <row r="685" ht="19.5" customHeight="1" s="677" customFormat="1" x14ac:dyDescent="0.25"/>
    <row r="686" ht="19.5" customHeight="1" s="677" customFormat="1" x14ac:dyDescent="0.25"/>
    <row r="687" ht="19.5" customHeight="1" s="677" customFormat="1" x14ac:dyDescent="0.25"/>
    <row r="688" ht="19.5" customHeight="1" s="677" customFormat="1" x14ac:dyDescent="0.25"/>
    <row r="689" ht="19.5" customHeight="1" s="677" customFormat="1" x14ac:dyDescent="0.25"/>
    <row r="690" ht="19.5" customHeight="1" s="677" customFormat="1" x14ac:dyDescent="0.25"/>
    <row r="691" ht="19.5" customHeight="1" s="677" customFormat="1" x14ac:dyDescent="0.25"/>
    <row r="692" ht="19.5" customHeight="1" s="677" customFormat="1" x14ac:dyDescent="0.25"/>
    <row r="693" ht="19.5" customHeight="1" s="677" customFormat="1" x14ac:dyDescent="0.25"/>
    <row r="694" ht="19.5" customHeight="1" s="677" customFormat="1" x14ac:dyDescent="0.25"/>
    <row r="695" ht="19.5" customHeight="1" s="677" customFormat="1" x14ac:dyDescent="0.25"/>
    <row r="696" ht="19.5" customHeight="1" s="677" customFormat="1" x14ac:dyDescent="0.25"/>
    <row r="697" ht="19.5" customHeight="1" s="677" customFormat="1" x14ac:dyDescent="0.25"/>
    <row r="698" ht="19.5" customHeight="1" s="677" customFormat="1" x14ac:dyDescent="0.25"/>
    <row r="699" ht="19.5" customHeight="1" s="677" customFormat="1" x14ac:dyDescent="0.25"/>
    <row r="700" ht="19.5" customHeight="1" s="677" customFormat="1" x14ac:dyDescent="0.25"/>
    <row r="701" ht="19.5" customHeight="1" s="677" customFormat="1" x14ac:dyDescent="0.25"/>
    <row r="702" ht="19.5" customHeight="1" s="677" customFormat="1" x14ac:dyDescent="0.25"/>
    <row r="703" ht="19.5" customHeight="1" s="677" customFormat="1" x14ac:dyDescent="0.25"/>
    <row r="704" ht="19.5" customHeight="1" s="677" customFormat="1" x14ac:dyDescent="0.25"/>
    <row r="705" ht="19.5" customHeight="1" s="677" customFormat="1" x14ac:dyDescent="0.25"/>
    <row r="706" ht="19.5" customHeight="1" s="677" customFormat="1" x14ac:dyDescent="0.25"/>
    <row r="707" ht="19.5" customHeight="1" s="677" customFormat="1" x14ac:dyDescent="0.25"/>
    <row r="708" ht="19.5" customHeight="1" s="677" customFormat="1" x14ac:dyDescent="0.25"/>
    <row r="709" ht="19.5" customHeight="1" s="677" customFormat="1" x14ac:dyDescent="0.25"/>
    <row r="710" ht="19.5" customHeight="1" s="677" customFormat="1" x14ac:dyDescent="0.25"/>
    <row r="711" ht="19.5" customHeight="1" s="677" customFormat="1" x14ac:dyDescent="0.25"/>
    <row r="712" ht="19.5" customHeight="1" s="677" customFormat="1" x14ac:dyDescent="0.25"/>
    <row r="713" ht="19.5" customHeight="1" s="677" customFormat="1" x14ac:dyDescent="0.25"/>
    <row r="714" ht="19.5" customHeight="1" s="677" customFormat="1" x14ac:dyDescent="0.25"/>
    <row r="715" ht="19.5" customHeight="1" s="677" customFormat="1" x14ac:dyDescent="0.25"/>
    <row r="716" ht="19.5" customHeight="1" s="677" customFormat="1" x14ac:dyDescent="0.25"/>
    <row r="717" ht="19.5" customHeight="1" s="677" customFormat="1" x14ac:dyDescent="0.25"/>
    <row r="718" ht="19.5" customHeight="1" s="677" customFormat="1" x14ac:dyDescent="0.25"/>
    <row r="719" ht="19.5" customHeight="1" s="677" customFormat="1" x14ac:dyDescent="0.25"/>
    <row r="720" ht="19.5" customHeight="1" s="677" customFormat="1" x14ac:dyDescent="0.25"/>
    <row r="721" ht="19.5" customHeight="1" s="677" customFormat="1" x14ac:dyDescent="0.25"/>
    <row r="722" ht="19.5" customHeight="1" s="677" customFormat="1" x14ac:dyDescent="0.25"/>
    <row r="723" ht="19.5" customHeight="1" s="677" customFormat="1" x14ac:dyDescent="0.25"/>
    <row r="724" ht="19.5" customHeight="1" s="677" customFormat="1" x14ac:dyDescent="0.25"/>
    <row r="725" ht="19.5" customHeight="1" s="677" customFormat="1" x14ac:dyDescent="0.25"/>
    <row r="726" ht="19.5" customHeight="1" s="677" customFormat="1" x14ac:dyDescent="0.25"/>
    <row r="727" ht="19.5" customHeight="1" s="677" customFormat="1" x14ac:dyDescent="0.25"/>
    <row r="728" ht="19.5" customHeight="1" s="677" customFormat="1" x14ac:dyDescent="0.25"/>
    <row r="729" ht="19.5" customHeight="1" s="677" customFormat="1" x14ac:dyDescent="0.25"/>
    <row r="730" ht="19.5" customHeight="1" s="677" customFormat="1" x14ac:dyDescent="0.25"/>
    <row r="731" ht="19.5" customHeight="1" s="677" customFormat="1" x14ac:dyDescent="0.25"/>
    <row r="732" ht="19.5" customHeight="1" s="677" customFormat="1" x14ac:dyDescent="0.25"/>
    <row r="733" ht="19.5" customHeight="1" s="677" customFormat="1" x14ac:dyDescent="0.25"/>
    <row r="734" ht="19.5" customHeight="1" s="677" customFormat="1" x14ac:dyDescent="0.25"/>
    <row r="735" ht="19.5" customHeight="1" s="677" customFormat="1" x14ac:dyDescent="0.25"/>
    <row r="736" ht="19.5" customHeight="1" s="677" customFormat="1" x14ac:dyDescent="0.25"/>
    <row r="737" ht="19.5" customHeight="1" s="677" customFormat="1" x14ac:dyDescent="0.25"/>
    <row r="738" ht="19.5" customHeight="1" s="677" customFormat="1" x14ac:dyDescent="0.25"/>
    <row r="739" ht="19.5" customHeight="1" s="677" customFormat="1" x14ac:dyDescent="0.25"/>
    <row r="740" ht="19.5" customHeight="1" s="677" customFormat="1" x14ac:dyDescent="0.25"/>
    <row r="741" ht="19.5" customHeight="1" s="677" customFormat="1" x14ac:dyDescent="0.25"/>
    <row r="742" ht="19.5" customHeight="1" s="677" customFormat="1" x14ac:dyDescent="0.25"/>
    <row r="743" ht="19.5" customHeight="1" s="677" customFormat="1" x14ac:dyDescent="0.25"/>
    <row r="744" ht="19.5" customHeight="1" s="677" customFormat="1" x14ac:dyDescent="0.25"/>
    <row r="745" ht="19.5" customHeight="1" s="677" customFormat="1" x14ac:dyDescent="0.25"/>
    <row r="746" ht="19.5" customHeight="1" s="677" customFormat="1" x14ac:dyDescent="0.25"/>
    <row r="747" ht="19.5" customHeight="1" s="677" customFormat="1" x14ac:dyDescent="0.25"/>
    <row r="748" ht="19.5" customHeight="1" s="677" customFormat="1" x14ac:dyDescent="0.25"/>
    <row r="749" ht="19.5" customHeight="1" s="677" customFormat="1" x14ac:dyDescent="0.25"/>
    <row r="750" ht="19.5" customHeight="1" s="677" customFormat="1" x14ac:dyDescent="0.25"/>
    <row r="751" ht="19.5" customHeight="1" s="677" customFormat="1" x14ac:dyDescent="0.25"/>
    <row r="752" ht="19.5" customHeight="1" s="677" customFormat="1" x14ac:dyDescent="0.25"/>
    <row r="753" ht="19.5" customHeight="1" s="677" customFormat="1" x14ac:dyDescent="0.25"/>
    <row r="754" ht="19.5" customHeight="1" s="677" customFormat="1" x14ac:dyDescent="0.25"/>
    <row r="755" ht="19.5" customHeight="1" s="677" customFormat="1" x14ac:dyDescent="0.25"/>
    <row r="756" ht="19.5" customHeight="1" s="677" customFormat="1" x14ac:dyDescent="0.25"/>
    <row r="757" ht="19.5" customHeight="1" s="677" customFormat="1" x14ac:dyDescent="0.25"/>
    <row r="758" ht="19.5" customHeight="1" s="677" customFormat="1" x14ac:dyDescent="0.25"/>
    <row r="759" ht="19.5" customHeight="1" s="677" customFormat="1" x14ac:dyDescent="0.25"/>
    <row r="760" ht="19.5" customHeight="1" s="677" customFormat="1" x14ac:dyDescent="0.25"/>
    <row r="761" ht="19.5" customHeight="1" s="677" customFormat="1" x14ac:dyDescent="0.25"/>
    <row r="762" ht="19.5" customHeight="1" s="677" customFormat="1" x14ac:dyDescent="0.25"/>
    <row r="763" ht="19.5" customHeight="1" s="677" customFormat="1" x14ac:dyDescent="0.25"/>
    <row r="764" ht="19.5" customHeight="1" s="677" customFormat="1" x14ac:dyDescent="0.25"/>
    <row r="765" ht="19.5" customHeight="1" s="677" customFormat="1" x14ac:dyDescent="0.25"/>
    <row r="766" ht="19.5" customHeight="1" s="677" customFormat="1" x14ac:dyDescent="0.25"/>
    <row r="767" ht="19.5" customHeight="1" s="677" customFormat="1" x14ac:dyDescent="0.25"/>
    <row r="768" ht="19.5" customHeight="1" s="677" customFormat="1" x14ac:dyDescent="0.25"/>
    <row r="769" ht="19.5" customHeight="1" s="677" customFormat="1" x14ac:dyDescent="0.25"/>
    <row r="770" ht="19.5" customHeight="1" s="677" customFormat="1" x14ac:dyDescent="0.25"/>
    <row r="771" ht="19.5" customHeight="1" s="677" customFormat="1" x14ac:dyDescent="0.25"/>
    <row r="772" ht="19.5" customHeight="1" s="677" customFormat="1" x14ac:dyDescent="0.25"/>
    <row r="773" ht="19.5" customHeight="1" s="677" customFormat="1" x14ac:dyDescent="0.25"/>
    <row r="774" ht="19.5" customHeight="1" s="677" customFormat="1" x14ac:dyDescent="0.25"/>
    <row r="775" ht="19.5" customHeight="1" s="677" customFormat="1" x14ac:dyDescent="0.25"/>
    <row r="776" ht="19.5" customHeight="1" s="677" customFormat="1" x14ac:dyDescent="0.25"/>
    <row r="777" ht="19.5" customHeight="1" s="677" customFormat="1" x14ac:dyDescent="0.25"/>
    <row r="778" ht="19.5" customHeight="1" s="677" customFormat="1" x14ac:dyDescent="0.25"/>
    <row r="779" ht="19.5" customHeight="1" s="677" customFormat="1" x14ac:dyDescent="0.25"/>
    <row r="780" ht="19.5" customHeight="1" s="677" customFormat="1" x14ac:dyDescent="0.25"/>
    <row r="781" ht="19.5" customHeight="1" s="677" customFormat="1" x14ac:dyDescent="0.25"/>
    <row r="782" ht="19.5" customHeight="1" s="677" customFormat="1" x14ac:dyDescent="0.25"/>
    <row r="783" ht="19.5" customHeight="1" s="677" customFormat="1" x14ac:dyDescent="0.25"/>
    <row r="784" ht="19.5" customHeight="1" s="677" customFormat="1" x14ac:dyDescent="0.25"/>
    <row r="785" ht="19.5" customHeight="1" s="677" customFormat="1" x14ac:dyDescent="0.25"/>
    <row r="786" ht="19.5" customHeight="1" s="677" customFormat="1" x14ac:dyDescent="0.25"/>
    <row r="787" ht="19.5" customHeight="1" s="677" customFormat="1" x14ac:dyDescent="0.25"/>
    <row r="788" ht="19.5" customHeight="1" s="677" customFormat="1" x14ac:dyDescent="0.25"/>
    <row r="789" ht="19.5" customHeight="1" s="677" customFormat="1" x14ac:dyDescent="0.25"/>
    <row r="790" ht="19.5" customHeight="1" s="677" customFormat="1" x14ac:dyDescent="0.25"/>
    <row r="791" ht="19.5" customHeight="1" s="677" customFormat="1" x14ac:dyDescent="0.25"/>
    <row r="792" ht="19.5" customHeight="1" s="677" customFormat="1" x14ac:dyDescent="0.25"/>
    <row r="793" ht="19.5" customHeight="1" s="677" customFormat="1" x14ac:dyDescent="0.25"/>
    <row r="794" ht="19.5" customHeight="1" s="677" customFormat="1" x14ac:dyDescent="0.25"/>
    <row r="795" ht="19.5" customHeight="1" s="677" customFormat="1" x14ac:dyDescent="0.25"/>
    <row r="796" ht="19.5" customHeight="1" s="677" customFormat="1" x14ac:dyDescent="0.25"/>
    <row r="797" ht="19.5" customHeight="1" s="677" customFormat="1" x14ac:dyDescent="0.25"/>
    <row r="798" ht="19.5" customHeight="1" s="677" customFormat="1" x14ac:dyDescent="0.25"/>
    <row r="799" ht="19.5" customHeight="1" s="677" customFormat="1" x14ac:dyDescent="0.25"/>
    <row r="800" ht="19.5" customHeight="1" s="677" customFormat="1" x14ac:dyDescent="0.25"/>
    <row r="801" ht="19.5" customHeight="1" s="677" customFormat="1" x14ac:dyDescent="0.25"/>
    <row r="802" ht="19.5" customHeight="1" s="677" customFormat="1" x14ac:dyDescent="0.25"/>
    <row r="803" ht="19.5" customHeight="1" s="677" customFormat="1" x14ac:dyDescent="0.25"/>
    <row r="804" ht="19.5" customHeight="1" s="677" customFormat="1" x14ac:dyDescent="0.25"/>
    <row r="805" ht="19.5" customHeight="1" s="677" customFormat="1" x14ac:dyDescent="0.25"/>
    <row r="806" ht="19.5" customHeight="1" s="677" customFormat="1" x14ac:dyDescent="0.25"/>
    <row r="807" ht="19.5" customHeight="1" s="677" customFormat="1" x14ac:dyDescent="0.25"/>
    <row r="808" ht="19.5" customHeight="1" s="677" customFormat="1" x14ac:dyDescent="0.25"/>
    <row r="809" ht="19.5" customHeight="1" s="677" customFormat="1" x14ac:dyDescent="0.25"/>
    <row r="810" ht="19.5" customHeight="1" s="677" customFormat="1" x14ac:dyDescent="0.25"/>
    <row r="811" ht="19.5" customHeight="1" s="677" customFormat="1" x14ac:dyDescent="0.25"/>
    <row r="812" ht="19.5" customHeight="1" s="677" customFormat="1" x14ac:dyDescent="0.25"/>
    <row r="813" ht="19.5" customHeight="1" s="677" customFormat="1" x14ac:dyDescent="0.25"/>
    <row r="814" ht="19.5" customHeight="1" s="677" customFormat="1" x14ac:dyDescent="0.25"/>
    <row r="815" ht="19.5" customHeight="1" s="677" customFormat="1" x14ac:dyDescent="0.25"/>
    <row r="816" ht="19.5" customHeight="1" s="677" customFormat="1" x14ac:dyDescent="0.25"/>
    <row r="817" ht="19.5" customHeight="1" s="677" customFormat="1" x14ac:dyDescent="0.25"/>
    <row r="818" ht="19.5" customHeight="1" s="677" customFormat="1" x14ac:dyDescent="0.25"/>
    <row r="819" ht="19.5" customHeight="1" s="677" customFormat="1" x14ac:dyDescent="0.25"/>
    <row r="820" ht="19.5" customHeight="1" s="677" customFormat="1" x14ac:dyDescent="0.25"/>
    <row r="821" ht="19.5" customHeight="1" s="677" customFormat="1" x14ac:dyDescent="0.25"/>
    <row r="822" ht="19.5" customHeight="1" s="677" customFormat="1" x14ac:dyDescent="0.25"/>
    <row r="823" ht="19.5" customHeight="1" s="677" customFormat="1" x14ac:dyDescent="0.25"/>
    <row r="824" ht="19.5" customHeight="1" s="677" customFormat="1" x14ac:dyDescent="0.25"/>
    <row r="825" ht="19.5" customHeight="1" s="677" customFormat="1" x14ac:dyDescent="0.25"/>
    <row r="826" ht="19.5" customHeight="1" s="677" customFormat="1" x14ac:dyDescent="0.25"/>
    <row r="827" ht="19.5" customHeight="1" s="677" customFormat="1" x14ac:dyDescent="0.25"/>
    <row r="828" ht="19.5" customHeight="1" s="677" customFormat="1" x14ac:dyDescent="0.25"/>
    <row r="829" ht="19.5" customHeight="1" s="677" customFormat="1" x14ac:dyDescent="0.25"/>
    <row r="830" ht="19.5" customHeight="1" s="677" customFormat="1" x14ac:dyDescent="0.25"/>
    <row r="831" ht="19.5" customHeight="1" s="677" customFormat="1" x14ac:dyDescent="0.25"/>
    <row r="832" ht="19.5" customHeight="1" s="677" customFormat="1" x14ac:dyDescent="0.25"/>
    <row r="833" ht="19.5" customHeight="1" s="677" customFormat="1" x14ac:dyDescent="0.25"/>
    <row r="834" ht="19.5" customHeight="1" s="677" customFormat="1" x14ac:dyDescent="0.25"/>
    <row r="835" ht="19.5" customHeight="1" s="677" customFormat="1" x14ac:dyDescent="0.25"/>
    <row r="836" ht="19.5" customHeight="1" s="677" customFormat="1" x14ac:dyDescent="0.25"/>
    <row r="837" ht="19.5" customHeight="1" s="677" customFormat="1" x14ac:dyDescent="0.25"/>
    <row r="838" ht="19.5" customHeight="1" s="677" customFormat="1" x14ac:dyDescent="0.25"/>
    <row r="839" ht="19.5" customHeight="1" s="677" customFormat="1" x14ac:dyDescent="0.25"/>
    <row r="840" ht="19.5" customHeight="1" s="677" customFormat="1" x14ac:dyDescent="0.25"/>
    <row r="841" ht="19.5" customHeight="1" s="677" customFormat="1" x14ac:dyDescent="0.25"/>
    <row r="842" ht="19.5" customHeight="1" s="677" customFormat="1" x14ac:dyDescent="0.25"/>
    <row r="843" ht="19.5" customHeight="1" s="677" customFormat="1" x14ac:dyDescent="0.25"/>
    <row r="844" ht="19.5" customHeight="1" s="677" customFormat="1" x14ac:dyDescent="0.25"/>
    <row r="845" ht="19.5" customHeight="1" s="677" customFormat="1" x14ac:dyDescent="0.25"/>
    <row r="846" ht="19.5" customHeight="1" s="677" customFormat="1" x14ac:dyDescent="0.25"/>
    <row r="847" ht="19.5" customHeight="1" s="677" customFormat="1" x14ac:dyDescent="0.25"/>
    <row r="848" ht="19.5" customHeight="1" s="677" customFormat="1" x14ac:dyDescent="0.25"/>
    <row r="849" ht="19.5" customHeight="1" s="677" customFormat="1" x14ac:dyDescent="0.25"/>
    <row r="850" ht="19.5" customHeight="1" s="677" customFormat="1" x14ac:dyDescent="0.25"/>
    <row r="851" ht="19.5" customHeight="1" s="677" customFormat="1" x14ac:dyDescent="0.25"/>
    <row r="852" ht="19.5" customHeight="1" s="677" customFormat="1" x14ac:dyDescent="0.25"/>
    <row r="853" ht="19.5" customHeight="1" s="677" customFormat="1" x14ac:dyDescent="0.25"/>
    <row r="854" ht="19.5" customHeight="1" s="677" customFormat="1" x14ac:dyDescent="0.25"/>
    <row r="855" ht="19.5" customHeight="1" s="677" customFormat="1" x14ac:dyDescent="0.25"/>
    <row r="856" ht="19.5" customHeight="1" s="677" customFormat="1" x14ac:dyDescent="0.25"/>
    <row r="857" ht="19.5" customHeight="1" s="677" customFormat="1" x14ac:dyDescent="0.25"/>
    <row r="858" ht="19.5" customHeight="1" s="677" customFormat="1" x14ac:dyDescent="0.25"/>
    <row r="859" ht="19.5" customHeight="1" s="677" customFormat="1" x14ac:dyDescent="0.25"/>
    <row r="860" ht="19.5" customHeight="1" s="677" customFormat="1" x14ac:dyDescent="0.25"/>
    <row r="861" ht="19.5" customHeight="1" s="677" customFormat="1" x14ac:dyDescent="0.25"/>
    <row r="862" ht="19.5" customHeight="1" s="677" customFormat="1" x14ac:dyDescent="0.25"/>
    <row r="863" ht="19.5" customHeight="1" s="677" customFormat="1" x14ac:dyDescent="0.25"/>
    <row r="864" ht="19.5" customHeight="1" s="677" customFormat="1" x14ac:dyDescent="0.25"/>
    <row r="865" ht="19.5" customHeight="1" s="677" customFormat="1" x14ac:dyDescent="0.25"/>
    <row r="866" ht="19.5" customHeight="1" s="677" customFormat="1" x14ac:dyDescent="0.25"/>
    <row r="867" ht="19.5" customHeight="1" s="677" customFormat="1" x14ac:dyDescent="0.25"/>
    <row r="868" ht="19.5" customHeight="1" s="677" customFormat="1" x14ac:dyDescent="0.25"/>
    <row r="869" ht="19.5" customHeight="1" s="677" customFormat="1" x14ac:dyDescent="0.25"/>
    <row r="870" ht="19.5" customHeight="1" s="677" customFormat="1" x14ac:dyDescent="0.25"/>
    <row r="871" ht="19.5" customHeight="1" s="677" customFormat="1" x14ac:dyDescent="0.25"/>
    <row r="872" ht="19.5" customHeight="1" s="677" customFormat="1" x14ac:dyDescent="0.25"/>
    <row r="873" ht="19.5" customHeight="1" s="677" customFormat="1" x14ac:dyDescent="0.25"/>
    <row r="874" ht="19.5" customHeight="1" s="677" customFormat="1" x14ac:dyDescent="0.25"/>
    <row r="875" ht="19.5" customHeight="1" s="677" customFormat="1" x14ac:dyDescent="0.25"/>
    <row r="876" ht="19.5" customHeight="1" s="677" customFormat="1" x14ac:dyDescent="0.25"/>
    <row r="877" ht="19.5" customHeight="1" s="677" customFormat="1" x14ac:dyDescent="0.25"/>
    <row r="878" ht="19.5" customHeight="1" s="677" customFormat="1" x14ac:dyDescent="0.25"/>
    <row r="879" ht="19.5" customHeight="1" s="677" customFormat="1" x14ac:dyDescent="0.25"/>
    <row r="880" ht="19.5" customHeight="1" s="677" customFormat="1" x14ac:dyDescent="0.25"/>
    <row r="881" ht="19.5" customHeight="1" s="677" customFormat="1" x14ac:dyDescent="0.25"/>
    <row r="882" ht="19.5" customHeight="1" s="677" customFormat="1" x14ac:dyDescent="0.25"/>
    <row r="883" ht="19.5" customHeight="1" s="677" customFormat="1" x14ac:dyDescent="0.25"/>
    <row r="884" ht="19.5" customHeight="1" s="677" customFormat="1" x14ac:dyDescent="0.25"/>
    <row r="885" ht="19.5" customHeight="1" s="677" customFormat="1" x14ac:dyDescent="0.25"/>
    <row r="886" ht="19.5" customHeight="1" s="677" customFormat="1" x14ac:dyDescent="0.25"/>
    <row r="887" ht="19.5" customHeight="1" s="677" customFormat="1" x14ac:dyDescent="0.25"/>
    <row r="888" ht="19.5" customHeight="1" s="677" customFormat="1" x14ac:dyDescent="0.25"/>
    <row r="889" ht="19.5" customHeight="1" s="677" customFormat="1" x14ac:dyDescent="0.25"/>
    <row r="890" ht="19.5" customHeight="1" s="677" customFormat="1" x14ac:dyDescent="0.25"/>
    <row r="891" ht="19.5" customHeight="1" s="677" customFormat="1" x14ac:dyDescent="0.25"/>
    <row r="892" ht="19.5" customHeight="1" s="677" customFormat="1" x14ac:dyDescent="0.25"/>
    <row r="893" ht="19.5" customHeight="1" s="677" customFormat="1" x14ac:dyDescent="0.25"/>
    <row r="894" ht="19.5" customHeight="1" s="677" customFormat="1" x14ac:dyDescent="0.25"/>
    <row r="895" ht="19.5" customHeight="1" s="677" customFormat="1" x14ac:dyDescent="0.25"/>
    <row r="896" ht="19.5" customHeight="1" s="677" customFormat="1" x14ac:dyDescent="0.25"/>
    <row r="897" ht="19.5" customHeight="1" s="677" customFormat="1" x14ac:dyDescent="0.25"/>
    <row r="898" ht="19.5" customHeight="1" s="677" customFormat="1" x14ac:dyDescent="0.25"/>
    <row r="899" ht="19.5" customHeight="1" s="677" customFormat="1" x14ac:dyDescent="0.25"/>
    <row r="900" ht="19.5" customHeight="1" s="677" customFormat="1" x14ac:dyDescent="0.25"/>
    <row r="901" ht="19.5" customHeight="1" s="677" customFormat="1" x14ac:dyDescent="0.25"/>
    <row r="902" ht="19.5" customHeight="1" s="677" customFormat="1" x14ac:dyDescent="0.25"/>
    <row r="903" ht="19.5" customHeight="1" s="677" customFormat="1" x14ac:dyDescent="0.25"/>
    <row r="904" ht="19.5" customHeight="1" s="677" customFormat="1" x14ac:dyDescent="0.25"/>
    <row r="905" ht="19.5" customHeight="1" s="677" customFormat="1" x14ac:dyDescent="0.25"/>
    <row r="906" ht="19.5" customHeight="1" s="677" customFormat="1" x14ac:dyDescent="0.25"/>
    <row r="907" ht="19.5" customHeight="1" s="677" customFormat="1" x14ac:dyDescent="0.25"/>
    <row r="908" ht="19.5" customHeight="1" s="677" customFormat="1" x14ac:dyDescent="0.25"/>
    <row r="909" ht="19.5" customHeight="1" s="677" customFormat="1" x14ac:dyDescent="0.25"/>
    <row r="910" ht="19.5" customHeight="1" s="677" customFormat="1" x14ac:dyDescent="0.25"/>
    <row r="911" ht="19.5" customHeight="1" s="677" customFormat="1" x14ac:dyDescent="0.25"/>
    <row r="912" ht="19.5" customHeight="1" s="677" customFormat="1" x14ac:dyDescent="0.25"/>
    <row r="913" ht="19.5" customHeight="1" s="677" customFormat="1" x14ac:dyDescent="0.25"/>
    <row r="914" ht="19.5" customHeight="1" s="677" customFormat="1" x14ac:dyDescent="0.25"/>
    <row r="915" ht="19.5" customHeight="1" s="677" customFormat="1" x14ac:dyDescent="0.25"/>
    <row r="916" ht="19.5" customHeight="1" s="677" customFormat="1" x14ac:dyDescent="0.25"/>
    <row r="917" ht="19.5" customHeight="1" s="677" customFormat="1" x14ac:dyDescent="0.25"/>
    <row r="918" ht="19.5" customHeight="1" s="677" customFormat="1" x14ac:dyDescent="0.25"/>
    <row r="919" ht="19.5" customHeight="1" s="677" customFormat="1" x14ac:dyDescent="0.25"/>
    <row r="920" ht="19.5" customHeight="1" s="677" customFormat="1" x14ac:dyDescent="0.25"/>
    <row r="921" ht="19.5" customHeight="1" s="677" customFormat="1" x14ac:dyDescent="0.25"/>
    <row r="922" ht="19.5" customHeight="1" s="677" customFormat="1" x14ac:dyDescent="0.25"/>
    <row r="923" ht="19.5" customHeight="1" s="677" customFormat="1" x14ac:dyDescent="0.25"/>
    <row r="924" ht="19.5" customHeight="1" s="677" customFormat="1" x14ac:dyDescent="0.25"/>
    <row r="925" ht="19.5" customHeight="1" s="677" customFormat="1" x14ac:dyDescent="0.25"/>
    <row r="926" ht="19.5" customHeight="1" s="677" customFormat="1" x14ac:dyDescent="0.25"/>
    <row r="927" ht="19.5" customHeight="1" s="677" customFormat="1" x14ac:dyDescent="0.25"/>
    <row r="928" ht="19.5" customHeight="1" s="677" customFormat="1" x14ac:dyDescent="0.25"/>
    <row r="929" ht="19.5" customHeight="1" s="677" customFormat="1" x14ac:dyDescent="0.25"/>
    <row r="930" ht="19.5" customHeight="1" s="677" customFormat="1" x14ac:dyDescent="0.25"/>
    <row r="931" ht="19.5" customHeight="1" s="677" customFormat="1" x14ac:dyDescent="0.25"/>
    <row r="932" ht="19.5" customHeight="1" s="677" customFormat="1" x14ac:dyDescent="0.25"/>
    <row r="933" ht="19.5" customHeight="1" s="677" customFormat="1" x14ac:dyDescent="0.25"/>
    <row r="934" ht="19.5" customHeight="1" s="677" customFormat="1" x14ac:dyDescent="0.25"/>
    <row r="935" ht="19.5" customHeight="1" s="677" customFormat="1" x14ac:dyDescent="0.25"/>
    <row r="936" ht="19.5" customHeight="1" s="677" customFormat="1" x14ac:dyDescent="0.25"/>
    <row r="937" ht="19.5" customHeight="1" s="677" customFormat="1" x14ac:dyDescent="0.25"/>
    <row r="938" ht="19.5" customHeight="1" s="677" customFormat="1" x14ac:dyDescent="0.25"/>
    <row r="939" ht="19.5" customHeight="1" s="677" customFormat="1" x14ac:dyDescent="0.25"/>
    <row r="940" ht="19.5" customHeight="1" s="677" customFormat="1" x14ac:dyDescent="0.25"/>
    <row r="941" ht="19.5" customHeight="1" s="677" customFormat="1" x14ac:dyDescent="0.25"/>
    <row r="942" ht="19.5" customHeight="1" s="677" customFormat="1" x14ac:dyDescent="0.25"/>
    <row r="943" ht="19.5" customHeight="1" s="677" customFormat="1" x14ac:dyDescent="0.25"/>
    <row r="944" ht="19.5" customHeight="1" s="677" customFormat="1" x14ac:dyDescent="0.25"/>
    <row r="945" ht="19.5" customHeight="1" s="677" customFormat="1" x14ac:dyDescent="0.25"/>
    <row r="946" ht="19.5" customHeight="1" s="677" customFormat="1" x14ac:dyDescent="0.25"/>
    <row r="947" ht="19.5" customHeight="1" s="677" customFormat="1" x14ac:dyDescent="0.25"/>
    <row r="948" ht="19.5" customHeight="1" s="677" customFormat="1" x14ac:dyDescent="0.25"/>
    <row r="949" ht="19.5" customHeight="1" s="677" customFormat="1" x14ac:dyDescent="0.25"/>
    <row r="950" ht="19.5" customHeight="1" s="677" customFormat="1" x14ac:dyDescent="0.25"/>
    <row r="951" ht="19.5" customHeight="1" s="677" customFormat="1" x14ac:dyDescent="0.25"/>
    <row r="952" ht="19.5" customHeight="1" s="677" customFormat="1" x14ac:dyDescent="0.25"/>
    <row r="953" ht="19.5" customHeight="1" s="677" customFormat="1" x14ac:dyDescent="0.25"/>
    <row r="954" ht="19.5" customHeight="1" s="677" customFormat="1" x14ac:dyDescent="0.25"/>
    <row r="955" ht="19.5" customHeight="1" s="677" customFormat="1" x14ac:dyDescent="0.25"/>
    <row r="956" ht="19.5" customHeight="1" s="677" customFormat="1" x14ac:dyDescent="0.25"/>
    <row r="957" ht="19.5" customHeight="1" s="677" customFormat="1" x14ac:dyDescent="0.25"/>
    <row r="958" ht="19.5" customHeight="1" s="677" customFormat="1" x14ac:dyDescent="0.25"/>
    <row r="959" ht="19.5" customHeight="1" s="677" customFormat="1" x14ac:dyDescent="0.25"/>
    <row r="960" ht="19.5" customHeight="1" s="677" customFormat="1" x14ac:dyDescent="0.25"/>
    <row r="961" ht="19.5" customHeight="1" s="677" customFormat="1" x14ac:dyDescent="0.25"/>
    <row r="962" ht="19.5" customHeight="1" s="677" customFormat="1" x14ac:dyDescent="0.25"/>
    <row r="963" ht="19.5" customHeight="1" s="677" customFormat="1" x14ac:dyDescent="0.25"/>
    <row r="964" ht="19.5" customHeight="1" s="677" customFormat="1" x14ac:dyDescent="0.25"/>
    <row r="965" ht="19.5" customHeight="1" s="677" customFormat="1" x14ac:dyDescent="0.25"/>
    <row r="966" ht="19.5" customHeight="1" s="677" customFormat="1" x14ac:dyDescent="0.25"/>
    <row r="967" ht="19.5" customHeight="1" s="677" customFormat="1" x14ac:dyDescent="0.25"/>
    <row r="968" ht="19.5" customHeight="1" s="677" customFormat="1" x14ac:dyDescent="0.25"/>
    <row r="969" ht="19.5" customHeight="1" s="677" customFormat="1" x14ac:dyDescent="0.25"/>
    <row r="970" ht="19.5" customHeight="1" s="677" customFormat="1" x14ac:dyDescent="0.25"/>
    <row r="971" ht="19.5" customHeight="1" s="677" customFormat="1" x14ac:dyDescent="0.25"/>
  </sheetData>
  <mergeCells count="59">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J32:S32"/>
  </mergeCells>
  <pageMargins left="0.7086614173228347" right="0.31496062992125984" top="0.5511811023622047" bottom="0.15748031496062992" header="0" footer="0"/>
  <pageSetup paperSize="9" orientation="portrait" horizontalDpi="4294967295" verticalDpi="4294967295" scale="52"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Views>
    <sheetView workbookViewId="0" zoomScale="70" zoomScaleNormal="70">
      <selection activeCell="F64" sqref="F64"/>
    </sheetView>
  </sheetViews>
  <sheetFormatPr defaultRowHeight="53.25" outlineLevelRow="0" outlineLevelCol="0" x14ac:dyDescent="0" defaultColWidth="4.28515625" customHeight="1"/>
  <cols>
    <col min="1" max="1" width="4.28515625" style="840" customWidth="1"/>
    <col min="2" max="3" width="4.28515625" style="902" customWidth="1"/>
    <col min="4" max="4" width="19.5703125" style="902" customWidth="1"/>
    <col min="5" max="5" width="80.7109375" style="840" customWidth="1"/>
    <col min="6" max="6" width="66.28515625" style="840" customWidth="1"/>
    <col min="7" max="8" width="4.28515625" style="840" customWidth="1"/>
    <col min="9" max="9" width="28.7109375" style="840" customWidth="1"/>
    <col min="10" max="16384" width="4.28515625" style="840" customWidth="1"/>
  </cols>
  <sheetData>
    <row r="1" ht="53.25" customHeight="1" spans="1:9" s="903" customFormat="1" x14ac:dyDescent="0.25">
      <c r="A1" s="904" t="s">
        <v>1729</v>
      </c>
      <c r="C1" s="905"/>
      <c r="D1" s="905"/>
      <c r="E1" s="905"/>
      <c r="I1" s="830" t="s">
        <v>1661</v>
      </c>
    </row>
    <row r="2" ht="53.25" customHeight="1" spans="1:9" s="902" customFormat="1" x14ac:dyDescent="0.25">
      <c r="A2" s="840"/>
      <c r="B2" s="906"/>
      <c r="C2" s="907"/>
      <c r="D2" s="908" t="s">
        <v>1597</v>
      </c>
      <c r="E2" s="909" t="s">
        <v>1636</v>
      </c>
      <c r="F2" s="908" t="s">
        <v>948</v>
      </c>
      <c r="G2" s="840"/>
      <c r="H2" s="840"/>
      <c r="I2" s="840"/>
    </row>
    <row r="3" ht="53.25" customHeight="1" spans="2:9" x14ac:dyDescent="0.25">
      <c r="B3" s="910" t="s">
        <v>1637</v>
      </c>
      <c r="C3" s="911">
        <v>1</v>
      </c>
      <c r="D3" s="912" t="s">
        <v>1730</v>
      </c>
      <c r="E3" s="913" t="s">
        <v>1731</v>
      </c>
      <c r="F3" s="914" t="s">
        <v>1732</v>
      </c>
      <c r="I3" s="840" t="s">
        <v>1728</v>
      </c>
    </row>
    <row r="4" ht="53.25" customHeight="1" spans="2:6" x14ac:dyDescent="0.25">
      <c r="B4" s="915" t="s">
        <v>1637</v>
      </c>
      <c r="C4" s="916">
        <v>2</v>
      </c>
      <c r="D4" s="912" t="s">
        <v>1733</v>
      </c>
      <c r="E4" s="917" t="s">
        <v>1734</v>
      </c>
      <c r="F4" s="918" t="s">
        <v>1735</v>
      </c>
    </row>
    <row r="5" ht="53.25" customHeight="1" spans="2:6" x14ac:dyDescent="0.25">
      <c r="B5" s="915" t="s">
        <v>1637</v>
      </c>
      <c r="C5" s="919">
        <v>3</v>
      </c>
      <c r="D5" s="912" t="s">
        <v>1736</v>
      </c>
      <c r="E5" s="917" t="s">
        <v>1737</v>
      </c>
      <c r="F5" s="918" t="s">
        <v>1735</v>
      </c>
    </row>
    <row r="6" ht="78" customHeight="1" spans="2:6" x14ac:dyDescent="0.25">
      <c r="B6" s="915" t="s">
        <v>1637</v>
      </c>
      <c r="C6" s="919">
        <v>4</v>
      </c>
      <c r="D6" s="920" t="s">
        <v>1738</v>
      </c>
      <c r="E6" s="843" t="s">
        <v>1739</v>
      </c>
      <c r="F6" s="921" t="s">
        <v>1740</v>
      </c>
    </row>
    <row r="7" ht="53.25" customHeight="1" spans="2:6" x14ac:dyDescent="0.25">
      <c r="B7" s="915" t="s">
        <v>1637</v>
      </c>
      <c r="C7" s="919">
        <v>5</v>
      </c>
      <c r="D7" s="922" t="s">
        <v>1638</v>
      </c>
      <c r="E7" s="923" t="s">
        <v>1662</v>
      </c>
      <c r="F7" s="923" t="s">
        <v>1663</v>
      </c>
    </row>
    <row r="8" ht="53.25" customHeight="1" spans="2:6" x14ac:dyDescent="0.25">
      <c r="B8" s="915" t="s">
        <v>1637</v>
      </c>
      <c r="C8" s="924">
        <v>6</v>
      </c>
      <c r="D8" s="889" t="s">
        <v>1639</v>
      </c>
      <c r="E8" s="925" t="s">
        <v>1741</v>
      </c>
      <c r="F8" s="921" t="s">
        <v>1709</v>
      </c>
    </row>
    <row r="9" ht="53.25" customHeight="1" spans="2:6" x14ac:dyDescent="0.25">
      <c r="B9" s="915" t="s">
        <v>1637</v>
      </c>
      <c r="C9" s="926">
        <v>7</v>
      </c>
      <c r="D9" s="927" t="s">
        <v>1640</v>
      </c>
      <c r="E9" s="925" t="s">
        <v>1669</v>
      </c>
      <c r="F9" s="921" t="s">
        <v>1670</v>
      </c>
    </row>
    <row r="10" ht="53.25" customHeight="1" spans="2:6" x14ac:dyDescent="0.25">
      <c r="B10" s="915" t="s">
        <v>1637</v>
      </c>
      <c r="C10" s="928">
        <v>8</v>
      </c>
      <c r="D10" s="927" t="s">
        <v>1641</v>
      </c>
      <c r="E10" s="925" t="s">
        <v>1675</v>
      </c>
      <c r="F10" s="921" t="s">
        <v>1735</v>
      </c>
    </row>
    <row r="11" ht="53.25" customHeight="1" spans="2:6" x14ac:dyDescent="0.25">
      <c r="B11" s="915" t="s">
        <v>1637</v>
      </c>
      <c r="C11" s="929">
        <v>9</v>
      </c>
      <c r="D11" s="927" t="s">
        <v>1642</v>
      </c>
      <c r="E11" s="925" t="s">
        <v>1714</v>
      </c>
      <c r="F11" s="921" t="s">
        <v>1677</v>
      </c>
    </row>
    <row r="12" ht="53.25" customHeight="1" spans="2:6" x14ac:dyDescent="0.25">
      <c r="B12" s="915" t="s">
        <v>1637</v>
      </c>
      <c r="C12" s="930">
        <v>10</v>
      </c>
      <c r="D12" s="927" t="s">
        <v>1643</v>
      </c>
      <c r="E12" s="925" t="s">
        <v>1742</v>
      </c>
      <c r="F12" s="921" t="s">
        <v>1735</v>
      </c>
    </row>
    <row r="13" ht="53.25" customHeight="1" spans="2:6" x14ac:dyDescent="0.25">
      <c r="B13" s="915" t="s">
        <v>1637</v>
      </c>
      <c r="C13" s="924">
        <v>11</v>
      </c>
      <c r="D13" s="889" t="s">
        <v>1644</v>
      </c>
      <c r="E13" s="925" t="s">
        <v>1715</v>
      </c>
      <c r="F13" s="921" t="s">
        <v>1716</v>
      </c>
    </row>
    <row r="14" ht="53.25" customHeight="1" spans="2:6" x14ac:dyDescent="0.25">
      <c r="B14" s="915" t="s">
        <v>1637</v>
      </c>
      <c r="C14" s="926">
        <v>12</v>
      </c>
      <c r="D14" s="889" t="s">
        <v>772</v>
      </c>
      <c r="E14" s="843" t="s">
        <v>1681</v>
      </c>
      <c r="F14" s="844" t="s">
        <v>1682</v>
      </c>
    </row>
    <row r="15" ht="30" customHeight="1" spans="2:6" s="824" customFormat="1" x14ac:dyDescent="0.25">
      <c r="B15" s="841" t="s">
        <v>1637</v>
      </c>
      <c r="C15" s="926">
        <v>13</v>
      </c>
      <c r="D15" s="889" t="s">
        <v>1645</v>
      </c>
      <c r="E15" s="843" t="s">
        <v>1683</v>
      </c>
      <c r="F15" s="844"/>
    </row>
    <row r="16" ht="32.25" customHeight="1" spans="2:6" s="824" customFormat="1" x14ac:dyDescent="0.25">
      <c r="B16" s="841" t="s">
        <v>1637</v>
      </c>
      <c r="C16" s="926">
        <v>14</v>
      </c>
      <c r="D16" s="889" t="s">
        <v>1646</v>
      </c>
      <c r="E16" s="846" t="s">
        <v>1684</v>
      </c>
      <c r="F16" s="844" t="s">
        <v>1685</v>
      </c>
    </row>
    <row r="17" ht="53.25" customHeight="1" spans="2:6" x14ac:dyDescent="0.25">
      <c r="B17" s="915" t="s">
        <v>1637</v>
      </c>
      <c r="C17" s="926">
        <v>12</v>
      </c>
      <c r="D17" s="927" t="s">
        <v>1647</v>
      </c>
      <c r="E17" s="925" t="s">
        <v>1686</v>
      </c>
      <c r="F17" s="921" t="s">
        <v>1687</v>
      </c>
    </row>
    <row r="18" ht="53.25" customHeight="1" spans="2:6" x14ac:dyDescent="0.25">
      <c r="B18" s="915" t="s">
        <v>1637</v>
      </c>
      <c r="C18" s="926">
        <v>15</v>
      </c>
      <c r="D18" s="847" t="s">
        <v>1648</v>
      </c>
      <c r="E18" s="843" t="s">
        <v>1688</v>
      </c>
      <c r="F18" s="844" t="s">
        <v>1689</v>
      </c>
    </row>
    <row r="19" ht="53.25" customHeight="1" spans="2:6" x14ac:dyDescent="0.25">
      <c r="B19" s="915" t="s">
        <v>1637</v>
      </c>
      <c r="C19" s="926">
        <v>16</v>
      </c>
      <c r="D19" s="927" t="s">
        <v>1649</v>
      </c>
      <c r="E19" s="925" t="s">
        <v>1743</v>
      </c>
      <c r="F19" s="921" t="s">
        <v>1691</v>
      </c>
    </row>
    <row r="20" ht="53.25" customHeight="1" spans="2:6" x14ac:dyDescent="0.25">
      <c r="B20" s="915" t="s">
        <v>1637</v>
      </c>
      <c r="C20" s="926">
        <v>17</v>
      </c>
      <c r="D20" s="927" t="s">
        <v>1650</v>
      </c>
      <c r="E20" s="925" t="s">
        <v>1692</v>
      </c>
      <c r="F20" s="921" t="s">
        <v>1693</v>
      </c>
    </row>
    <row r="21" ht="53.25" customHeight="1" spans="2:6" x14ac:dyDescent="0.25">
      <c r="B21" s="915" t="s">
        <v>1637</v>
      </c>
      <c r="C21" s="926">
        <v>18</v>
      </c>
      <c r="D21" s="927" t="s">
        <v>1651</v>
      </c>
      <c r="E21" s="925" t="s">
        <v>1744</v>
      </c>
      <c r="F21" s="921" t="s">
        <v>1695</v>
      </c>
    </row>
    <row r="22" ht="53.25" customHeight="1" spans="2:6" x14ac:dyDescent="0.25">
      <c r="B22" s="915" t="s">
        <v>1637</v>
      </c>
      <c r="C22" s="926">
        <v>19</v>
      </c>
      <c r="D22" s="927" t="s">
        <v>1652</v>
      </c>
      <c r="E22" s="925" t="s">
        <v>1718</v>
      </c>
      <c r="F22" s="921" t="s">
        <v>1066</v>
      </c>
    </row>
    <row r="23" ht="53.25" customHeight="1" spans="2:6" x14ac:dyDescent="0.25">
      <c r="B23" s="915" t="s">
        <v>1637</v>
      </c>
      <c r="C23" s="926">
        <v>20</v>
      </c>
      <c r="D23" s="927" t="s">
        <v>1653</v>
      </c>
      <c r="E23" s="925" t="s">
        <v>1697</v>
      </c>
      <c r="F23" s="921" t="s">
        <v>1698</v>
      </c>
    </row>
    <row r="24" ht="53.25" customHeight="1" spans="2:6" x14ac:dyDescent="0.25">
      <c r="B24" s="915" t="s">
        <v>1637</v>
      </c>
      <c r="C24" s="926">
        <v>21</v>
      </c>
      <c r="D24" s="927" t="s">
        <v>1654</v>
      </c>
      <c r="E24" s="925" t="s">
        <v>1719</v>
      </c>
      <c r="F24" s="921" t="s">
        <v>1735</v>
      </c>
    </row>
    <row r="25" ht="53.25" customHeight="1" spans="2:6" x14ac:dyDescent="0.25">
      <c r="B25" s="915" t="s">
        <v>1637</v>
      </c>
      <c r="C25" s="926">
        <v>22</v>
      </c>
      <c r="D25" s="927" t="s">
        <v>1655</v>
      </c>
      <c r="E25" s="925" t="s">
        <v>1700</v>
      </c>
      <c r="F25" s="921" t="s">
        <v>1735</v>
      </c>
    </row>
    <row r="26" ht="53.25" customHeight="1" spans="2:6" x14ac:dyDescent="0.25">
      <c r="B26" s="915" t="s">
        <v>1637</v>
      </c>
      <c r="C26" s="926">
        <v>23</v>
      </c>
      <c r="D26" s="927" t="s">
        <v>1656</v>
      </c>
      <c r="E26" s="843" t="s">
        <v>1701</v>
      </c>
      <c r="F26" s="844" t="s">
        <v>1702</v>
      </c>
    </row>
    <row r="27" ht="53.25" customHeight="1" spans="2:6" x14ac:dyDescent="0.25">
      <c r="B27" s="931" t="s">
        <v>1637</v>
      </c>
      <c r="C27" s="926">
        <v>24</v>
      </c>
      <c r="D27" s="927" t="s">
        <v>1657</v>
      </c>
      <c r="E27" s="925" t="s">
        <v>1703</v>
      </c>
      <c r="F27" s="921" t="s">
        <v>1704</v>
      </c>
    </row>
    <row r="28" ht="53.25" customHeight="1" spans="2:6" x14ac:dyDescent="0.25">
      <c r="B28" s="931" t="s">
        <v>1637</v>
      </c>
      <c r="C28" s="926">
        <v>25</v>
      </c>
      <c r="D28" s="927" t="s">
        <v>1658</v>
      </c>
      <c r="E28" s="925" t="s">
        <v>1705</v>
      </c>
      <c r="F28" s="843" t="s">
        <v>1706</v>
      </c>
    </row>
    <row r="29" ht="53.25" customHeight="1" spans="2:6" x14ac:dyDescent="0.25">
      <c r="B29" s="932" t="s">
        <v>1637</v>
      </c>
      <c r="C29" s="933">
        <v>26</v>
      </c>
      <c r="D29" s="934" t="s">
        <v>1659</v>
      </c>
      <c r="E29" s="935" t="s">
        <v>1707</v>
      </c>
      <c r="F29" s="936" t="s">
        <v>1735</v>
      </c>
    </row>
    <row r="31" ht="53.25" customHeight="1" spans="1:5" x14ac:dyDescent="0.25">
      <c r="A31" s="840"/>
      <c r="B31" s="902"/>
      <c r="C31" s="902"/>
      <c r="D31" s="902"/>
      <c r="E31" s="840"/>
    </row>
    <row r="32" ht="53.25" customHeight="1" spans="1:6" x14ac:dyDescent="0.25">
      <c r="A32" s="937" t="s">
        <v>1728</v>
      </c>
      <c r="B32" s="903"/>
      <c r="C32" s="938"/>
      <c r="D32" s="938"/>
      <c r="E32" s="938"/>
      <c r="F32" s="903"/>
    </row>
    <row r="33" ht="53.25" customHeight="1" spans="2:6" x14ac:dyDescent="0.25">
      <c r="B33" s="939"/>
      <c r="C33" s="940"/>
      <c r="D33" s="941" t="s">
        <v>1597</v>
      </c>
      <c r="E33" s="941" t="s">
        <v>1636</v>
      </c>
      <c r="F33" s="908" t="s">
        <v>948</v>
      </c>
    </row>
    <row r="34" ht="53.25" customHeight="1" spans="2:6" x14ac:dyDescent="0.25">
      <c r="B34" s="942" t="s">
        <v>1637</v>
      </c>
      <c r="C34" s="943">
        <v>1</v>
      </c>
      <c r="D34" s="944" t="s">
        <v>1638</v>
      </c>
      <c r="E34" s="945" t="s">
        <v>1662</v>
      </c>
      <c r="F34" s="946" t="s">
        <v>1663</v>
      </c>
    </row>
    <row r="35" ht="74.25" customHeight="1" spans="2:6" x14ac:dyDescent="0.25">
      <c r="B35" s="915" t="s">
        <v>1637</v>
      </c>
      <c r="C35" s="926">
        <v>2</v>
      </c>
      <c r="D35" s="947" t="s">
        <v>1639</v>
      </c>
      <c r="E35" s="948" t="s">
        <v>1745</v>
      </c>
      <c r="F35" s="949" t="s">
        <v>1746</v>
      </c>
    </row>
    <row r="36" ht="74.25" customHeight="1" spans="2:6" x14ac:dyDescent="0.25">
      <c r="B36" s="841" t="s">
        <v>1637</v>
      </c>
      <c r="C36" s="842">
        <v>3</v>
      </c>
      <c r="D36" s="812" t="s">
        <v>72</v>
      </c>
      <c r="E36" s="949" t="s">
        <v>1667</v>
      </c>
      <c r="F36" s="844" t="s">
        <v>1668</v>
      </c>
    </row>
    <row r="37" ht="53.25" customHeight="1" spans="2:6" x14ac:dyDescent="0.25">
      <c r="B37" s="915" t="s">
        <v>1637</v>
      </c>
      <c r="C37" s="926">
        <v>3</v>
      </c>
      <c r="D37" s="947" t="s">
        <v>1640</v>
      </c>
      <c r="E37" s="950" t="s">
        <v>1669</v>
      </c>
      <c r="F37" s="949" t="s">
        <v>1670</v>
      </c>
    </row>
    <row r="38" ht="53.25" customHeight="1" spans="2:6" x14ac:dyDescent="0.25">
      <c r="B38" s="915" t="s">
        <v>1637</v>
      </c>
      <c r="C38" s="926">
        <v>4</v>
      </c>
      <c r="D38" s="890" t="s">
        <v>1672</v>
      </c>
      <c r="E38" s="950" t="s">
        <v>1673</v>
      </c>
      <c r="F38" s="949" t="s">
        <v>1674</v>
      </c>
    </row>
    <row r="39" ht="53.25" customHeight="1" spans="2:6" x14ac:dyDescent="0.25">
      <c r="B39" s="915" t="s">
        <v>1637</v>
      </c>
      <c r="C39" s="926">
        <v>5</v>
      </c>
      <c r="D39" s="947" t="s">
        <v>1641</v>
      </c>
      <c r="E39" s="950" t="s">
        <v>1675</v>
      </c>
      <c r="F39" s="949" t="s">
        <v>1066</v>
      </c>
    </row>
    <row r="40" ht="53.25" customHeight="1" spans="2:6" x14ac:dyDescent="0.25">
      <c r="B40" s="915" t="s">
        <v>1637</v>
      </c>
      <c r="C40" s="926">
        <v>6</v>
      </c>
      <c r="D40" s="947" t="s">
        <v>1642</v>
      </c>
      <c r="E40" s="950" t="s">
        <v>1676</v>
      </c>
      <c r="F40" s="949" t="s">
        <v>1677</v>
      </c>
    </row>
    <row r="41" ht="53.25" customHeight="1" spans="2:6" x14ac:dyDescent="0.25">
      <c r="B41" s="915" t="s">
        <v>1637</v>
      </c>
      <c r="C41" s="926">
        <v>7</v>
      </c>
      <c r="D41" s="947" t="s">
        <v>1643</v>
      </c>
      <c r="E41" s="951" t="s">
        <v>1678</v>
      </c>
      <c r="F41" s="949" t="s">
        <v>1066</v>
      </c>
    </row>
    <row r="42" ht="53.25" customHeight="1" spans="2:6" x14ac:dyDescent="0.25">
      <c r="B42" s="915" t="s">
        <v>1637</v>
      </c>
      <c r="C42" s="926">
        <v>8</v>
      </c>
      <c r="D42" s="947" t="s">
        <v>1644</v>
      </c>
      <c r="E42" s="948" t="s">
        <v>1679</v>
      </c>
      <c r="F42" s="949" t="s">
        <v>1747</v>
      </c>
    </row>
    <row r="43" ht="53.25" customHeight="1" spans="2:6" x14ac:dyDescent="0.25">
      <c r="B43" s="915" t="s">
        <v>1637</v>
      </c>
      <c r="C43" s="926">
        <v>9</v>
      </c>
      <c r="D43" s="947" t="s">
        <v>772</v>
      </c>
      <c r="E43" s="843" t="s">
        <v>1681</v>
      </c>
      <c r="F43" s="844" t="s">
        <v>1682</v>
      </c>
    </row>
    <row r="44" ht="30" customHeight="1" spans="2:6" s="824" customFormat="1" x14ac:dyDescent="0.25">
      <c r="B44" s="841" t="s">
        <v>1637</v>
      </c>
      <c r="C44" s="926">
        <v>10</v>
      </c>
      <c r="D44" s="889" t="s">
        <v>1645</v>
      </c>
      <c r="E44" s="843" t="s">
        <v>1683</v>
      </c>
      <c r="F44" s="844"/>
    </row>
    <row r="45" ht="32.25" customHeight="1" spans="2:6" s="824" customFormat="1" x14ac:dyDescent="0.25">
      <c r="B45" s="841" t="s">
        <v>1637</v>
      </c>
      <c r="C45" s="926">
        <v>11</v>
      </c>
      <c r="D45" s="889" t="s">
        <v>1646</v>
      </c>
      <c r="E45" s="846" t="s">
        <v>1684</v>
      </c>
      <c r="F45" s="844" t="s">
        <v>1685</v>
      </c>
    </row>
    <row r="46" ht="53.25" customHeight="1" spans="2:6" x14ac:dyDescent="0.25">
      <c r="B46" s="915" t="s">
        <v>1637</v>
      </c>
      <c r="C46" s="926">
        <v>12</v>
      </c>
      <c r="D46" s="947" t="s">
        <v>1647</v>
      </c>
      <c r="E46" s="948" t="s">
        <v>1686</v>
      </c>
      <c r="F46" s="952" t="s">
        <v>1687</v>
      </c>
    </row>
    <row r="47" ht="53.25" customHeight="1" spans="2:6" x14ac:dyDescent="0.25">
      <c r="B47" s="915" t="s">
        <v>1637</v>
      </c>
      <c r="C47" s="926">
        <v>13</v>
      </c>
      <c r="D47" s="847" t="s">
        <v>1648</v>
      </c>
      <c r="E47" s="843" t="s">
        <v>1688</v>
      </c>
      <c r="F47" s="844" t="s">
        <v>1689</v>
      </c>
    </row>
    <row r="48" ht="53.25" customHeight="1" spans="2:6" x14ac:dyDescent="0.25">
      <c r="B48" s="915" t="s">
        <v>1637</v>
      </c>
      <c r="C48" s="926">
        <v>14</v>
      </c>
      <c r="D48" s="953" t="s">
        <v>1649</v>
      </c>
      <c r="E48" s="951" t="s">
        <v>1748</v>
      </c>
      <c r="F48" s="954" t="s">
        <v>1691</v>
      </c>
    </row>
    <row r="49" ht="53.25" customHeight="1" spans="2:6" x14ac:dyDescent="0.25">
      <c r="B49" s="915" t="s">
        <v>1637</v>
      </c>
      <c r="C49" s="926">
        <v>15</v>
      </c>
      <c r="D49" s="947" t="s">
        <v>1650</v>
      </c>
      <c r="E49" s="950" t="s">
        <v>1749</v>
      </c>
      <c r="F49" s="949" t="s">
        <v>1750</v>
      </c>
    </row>
    <row r="50" ht="53.25" customHeight="1" spans="2:6" x14ac:dyDescent="0.25">
      <c r="B50" s="915" t="s">
        <v>1637</v>
      </c>
      <c r="C50" s="926">
        <v>16</v>
      </c>
      <c r="D50" s="947" t="s">
        <v>1651</v>
      </c>
      <c r="E50" s="950" t="s">
        <v>1694</v>
      </c>
      <c r="F50" s="949" t="s">
        <v>1695</v>
      </c>
    </row>
    <row r="51" ht="53.25" customHeight="1" spans="2:6" x14ac:dyDescent="0.25">
      <c r="B51" s="915" t="s">
        <v>1637</v>
      </c>
      <c r="C51" s="926">
        <v>17</v>
      </c>
      <c r="D51" s="955" t="s">
        <v>1751</v>
      </c>
      <c r="E51" s="956" t="s">
        <v>1752</v>
      </c>
      <c r="F51" s="957" t="s">
        <v>1066</v>
      </c>
    </row>
    <row r="52" ht="53.25" customHeight="1" spans="2:6" x14ac:dyDescent="0.25">
      <c r="B52" s="915" t="s">
        <v>1637</v>
      </c>
      <c r="C52" s="926">
        <v>18</v>
      </c>
      <c r="D52" s="955" t="s">
        <v>825</v>
      </c>
      <c r="E52" s="956" t="s">
        <v>1753</v>
      </c>
      <c r="F52" s="957" t="s">
        <v>1066</v>
      </c>
    </row>
    <row r="53" ht="53.25" customHeight="1" spans="2:6" x14ac:dyDescent="0.25">
      <c r="B53" s="915" t="s">
        <v>1637</v>
      </c>
      <c r="C53" s="926">
        <v>19</v>
      </c>
      <c r="D53" s="958" t="s">
        <v>1754</v>
      </c>
      <c r="E53" s="956" t="s">
        <v>1755</v>
      </c>
      <c r="F53" s="959" t="s">
        <v>1756</v>
      </c>
    </row>
    <row r="54" ht="53.25" customHeight="1" spans="2:6" x14ac:dyDescent="0.25">
      <c r="B54" s="915" t="s">
        <v>1637</v>
      </c>
      <c r="C54" s="926">
        <v>20</v>
      </c>
      <c r="D54" s="947" t="s">
        <v>1652</v>
      </c>
      <c r="E54" s="950" t="s">
        <v>1696</v>
      </c>
      <c r="F54" s="949" t="s">
        <v>1066</v>
      </c>
    </row>
    <row r="55" ht="53.25" customHeight="1" spans="2:6" x14ac:dyDescent="0.25">
      <c r="B55" s="915" t="s">
        <v>1637</v>
      </c>
      <c r="C55" s="926">
        <v>21</v>
      </c>
      <c r="D55" s="947" t="s">
        <v>1653</v>
      </c>
      <c r="E55" s="950" t="s">
        <v>1697</v>
      </c>
      <c r="F55" s="949" t="s">
        <v>1698</v>
      </c>
    </row>
    <row r="56" ht="53.25" customHeight="1" spans="2:6" x14ac:dyDescent="0.25">
      <c r="B56" s="915" t="s">
        <v>1637</v>
      </c>
      <c r="C56" s="926">
        <v>22</v>
      </c>
      <c r="D56" s="947" t="s">
        <v>1654</v>
      </c>
      <c r="E56" s="950" t="s">
        <v>1699</v>
      </c>
      <c r="F56" s="949" t="s">
        <v>1066</v>
      </c>
    </row>
    <row r="57" ht="53.25" customHeight="1" spans="2:6" x14ac:dyDescent="0.25">
      <c r="B57" s="931" t="s">
        <v>1637</v>
      </c>
      <c r="C57" s="926">
        <v>23</v>
      </c>
      <c r="D57" s="953" t="s">
        <v>1655</v>
      </c>
      <c r="E57" s="951" t="s">
        <v>1700</v>
      </c>
      <c r="F57" s="954" t="s">
        <v>1066</v>
      </c>
    </row>
    <row r="58" ht="53.25" customHeight="1" spans="2:6" x14ac:dyDescent="0.25">
      <c r="B58" s="931" t="s">
        <v>1637</v>
      </c>
      <c r="C58" s="926">
        <v>24</v>
      </c>
      <c r="D58" s="953" t="s">
        <v>1656</v>
      </c>
      <c r="E58" s="843" t="s">
        <v>1701</v>
      </c>
      <c r="F58" s="844" t="s">
        <v>1702</v>
      </c>
    </row>
    <row r="59" ht="53.25" customHeight="1" spans="2:6" x14ac:dyDescent="0.25">
      <c r="B59" s="931" t="s">
        <v>1637</v>
      </c>
      <c r="C59" s="926">
        <v>25</v>
      </c>
      <c r="D59" s="953" t="s">
        <v>1657</v>
      </c>
      <c r="E59" s="951" t="s">
        <v>1703</v>
      </c>
      <c r="F59" s="954" t="s">
        <v>1704</v>
      </c>
    </row>
    <row r="60" ht="53.25" customHeight="1" spans="2:6" x14ac:dyDescent="0.25">
      <c r="B60" s="915" t="s">
        <v>1637</v>
      </c>
      <c r="C60" s="926">
        <v>26</v>
      </c>
      <c r="D60" s="947" t="s">
        <v>1658</v>
      </c>
      <c r="E60" s="950" t="s">
        <v>1705</v>
      </c>
      <c r="F60" s="843" t="s">
        <v>1706</v>
      </c>
    </row>
    <row r="61" ht="53.25" customHeight="1" spans="2:6" x14ac:dyDescent="0.25">
      <c r="B61" s="960" t="s">
        <v>1637</v>
      </c>
      <c r="C61" s="933">
        <v>27</v>
      </c>
      <c r="D61" s="961" t="s">
        <v>1757</v>
      </c>
      <c r="E61" s="962" t="s">
        <v>1707</v>
      </c>
      <c r="F61" s="963" t="s">
        <v>1066</v>
      </c>
    </row>
    <row r="64" ht="53.25" customHeight="1" spans="1:5" x14ac:dyDescent="0.25">
      <c r="A64" s="840"/>
      <c r="B64" s="902"/>
      <c r="C64" s="902"/>
      <c r="D64" s="902"/>
      <c r="E64" s="840"/>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AI994"/>
  <sheetViews>
    <sheetView workbookViewId="0" zoomScale="100" zoomScaleNormal="100" view="pageBreakPreview">
      <selection activeCell="D13" sqref="D13"/>
    </sheetView>
  </sheetViews>
  <sheetFormatPr defaultRowHeight="15" outlineLevelRow="0" outlineLevelCol="0" x14ac:dyDescent="0" defaultColWidth="9"/>
  <cols>
    <col min="1" max="5" width="9" style="1" customWidth="1"/>
    <col min="6" max="7" width="4.7109375" style="1" customWidth="1"/>
    <col min="8" max="13" width="2.7109375" style="1" customWidth="1"/>
    <col min="14" max="16" width="4.7109375" style="1" customWidth="1"/>
    <col min="17" max="17" width="10.28515625" style="1" customWidth="1"/>
    <col min="18" max="16384" width="9" style="1" customWidth="1"/>
  </cols>
  <sheetData>
    <row r="1" ht="18" customHeight="1" spans="1:35" x14ac:dyDescent="0.25">
      <c r="A1" s="3"/>
      <c r="B1" s="685" t="s">
        <v>1592</v>
      </c>
      <c r="C1" s="685"/>
      <c r="D1" s="685"/>
      <c r="E1" s="685"/>
      <c r="F1" s="685"/>
      <c r="G1" s="685"/>
      <c r="H1" s="685"/>
      <c r="I1" s="685"/>
      <c r="J1" s="685"/>
      <c r="K1" s="685"/>
      <c r="L1" s="685"/>
      <c r="M1" s="685"/>
      <c r="N1" s="685"/>
      <c r="O1" s="685"/>
      <c r="P1" s="685"/>
      <c r="Q1" s="686"/>
      <c r="R1" s="2"/>
      <c r="S1" s="3"/>
      <c r="T1" s="3"/>
      <c r="U1" s="3"/>
      <c r="V1" s="3"/>
      <c r="W1" s="3"/>
      <c r="X1" s="3"/>
      <c r="Y1" s="3"/>
      <c r="Z1" s="3"/>
      <c r="AA1" s="3"/>
      <c r="AB1" s="3"/>
      <c r="AC1" s="3"/>
      <c r="AD1" s="3"/>
      <c r="AE1" s="3"/>
      <c r="AF1" s="3"/>
      <c r="AG1" s="3"/>
      <c r="AH1" s="3"/>
      <c r="AI1" s="3"/>
    </row>
    <row r="2" ht="18" customHeight="1" spans="1:35" x14ac:dyDescent="0.25">
      <c r="A2" s="3"/>
      <c r="B2" s="685"/>
      <c r="C2" s="685"/>
      <c r="D2" s="685"/>
      <c r="E2" s="685"/>
      <c r="F2" s="685"/>
      <c r="G2" s="685"/>
      <c r="H2" s="685"/>
      <c r="I2" s="685"/>
      <c r="J2" s="685"/>
      <c r="K2" s="685"/>
      <c r="L2" s="685"/>
      <c r="M2" s="685"/>
      <c r="N2" s="685"/>
      <c r="O2" s="685"/>
      <c r="P2" s="685"/>
      <c r="Q2" s="686"/>
      <c r="R2" s="2"/>
      <c r="S2" s="3"/>
      <c r="T2" s="3"/>
      <c r="U2" s="3"/>
      <c r="V2" s="3"/>
      <c r="W2" s="3"/>
      <c r="X2" s="3"/>
      <c r="Y2" s="3"/>
      <c r="Z2" s="3"/>
      <c r="AA2" s="3"/>
      <c r="AB2" s="3"/>
      <c r="AC2" s="3"/>
      <c r="AD2" s="3"/>
      <c r="AE2" s="3"/>
      <c r="AF2" s="3"/>
      <c r="AG2" s="3"/>
      <c r="AH2" s="3"/>
      <c r="AI2" s="3"/>
    </row>
    <row r="3" ht="18" customHeight="1" spans="1:35" x14ac:dyDescent="0.25">
      <c r="A3" s="3"/>
      <c r="B3" s="3"/>
      <c r="C3" s="3"/>
      <c r="D3" s="3"/>
      <c r="E3" s="3"/>
      <c r="F3" s="3"/>
      <c r="G3" s="3"/>
      <c r="H3" s="3"/>
      <c r="I3" s="3"/>
      <c r="J3" s="3"/>
      <c r="K3" s="3"/>
      <c r="L3" s="3"/>
      <c r="M3" s="3"/>
      <c r="N3" s="3"/>
      <c r="O3" s="3"/>
      <c r="P3" s="687" t="s">
        <v>206</v>
      </c>
      <c r="Q3" s="535">
        <f>初期入力!B44</f>
        <v>103824</v>
      </c>
      <c r="R3" s="2"/>
      <c r="S3" s="3"/>
      <c r="T3" s="3"/>
      <c r="U3" s="3"/>
      <c r="V3" s="3"/>
      <c r="W3" s="3"/>
      <c r="X3" s="3"/>
      <c r="Y3" s="3"/>
      <c r="Z3" s="3"/>
      <c r="AA3" s="3"/>
      <c r="AB3" s="3"/>
      <c r="AC3" s="3"/>
      <c r="AD3" s="3"/>
      <c r="AE3" s="3"/>
      <c r="AF3" s="3"/>
      <c r="AG3" s="3"/>
      <c r="AH3" s="3"/>
      <c r="AI3" s="3"/>
    </row>
    <row r="4" ht="18" customHeight="1" spans="1:35" x14ac:dyDescent="0.25">
      <c r="A4" s="70" t="s">
        <v>1593</v>
      </c>
      <c r="B4" s="70"/>
      <c r="C4" s="70"/>
      <c r="D4" s="70"/>
      <c r="E4" s="70"/>
      <c r="F4" s="70">
        <f>初期入力!C13</f>
        <v>2025</v>
      </c>
      <c r="G4" s="108" t="s">
        <v>33</v>
      </c>
      <c r="H4" s="70">
        <f>初期入力!E13</f>
        <v>7</v>
      </c>
      <c r="I4" s="70" t="s">
        <v>34</v>
      </c>
      <c r="J4" s="70">
        <f>初期入力!G13</f>
        <v>25</v>
      </c>
      <c r="K4" s="70" t="s">
        <v>35</v>
      </c>
      <c r="L4" s="70" t="s">
        <v>1041</v>
      </c>
      <c r="M4" s="688" t="str">
        <f>初期入力!B3</f>
        <v>大阪市旭区新森　池田様邸新築工事						</v>
      </c>
      <c r="N4" s="688"/>
      <c r="O4" s="688"/>
      <c r="P4" s="688"/>
      <c r="Q4" s="688"/>
      <c r="R4" s="3"/>
      <c r="S4" s="3"/>
      <c r="T4" s="3"/>
      <c r="U4" s="3"/>
      <c r="V4" s="3"/>
      <c r="W4" s="3"/>
      <c r="X4" s="3"/>
      <c r="Y4" s="3"/>
      <c r="Z4" s="3"/>
      <c r="AA4" s="3"/>
      <c r="AB4" s="3"/>
      <c r="AC4" s="3"/>
      <c r="AD4" s="3"/>
      <c r="AE4" s="3"/>
      <c r="AF4" s="3"/>
      <c r="AG4" s="3"/>
      <c r="AH4" s="3"/>
      <c r="AI4" s="3"/>
    </row>
    <row r="5" ht="18" customHeight="1" spans="1:35" x14ac:dyDescent="0.25">
      <c r="A5" s="70" t="s">
        <v>1594</v>
      </c>
      <c r="B5" s="70"/>
      <c r="C5" s="70"/>
      <c r="D5" s="70"/>
      <c r="E5" s="3"/>
      <c r="F5" s="3"/>
      <c r="G5" s="70"/>
      <c r="H5" s="70"/>
      <c r="I5" s="70"/>
      <c r="J5" s="70"/>
      <c r="K5" s="70"/>
      <c r="L5" s="70"/>
      <c r="M5" s="70"/>
      <c r="N5" s="70"/>
      <c r="O5" s="70"/>
      <c r="P5" s="686"/>
      <c r="Q5" s="686"/>
      <c r="R5" s="689"/>
      <c r="S5" s="3"/>
      <c r="T5" s="3"/>
      <c r="U5" s="3"/>
      <c r="V5" s="3"/>
      <c r="W5" s="3"/>
      <c r="X5" s="3"/>
      <c r="Y5" s="3"/>
      <c r="Z5" s="3"/>
      <c r="AA5" s="3"/>
      <c r="AB5" s="3"/>
      <c r="AC5" s="3"/>
      <c r="AD5" s="3"/>
      <c r="AE5" s="3"/>
      <c r="AF5" s="3"/>
      <c r="AG5" s="3"/>
      <c r="AH5" s="3"/>
      <c r="AI5" s="3"/>
    </row>
    <row r="6" ht="18" customHeight="1" spans="1:35" x14ac:dyDescent="0.25">
      <c r="A6" s="70" t="s">
        <v>1595</v>
      </c>
      <c r="B6" s="70"/>
      <c r="C6" s="70"/>
      <c r="D6" s="70"/>
      <c r="E6" s="70"/>
      <c r="F6" s="70"/>
      <c r="G6" s="70"/>
      <c r="H6" s="70"/>
      <c r="I6" s="70"/>
      <c r="J6" s="70"/>
      <c r="K6" s="70"/>
      <c r="L6" s="70"/>
      <c r="M6" s="70"/>
      <c r="N6" s="70"/>
      <c r="O6" s="70"/>
      <c r="P6" s="70"/>
      <c r="Q6" s="70"/>
      <c r="R6" s="70"/>
      <c r="S6" s="3"/>
      <c r="T6" s="3"/>
      <c r="U6" s="3"/>
      <c r="V6" s="3"/>
      <c r="W6" s="3"/>
      <c r="X6" s="3"/>
      <c r="Y6" s="3"/>
      <c r="Z6" s="3"/>
      <c r="AA6" s="3"/>
      <c r="AB6" s="3"/>
      <c r="AC6" s="3"/>
      <c r="AD6" s="3"/>
      <c r="AE6" s="3"/>
      <c r="AF6" s="3"/>
      <c r="AG6" s="3"/>
      <c r="AH6" s="3"/>
      <c r="AI6" s="3"/>
    </row>
    <row r="7" ht="18" customHeight="1" spans="1:35" x14ac:dyDescent="0.25">
      <c r="A7" s="70" t="s">
        <v>1596</v>
      </c>
      <c r="B7" s="70"/>
      <c r="C7" s="70"/>
      <c r="D7" s="70"/>
      <c r="E7" s="70"/>
      <c r="F7" s="70"/>
      <c r="G7" s="70"/>
      <c r="H7" s="70"/>
      <c r="I7" s="70"/>
      <c r="J7" s="70"/>
      <c r="K7" s="70"/>
      <c r="L7" s="70"/>
      <c r="M7" s="70"/>
      <c r="N7" s="70"/>
      <c r="O7" s="70"/>
      <c r="P7" s="70"/>
      <c r="Q7" s="70"/>
      <c r="R7" s="689"/>
      <c r="S7" s="3"/>
      <c r="T7" s="3"/>
      <c r="U7" s="70"/>
      <c r="V7" s="689"/>
      <c r="W7" s="689"/>
      <c r="X7" s="689"/>
      <c r="Y7" s="689"/>
      <c r="Z7" s="689"/>
      <c r="AA7" s="689"/>
      <c r="AB7" s="689"/>
      <c r="AC7" s="689"/>
      <c r="AD7" s="689"/>
      <c r="AE7" s="689"/>
      <c r="AF7" s="689"/>
      <c r="AG7" s="689"/>
      <c r="AH7" s="689"/>
      <c r="AI7" s="689"/>
    </row>
    <row r="8" ht="18" customHeight="1" spans="1:35" x14ac:dyDescent="0.25">
      <c r="A8" s="70" t="s">
        <v>1158</v>
      </c>
      <c r="B8" s="70"/>
      <c r="C8" s="70"/>
      <c r="D8" s="70"/>
      <c r="E8" s="70"/>
      <c r="F8" s="70"/>
      <c r="G8" s="70"/>
      <c r="H8" s="70"/>
      <c r="I8" s="70"/>
      <c r="J8" s="70"/>
      <c r="K8" s="70"/>
      <c r="L8" s="70"/>
      <c r="M8" s="70"/>
      <c r="N8" s="70"/>
      <c r="O8" s="70"/>
      <c r="P8" s="70"/>
      <c r="Q8" s="70"/>
      <c r="R8" s="70"/>
      <c r="S8" s="3"/>
      <c r="T8" s="3"/>
      <c r="U8" s="689"/>
      <c r="V8" s="689"/>
      <c r="W8" s="689"/>
      <c r="X8" s="689"/>
      <c r="Y8" s="689"/>
      <c r="Z8" s="689"/>
      <c r="AA8" s="689"/>
      <c r="AB8" s="689"/>
      <c r="AC8" s="689"/>
      <c r="AD8" s="689"/>
      <c r="AE8" s="689"/>
      <c r="AF8" s="689"/>
      <c r="AG8" s="689"/>
      <c r="AH8" s="689"/>
      <c r="AI8" s="689"/>
    </row>
    <row r="9" ht="18" customHeight="1" spans="1:35" x14ac:dyDescent="0.25">
      <c r="A9" s="3"/>
      <c r="B9" s="3"/>
      <c r="C9" s="3"/>
      <c r="D9" s="3"/>
      <c r="E9" s="690" t="s">
        <v>1073</v>
      </c>
      <c r="F9" s="690"/>
      <c r="G9" s="690"/>
      <c r="H9" s="690"/>
      <c r="I9" s="690"/>
      <c r="J9" s="690"/>
      <c r="K9" s="690"/>
      <c r="L9" s="35"/>
      <c r="M9" s="35"/>
      <c r="N9" s="3"/>
      <c r="O9" s="3"/>
      <c r="P9" s="3"/>
      <c r="Q9" s="3"/>
      <c r="R9" s="70"/>
      <c r="S9" s="3"/>
      <c r="T9" s="3"/>
      <c r="U9" s="689"/>
      <c r="V9" s="689"/>
      <c r="W9" s="689"/>
      <c r="X9" s="689"/>
      <c r="Y9" s="689"/>
      <c r="Z9" s="689"/>
      <c r="AA9" s="689"/>
      <c r="AB9" s="689"/>
      <c r="AC9" s="689"/>
      <c r="AD9" s="689"/>
      <c r="AE9" s="689"/>
      <c r="AF9" s="689"/>
      <c r="AG9" s="689"/>
      <c r="AH9" s="689"/>
      <c r="AI9" s="689"/>
    </row>
    <row r="10" ht="18" customHeight="1" spans="1:35" x14ac:dyDescent="0.25">
      <c r="A10" s="691" t="s">
        <v>1597</v>
      </c>
      <c r="B10" s="692"/>
      <c r="C10" s="691" t="s">
        <v>1598</v>
      </c>
      <c r="D10" s="693"/>
      <c r="E10" s="693"/>
      <c r="F10" s="693"/>
      <c r="G10" s="692"/>
      <c r="H10" s="691" t="s">
        <v>1599</v>
      </c>
      <c r="I10" s="693"/>
      <c r="J10" s="693"/>
      <c r="K10" s="693"/>
      <c r="L10" s="693"/>
      <c r="M10" s="693"/>
      <c r="N10" s="693"/>
      <c r="O10" s="693"/>
      <c r="P10" s="693"/>
      <c r="Q10" s="692"/>
      <c r="R10" s="70"/>
      <c r="S10" s="3"/>
      <c r="T10" s="35"/>
      <c r="U10" s="3"/>
      <c r="V10" s="3"/>
      <c r="W10" s="3"/>
      <c r="X10" s="3"/>
      <c r="Y10" s="3"/>
      <c r="Z10" s="3"/>
      <c r="AA10" s="3"/>
      <c r="AB10" s="3"/>
      <c r="AC10" s="3"/>
      <c r="AD10" s="3"/>
      <c r="AE10" s="3"/>
      <c r="AF10" s="3"/>
      <c r="AG10" s="3"/>
      <c r="AH10" s="3"/>
      <c r="AI10" s="3"/>
    </row>
    <row r="11" ht="18" customHeight="1" spans="1:35" x14ac:dyDescent="0.25">
      <c r="A11" s="694" t="s">
        <v>1600</v>
      </c>
      <c r="B11" s="695"/>
      <c r="C11" s="691" t="s">
        <v>1601</v>
      </c>
      <c r="D11" s="693"/>
      <c r="E11" s="693"/>
      <c r="F11" s="693"/>
      <c r="G11" s="692"/>
      <c r="H11" s="691" t="s">
        <v>1602</v>
      </c>
      <c r="I11" s="693"/>
      <c r="J11" s="693"/>
      <c r="K11" s="693"/>
      <c r="L11" s="693"/>
      <c r="M11" s="693"/>
      <c r="N11" s="693"/>
      <c r="O11" s="693"/>
      <c r="P11" s="693"/>
      <c r="Q11" s="692"/>
      <c r="R11" s="70"/>
      <c r="S11" s="3"/>
      <c r="T11" s="3"/>
      <c r="U11" s="3"/>
      <c r="V11" s="3"/>
      <c r="W11" s="3"/>
      <c r="X11" s="3"/>
      <c r="Y11" s="3"/>
      <c r="Z11" s="3"/>
      <c r="AA11" s="3"/>
      <c r="AB11" s="3"/>
      <c r="AC11" s="3"/>
      <c r="AD11" s="3"/>
      <c r="AE11" s="3"/>
      <c r="AF11" s="3"/>
      <c r="AG11" s="3"/>
      <c r="AH11" s="3"/>
      <c r="AI11" s="3"/>
    </row>
    <row r="12" ht="18" customHeight="1" spans="1:35" x14ac:dyDescent="0.25">
      <c r="A12" s="696" t="s">
        <v>1603</v>
      </c>
      <c r="B12" s="697"/>
      <c r="C12" s="698" t="s">
        <v>1604</v>
      </c>
      <c r="D12" s="699"/>
      <c r="E12" s="699"/>
      <c r="F12" s="699"/>
      <c r="G12" s="700"/>
      <c r="H12" s="701" t="s">
        <v>1604</v>
      </c>
      <c r="I12" s="702"/>
      <c r="J12" s="702"/>
      <c r="K12" s="702"/>
      <c r="L12" s="702"/>
      <c r="M12" s="702"/>
      <c r="N12" s="702"/>
      <c r="O12" s="702"/>
      <c r="P12" s="702"/>
      <c r="Q12" s="703"/>
      <c r="R12" s="70"/>
      <c r="S12" s="689"/>
      <c r="T12" s="70"/>
      <c r="U12" s="689"/>
      <c r="V12" s="689"/>
      <c r="W12" s="689"/>
      <c r="X12" s="689"/>
      <c r="Y12" s="70"/>
      <c r="Z12" s="689"/>
      <c r="AA12" s="689"/>
      <c r="AB12" s="70"/>
      <c r="AC12" s="689"/>
      <c r="AD12" s="689"/>
      <c r="AE12" s="3"/>
      <c r="AF12" s="3"/>
      <c r="AG12" s="3"/>
      <c r="AH12" s="3"/>
      <c r="AI12" s="3"/>
    </row>
    <row r="13" ht="18" customHeight="1" spans="1:35" x14ac:dyDescent="0.25">
      <c r="A13" s="698"/>
      <c r="B13" s="704"/>
      <c r="C13" s="698" t="s">
        <v>1540</v>
      </c>
      <c r="D13" s="688">
        <f>初期入力!B5</f>
        <v>0</v>
      </c>
      <c r="E13" s="688"/>
      <c r="F13" s="688"/>
      <c r="G13" s="705"/>
      <c r="H13" s="3" t="s">
        <v>1540</v>
      </c>
      <c r="I13" s="3"/>
      <c r="J13" s="3"/>
      <c r="K13" s="688"/>
      <c r="L13" s="688"/>
      <c r="M13" s="688"/>
      <c r="N13" s="688"/>
      <c r="O13" s="688"/>
      <c r="P13" s="688"/>
      <c r="Q13" s="705"/>
      <c r="R13" s="70"/>
      <c r="S13" s="3"/>
      <c r="T13" s="3"/>
      <c r="U13" s="3"/>
      <c r="V13" s="3"/>
      <c r="W13" s="3"/>
      <c r="X13" s="3"/>
      <c r="Y13" s="3"/>
      <c r="Z13" s="3"/>
      <c r="AA13" s="3"/>
      <c r="AB13" s="3"/>
      <c r="AC13" s="3"/>
      <c r="AD13" s="3"/>
      <c r="AE13" s="3"/>
      <c r="AF13" s="3"/>
      <c r="AG13" s="3"/>
      <c r="AH13" s="3"/>
      <c r="AI13" s="3"/>
    </row>
    <row r="14" ht="18" customHeight="1" spans="1:35" x14ac:dyDescent="0.25">
      <c r="A14" s="698"/>
      <c r="B14" s="704"/>
      <c r="C14" s="698" t="s">
        <v>198</v>
      </c>
      <c r="D14" s="162">
        <f>初期入力!B4</f>
        <v>0</v>
      </c>
      <c r="E14" s="162"/>
      <c r="F14" s="162"/>
      <c r="G14" s="706"/>
      <c r="H14" s="3" t="s">
        <v>198</v>
      </c>
      <c r="I14" s="3"/>
      <c r="J14" s="3"/>
      <c r="K14" s="162"/>
      <c r="L14" s="162"/>
      <c r="M14" s="162"/>
      <c r="N14" s="162"/>
      <c r="O14" s="162"/>
      <c r="P14" s="162"/>
      <c r="Q14" s="706"/>
      <c r="R14" s="70"/>
      <c r="S14" s="3"/>
      <c r="T14" s="3"/>
      <c r="U14" s="3"/>
      <c r="V14" s="3"/>
      <c r="W14" s="3"/>
      <c r="X14" s="3"/>
      <c r="Y14" s="3"/>
      <c r="Z14" s="3"/>
      <c r="AA14" s="3"/>
      <c r="AB14" s="3"/>
      <c r="AC14" s="3"/>
      <c r="AD14" s="3"/>
      <c r="AE14" s="3"/>
      <c r="AF14" s="3"/>
      <c r="AG14" s="3"/>
      <c r="AH14" s="3"/>
      <c r="AI14" s="3"/>
    </row>
    <row r="15" ht="18" customHeight="1" spans="1:35" x14ac:dyDescent="0.25">
      <c r="A15" s="707" t="s">
        <v>1605</v>
      </c>
      <c r="B15" s="708"/>
      <c r="C15" s="698" t="s">
        <v>1540</v>
      </c>
      <c r="D15" s="688">
        <f>IF(初期入力!B7="","",初期入力!B7)</f>
      </c>
      <c r="E15" s="688"/>
      <c r="F15" s="688"/>
      <c r="G15" s="705"/>
      <c r="H15" s="3" t="s">
        <v>1540</v>
      </c>
      <c r="I15" s="3"/>
      <c r="J15" s="3"/>
      <c r="K15" s="688"/>
      <c r="L15" s="688"/>
      <c r="M15" s="688"/>
      <c r="N15" s="688"/>
      <c r="O15" s="688"/>
      <c r="P15" s="688"/>
      <c r="Q15" s="705"/>
      <c r="R15" s="70"/>
      <c r="S15" s="3"/>
      <c r="T15" s="3"/>
      <c r="U15" s="3"/>
      <c r="V15" s="3"/>
      <c r="W15" s="3"/>
      <c r="X15" s="3"/>
      <c r="Y15" s="3"/>
      <c r="Z15" s="3"/>
      <c r="AA15" s="3"/>
      <c r="AB15" s="3"/>
      <c r="AC15" s="3"/>
      <c r="AD15" s="3"/>
      <c r="AE15" s="3"/>
      <c r="AF15" s="3"/>
      <c r="AG15" s="3"/>
      <c r="AH15" s="3"/>
      <c r="AI15" s="3"/>
    </row>
    <row r="16" ht="18" customHeight="1" spans="1:35" x14ac:dyDescent="0.25">
      <c r="A16" s="707"/>
      <c r="B16" s="708"/>
      <c r="C16" s="709" t="s">
        <v>198</v>
      </c>
      <c r="D16" s="710">
        <f>IF(初期入力!B6="","",初期入力!B6)</f>
      </c>
      <c r="E16" s="710"/>
      <c r="F16" s="710"/>
      <c r="G16" s="711"/>
      <c r="H16" s="3" t="s">
        <v>198</v>
      </c>
      <c r="I16" s="3"/>
      <c r="J16" s="712"/>
      <c r="K16" s="710"/>
      <c r="L16" s="710"/>
      <c r="M16" s="710"/>
      <c r="N16" s="710"/>
      <c r="O16" s="710"/>
      <c r="P16" s="710"/>
      <c r="Q16" s="711"/>
      <c r="R16" s="70"/>
      <c r="S16" s="3"/>
      <c r="T16" s="3"/>
      <c r="U16" s="3"/>
      <c r="V16" s="3"/>
      <c r="W16" s="3"/>
      <c r="X16" s="3"/>
      <c r="Y16" s="3"/>
      <c r="Z16" s="3"/>
      <c r="AA16" s="3"/>
      <c r="AB16" s="3"/>
      <c r="AC16" s="3"/>
      <c r="AD16" s="3"/>
      <c r="AE16" s="3"/>
      <c r="AF16" s="3"/>
      <c r="AG16" s="3"/>
      <c r="AH16" s="3"/>
      <c r="AI16" s="3"/>
    </row>
    <row r="17" ht="18" customHeight="1" spans="1:35" x14ac:dyDescent="0.25">
      <c r="A17" s="694" t="s">
        <v>1606</v>
      </c>
      <c r="B17" s="695"/>
      <c r="C17" s="694"/>
      <c r="D17" s="713"/>
      <c r="E17" s="713"/>
      <c r="F17" s="713"/>
      <c r="G17" s="695"/>
      <c r="H17" s="713"/>
      <c r="I17" s="713"/>
      <c r="J17" s="714"/>
      <c r="K17" s="713"/>
      <c r="L17" s="713"/>
      <c r="M17" s="713"/>
      <c r="N17" s="713"/>
      <c r="O17" s="713"/>
      <c r="P17" s="713"/>
      <c r="Q17" s="695"/>
      <c r="R17" s="70"/>
      <c r="S17" s="3"/>
      <c r="T17" s="3"/>
      <c r="U17" s="3"/>
      <c r="V17" s="3"/>
      <c r="W17" s="3"/>
      <c r="X17" s="3"/>
      <c r="Y17" s="3"/>
      <c r="Z17" s="3"/>
      <c r="AA17" s="3"/>
      <c r="AB17" s="3"/>
      <c r="AC17" s="3"/>
      <c r="AD17" s="3"/>
      <c r="AE17" s="3"/>
      <c r="AF17" s="3"/>
      <c r="AG17" s="3"/>
      <c r="AH17" s="3"/>
      <c r="AI17" s="3"/>
    </row>
    <row r="18" ht="18" customHeight="1" spans="1:35" x14ac:dyDescent="0.25">
      <c r="A18" s="694" t="s">
        <v>1607</v>
      </c>
      <c r="B18" s="695"/>
      <c r="C18" s="715" t="s">
        <v>1608</v>
      </c>
      <c r="D18" s="716"/>
      <c r="E18" s="716"/>
      <c r="F18" s="716"/>
      <c r="G18" s="717"/>
      <c r="H18" s="716"/>
      <c r="I18" s="716"/>
      <c r="J18" s="718"/>
      <c r="K18" s="719" t="s">
        <v>1608</v>
      </c>
      <c r="L18" s="719"/>
      <c r="M18" s="719"/>
      <c r="N18" s="719"/>
      <c r="O18" s="719"/>
      <c r="P18" s="719"/>
      <c r="Q18" s="720"/>
      <c r="R18" s="70"/>
      <c r="S18" s="3"/>
      <c r="T18" s="3"/>
      <c r="U18" s="3"/>
      <c r="V18" s="3"/>
      <c r="W18" s="3"/>
      <c r="X18" s="3"/>
      <c r="Y18" s="3"/>
      <c r="Z18" s="3"/>
      <c r="AA18" s="3"/>
      <c r="AB18" s="3"/>
      <c r="AC18" s="3"/>
      <c r="AD18" s="3"/>
      <c r="AE18" s="3"/>
      <c r="AF18" s="3"/>
      <c r="AG18" s="3"/>
      <c r="AH18" s="3"/>
      <c r="AI18" s="3"/>
    </row>
    <row r="19" ht="18" customHeight="1" spans="1:35" x14ac:dyDescent="0.25">
      <c r="A19" s="721" t="s">
        <v>1609</v>
      </c>
      <c r="B19" s="722"/>
      <c r="C19" s="723" t="s">
        <v>1610</v>
      </c>
      <c r="D19" s="724" t="s">
        <v>1611</v>
      </c>
      <c r="E19" s="724"/>
      <c r="F19" s="724"/>
      <c r="G19" s="725"/>
      <c r="H19" s="726" t="s">
        <v>1610</v>
      </c>
      <c r="I19" s="727"/>
      <c r="J19" s="727"/>
      <c r="K19" s="727"/>
      <c r="L19" s="727"/>
      <c r="M19" s="716" t="s">
        <v>1611</v>
      </c>
      <c r="N19" s="716"/>
      <c r="O19" s="716"/>
      <c r="P19" s="716"/>
      <c r="Q19" s="717"/>
      <c r="R19" s="70"/>
      <c r="S19" s="3"/>
      <c r="T19" s="3"/>
      <c r="U19" s="3"/>
      <c r="V19" s="3"/>
      <c r="W19" s="3"/>
      <c r="X19" s="3"/>
      <c r="Y19" s="3"/>
      <c r="Z19" s="3"/>
      <c r="AA19" s="3"/>
      <c r="AB19" s="3"/>
      <c r="AC19" s="3"/>
      <c r="AD19" s="3"/>
      <c r="AE19" s="3"/>
      <c r="AF19" s="3"/>
      <c r="AG19" s="3"/>
      <c r="AH19" s="3"/>
      <c r="AI19" s="3"/>
    </row>
    <row r="20" ht="18" customHeight="1" spans="1:35" x14ac:dyDescent="0.25">
      <c r="A20" s="728"/>
      <c r="B20" s="729"/>
      <c r="C20" s="723" t="s">
        <v>1612</v>
      </c>
      <c r="D20" s="724" t="s">
        <v>1611</v>
      </c>
      <c r="E20" s="724"/>
      <c r="F20" s="724"/>
      <c r="G20" s="725"/>
      <c r="H20" s="726" t="s">
        <v>1612</v>
      </c>
      <c r="I20" s="727"/>
      <c r="J20" s="727"/>
      <c r="K20" s="727"/>
      <c r="L20" s="727"/>
      <c r="M20" s="716" t="s">
        <v>1611</v>
      </c>
      <c r="N20" s="716"/>
      <c r="O20" s="716"/>
      <c r="P20" s="716"/>
      <c r="Q20" s="717"/>
      <c r="R20" s="70"/>
      <c r="S20" s="3"/>
      <c r="T20" s="3"/>
      <c r="U20" s="3"/>
      <c r="V20" s="3"/>
      <c r="W20" s="3"/>
      <c r="X20" s="3"/>
      <c r="Y20" s="3"/>
      <c r="Z20" s="3"/>
      <c r="AA20" s="3"/>
      <c r="AB20" s="3"/>
      <c r="AC20" s="3"/>
      <c r="AD20" s="3"/>
      <c r="AE20" s="3"/>
      <c r="AF20" s="3"/>
      <c r="AG20" s="3"/>
      <c r="AH20" s="3"/>
      <c r="AI20" s="3"/>
    </row>
    <row r="21" ht="18" customHeight="1" spans="1:35" x14ac:dyDescent="0.25">
      <c r="A21" s="721" t="s">
        <v>1613</v>
      </c>
      <c r="B21" s="722"/>
      <c r="C21" s="730" t="s">
        <v>1614</v>
      </c>
      <c r="D21" s="718"/>
      <c r="E21" s="718"/>
      <c r="F21" s="718"/>
      <c r="G21" s="731"/>
      <c r="H21" s="732" t="s">
        <v>1615</v>
      </c>
      <c r="I21" s="733"/>
      <c r="J21" s="733"/>
      <c r="K21" s="733"/>
      <c r="L21" s="734"/>
      <c r="M21" s="734"/>
      <c r="N21" s="734"/>
      <c r="O21" s="734"/>
      <c r="P21" s="734"/>
      <c r="Q21" s="735" t="s">
        <v>1616</v>
      </c>
      <c r="R21" s="70"/>
      <c r="S21" s="3"/>
      <c r="T21" s="3"/>
      <c r="U21" s="3"/>
      <c r="V21" s="3"/>
      <c r="W21" s="3"/>
      <c r="X21" s="3"/>
      <c r="Y21" s="3"/>
      <c r="Z21" s="3"/>
      <c r="AA21" s="3"/>
      <c r="AB21" s="3"/>
      <c r="AC21" s="3"/>
      <c r="AD21" s="3"/>
      <c r="AE21" s="3"/>
      <c r="AF21" s="3"/>
      <c r="AG21" s="3"/>
      <c r="AH21" s="3"/>
      <c r="AI21" s="3"/>
    </row>
    <row r="22" ht="18" customHeight="1" spans="1:35" x14ac:dyDescent="0.25">
      <c r="A22" s="736"/>
      <c r="B22" s="737"/>
      <c r="C22" s="736" t="s">
        <v>1617</v>
      </c>
      <c r="D22" s="3"/>
      <c r="E22" s="3"/>
      <c r="F22" s="3"/>
      <c r="G22" s="704"/>
      <c r="H22" s="738" t="s">
        <v>1617</v>
      </c>
      <c r="I22" s="738"/>
      <c r="J22" s="738"/>
      <c r="K22" s="739"/>
      <c r="L22" s="714"/>
      <c r="M22" s="714"/>
      <c r="N22" s="3"/>
      <c r="O22" s="3"/>
      <c r="P22" s="3"/>
      <c r="Q22" s="704"/>
      <c r="R22" s="70"/>
      <c r="S22" s="3"/>
      <c r="T22" s="3"/>
      <c r="U22" s="3"/>
      <c r="V22" s="3"/>
      <c r="W22" s="3"/>
      <c r="X22" s="3"/>
      <c r="Y22" s="3"/>
      <c r="Z22" s="3"/>
      <c r="AA22" s="3"/>
      <c r="AB22" s="3"/>
      <c r="AC22" s="3"/>
      <c r="AD22" s="3"/>
      <c r="AE22" s="3"/>
      <c r="AF22" s="3"/>
      <c r="AG22" s="3"/>
      <c r="AH22" s="3"/>
      <c r="AI22" s="3"/>
    </row>
    <row r="23" ht="18" customHeight="1" spans="1:35" x14ac:dyDescent="0.25">
      <c r="A23" s="736"/>
      <c r="B23" s="737"/>
      <c r="C23" s="736" t="s">
        <v>1618</v>
      </c>
      <c r="D23" s="740"/>
      <c r="E23" s="740"/>
      <c r="F23" s="740"/>
      <c r="G23" s="741" t="s">
        <v>1619</v>
      </c>
      <c r="H23" s="738" t="s">
        <v>1618</v>
      </c>
      <c r="I23" s="738"/>
      <c r="J23" s="742"/>
      <c r="K23" s="739"/>
      <c r="L23" s="714"/>
      <c r="M23" s="714"/>
      <c r="N23" s="740"/>
      <c r="O23" s="740"/>
      <c r="P23" s="740"/>
      <c r="Q23" s="743" t="s">
        <v>1620</v>
      </c>
      <c r="R23" s="70"/>
      <c r="S23" s="3"/>
      <c r="T23" s="3"/>
      <c r="U23" s="3"/>
      <c r="V23" s="3"/>
      <c r="W23" s="3"/>
      <c r="X23" s="3"/>
      <c r="Y23" s="3"/>
      <c r="Z23" s="3"/>
      <c r="AA23" s="3"/>
      <c r="AB23" s="3"/>
      <c r="AC23" s="3"/>
      <c r="AD23" s="3"/>
      <c r="AE23" s="3"/>
      <c r="AF23" s="3"/>
      <c r="AG23" s="3"/>
      <c r="AH23" s="3"/>
      <c r="AI23" s="3"/>
    </row>
    <row r="24" ht="18" customHeight="1" spans="1:35" x14ac:dyDescent="0.25">
      <c r="A24" s="744" t="s">
        <v>1621</v>
      </c>
      <c r="B24" s="745"/>
      <c r="C24" s="746"/>
      <c r="D24" s="724"/>
      <c r="E24" s="724" t="s">
        <v>1622</v>
      </c>
      <c r="F24" s="724"/>
      <c r="G24" s="725"/>
      <c r="H24" s="715"/>
      <c r="I24" s="716"/>
      <c r="J24" s="690"/>
      <c r="K24" s="717"/>
      <c r="L24" s="715" t="s">
        <v>1622</v>
      </c>
      <c r="M24" s="716"/>
      <c r="N24" s="716"/>
      <c r="O24" s="716"/>
      <c r="P24" s="716"/>
      <c r="Q24" s="717"/>
      <c r="R24" s="70"/>
      <c r="S24" s="3"/>
      <c r="T24" s="3"/>
      <c r="U24" s="3"/>
      <c r="V24" s="3"/>
      <c r="W24" s="3"/>
      <c r="X24" s="3"/>
      <c r="Y24" s="3"/>
      <c r="Z24" s="3"/>
      <c r="AA24" s="3"/>
      <c r="AB24" s="3"/>
      <c r="AC24" s="3"/>
      <c r="AD24" s="3"/>
      <c r="AE24" s="3"/>
      <c r="AF24" s="3"/>
      <c r="AG24" s="3"/>
      <c r="AH24" s="3"/>
      <c r="AI24" s="3"/>
    </row>
    <row r="25" ht="18" customHeight="1" spans="1:35" x14ac:dyDescent="0.25">
      <c r="A25" s="747"/>
      <c r="B25" s="748"/>
      <c r="C25" s="749" t="s">
        <v>1623</v>
      </c>
      <c r="D25" s="750"/>
      <c r="E25" s="751"/>
      <c r="F25" s="751"/>
      <c r="G25" s="717" t="s">
        <v>1616</v>
      </c>
      <c r="H25" s="752" t="s">
        <v>1623</v>
      </c>
      <c r="I25" s="753"/>
      <c r="J25" s="753"/>
      <c r="K25" s="754"/>
      <c r="L25" s="750"/>
      <c r="M25" s="751"/>
      <c r="N25" s="751"/>
      <c r="O25" s="751"/>
      <c r="P25" s="751"/>
      <c r="Q25" s="717" t="s">
        <v>1616</v>
      </c>
      <c r="R25" s="70"/>
      <c r="S25" s="3"/>
      <c r="T25" s="3"/>
      <c r="U25" s="3"/>
      <c r="V25" s="3"/>
      <c r="W25" s="3"/>
      <c r="X25" s="3"/>
      <c r="Y25" s="3"/>
      <c r="Z25" s="3"/>
      <c r="AA25" s="3"/>
      <c r="AB25" s="3"/>
      <c r="AC25" s="3"/>
      <c r="AD25" s="3"/>
      <c r="AE25" s="3"/>
      <c r="AF25" s="3"/>
      <c r="AG25" s="3"/>
      <c r="AH25" s="3"/>
      <c r="AI25" s="3"/>
    </row>
    <row r="26" ht="18" customHeight="1" spans="1:35" x14ac:dyDescent="0.25">
      <c r="A26" s="747"/>
      <c r="B26" s="748"/>
      <c r="C26" s="749" t="s">
        <v>1624</v>
      </c>
      <c r="D26" s="750"/>
      <c r="E26" s="751"/>
      <c r="F26" s="751"/>
      <c r="G26" s="717" t="s">
        <v>1616</v>
      </c>
      <c r="H26" s="752" t="s">
        <v>1624</v>
      </c>
      <c r="I26" s="753"/>
      <c r="J26" s="753"/>
      <c r="K26" s="754"/>
      <c r="L26" s="750"/>
      <c r="M26" s="751"/>
      <c r="N26" s="751"/>
      <c r="O26" s="751"/>
      <c r="P26" s="751"/>
      <c r="Q26" s="717" t="s">
        <v>1616</v>
      </c>
      <c r="R26" s="70"/>
      <c r="S26" s="3"/>
      <c r="T26" s="3"/>
      <c r="U26" s="3"/>
      <c r="V26" s="3"/>
      <c r="W26" s="3"/>
      <c r="X26" s="3"/>
      <c r="Y26" s="3"/>
      <c r="Z26" s="3"/>
      <c r="AA26" s="3"/>
      <c r="AB26" s="3"/>
      <c r="AC26" s="3"/>
      <c r="AD26" s="3"/>
      <c r="AE26" s="3"/>
      <c r="AF26" s="3"/>
      <c r="AG26" s="3"/>
      <c r="AH26" s="3"/>
      <c r="AI26" s="3"/>
    </row>
    <row r="27" ht="18" customHeight="1" spans="1:35" x14ac:dyDescent="0.25">
      <c r="A27" s="755" t="s">
        <v>1625</v>
      </c>
      <c r="B27" s="756"/>
      <c r="C27" s="749" t="s">
        <v>1626</v>
      </c>
      <c r="D27" s="750"/>
      <c r="E27" s="751"/>
      <c r="F27" s="751"/>
      <c r="G27" s="717" t="s">
        <v>1616</v>
      </c>
      <c r="H27" s="752" t="s">
        <v>1626</v>
      </c>
      <c r="I27" s="753"/>
      <c r="J27" s="753"/>
      <c r="K27" s="754"/>
      <c r="L27" s="750"/>
      <c r="M27" s="751"/>
      <c r="N27" s="751"/>
      <c r="O27" s="751"/>
      <c r="P27" s="751"/>
      <c r="Q27" s="717" t="s">
        <v>1616</v>
      </c>
      <c r="R27" s="70"/>
      <c r="S27" s="757"/>
      <c r="T27" s="294"/>
      <c r="U27" s="758"/>
      <c r="V27" s="758"/>
      <c r="W27" s="294"/>
      <c r="X27" s="294"/>
      <c r="Y27" s="294"/>
      <c r="Z27" s="294"/>
      <c r="AA27" s="294"/>
      <c r="AB27" s="294"/>
      <c r="AC27" s="3"/>
      <c r="AD27" s="3"/>
      <c r="AE27" s="3"/>
      <c r="AF27" s="3"/>
      <c r="AG27" s="3"/>
      <c r="AH27" s="3"/>
      <c r="AI27" s="3"/>
    </row>
    <row r="28" ht="18" customHeight="1" spans="1:35" x14ac:dyDescent="0.25">
      <c r="A28" s="755"/>
      <c r="B28" s="756"/>
      <c r="C28" s="749" t="s">
        <v>1627</v>
      </c>
      <c r="D28" s="750"/>
      <c r="E28" s="751"/>
      <c r="F28" s="751"/>
      <c r="G28" s="717" t="s">
        <v>1616</v>
      </c>
      <c r="H28" s="752" t="s">
        <v>1627</v>
      </c>
      <c r="I28" s="753"/>
      <c r="J28" s="753"/>
      <c r="K28" s="754"/>
      <c r="L28" s="750"/>
      <c r="M28" s="751"/>
      <c r="N28" s="751"/>
      <c r="O28" s="751"/>
      <c r="P28" s="751"/>
      <c r="Q28" s="717" t="s">
        <v>1616</v>
      </c>
      <c r="R28" s="70"/>
      <c r="S28" s="757"/>
      <c r="T28" s="294"/>
      <c r="U28" s="758"/>
      <c r="V28" s="758"/>
      <c r="W28" s="294"/>
      <c r="X28" s="294"/>
      <c r="Y28" s="294"/>
      <c r="Z28" s="294"/>
      <c r="AA28" s="294"/>
      <c r="AB28" s="294"/>
      <c r="AC28" s="3"/>
      <c r="AD28" s="3"/>
      <c r="AE28" s="3"/>
      <c r="AF28" s="3"/>
      <c r="AG28" s="3"/>
      <c r="AH28" s="3"/>
      <c r="AI28" s="3"/>
    </row>
    <row r="29" ht="18" customHeight="1" spans="1:35" x14ac:dyDescent="0.25">
      <c r="A29" s="759"/>
      <c r="B29" s="741"/>
      <c r="C29" s="749" t="s">
        <v>1628</v>
      </c>
      <c r="D29" s="750"/>
      <c r="E29" s="751"/>
      <c r="F29" s="751"/>
      <c r="G29" s="717" t="s">
        <v>1616</v>
      </c>
      <c r="H29" s="752" t="s">
        <v>1628</v>
      </c>
      <c r="I29" s="753"/>
      <c r="J29" s="753"/>
      <c r="K29" s="754"/>
      <c r="L29" s="750"/>
      <c r="M29" s="751"/>
      <c r="N29" s="751"/>
      <c r="O29" s="751"/>
      <c r="P29" s="751"/>
      <c r="Q29" s="717" t="s">
        <v>1616</v>
      </c>
      <c r="R29" s="70"/>
      <c r="S29" s="757"/>
      <c r="T29" s="294"/>
      <c r="U29" s="758"/>
      <c r="V29" s="758"/>
      <c r="W29" s="294"/>
      <c r="X29" s="294"/>
      <c r="Y29" s="294"/>
      <c r="Z29" s="294"/>
      <c r="AA29" s="294"/>
      <c r="AB29" s="294"/>
      <c r="AC29" s="3"/>
      <c r="AD29" s="3"/>
      <c r="AE29" s="3"/>
      <c r="AF29" s="3"/>
      <c r="AG29" s="3"/>
      <c r="AH29" s="3"/>
      <c r="AI29" s="3"/>
    </row>
    <row r="30" ht="18" customHeight="1" spans="1:35" x14ac:dyDescent="0.25">
      <c r="A30" s="721" t="s">
        <v>1629</v>
      </c>
      <c r="B30" s="722"/>
      <c r="C30" s="760"/>
      <c r="D30" s="761"/>
      <c r="E30" s="761"/>
      <c r="F30" s="761"/>
      <c r="G30" s="762"/>
      <c r="H30" s="763"/>
      <c r="I30" s="764"/>
      <c r="J30" s="764"/>
      <c r="K30" s="764"/>
      <c r="L30" s="764"/>
      <c r="M30" s="764"/>
      <c r="N30" s="764"/>
      <c r="O30" s="764"/>
      <c r="P30" s="764"/>
      <c r="Q30" s="765"/>
      <c r="R30" s="70"/>
      <c r="S30" s="757"/>
      <c r="T30" s="294"/>
      <c r="U30" s="758"/>
      <c r="V30" s="758"/>
      <c r="W30" s="294"/>
      <c r="X30" s="294"/>
      <c r="Y30" s="766"/>
      <c r="Z30" s="766"/>
      <c r="AA30" s="766"/>
      <c r="AB30" s="766"/>
      <c r="AC30" s="3"/>
      <c r="AD30" s="3"/>
      <c r="AE30" s="3"/>
      <c r="AF30" s="3"/>
      <c r="AG30" s="3"/>
      <c r="AH30" s="3"/>
      <c r="AI30" s="3"/>
    </row>
    <row r="31" ht="18" customHeight="1" spans="1:35" x14ac:dyDescent="0.25">
      <c r="A31" s="728"/>
      <c r="B31" s="729"/>
      <c r="C31" s="767"/>
      <c r="D31" s="768"/>
      <c r="E31" s="768"/>
      <c r="F31" s="768"/>
      <c r="G31" s="769"/>
      <c r="H31" s="770"/>
      <c r="I31" s="771"/>
      <c r="J31" s="771"/>
      <c r="K31" s="771"/>
      <c r="L31" s="771"/>
      <c r="M31" s="771"/>
      <c r="N31" s="771"/>
      <c r="O31" s="771"/>
      <c r="P31" s="771"/>
      <c r="Q31" s="772"/>
      <c r="R31" s="70"/>
      <c r="S31" s="757"/>
      <c r="T31" s="294"/>
      <c r="U31" s="773"/>
      <c r="V31" s="773"/>
      <c r="W31" s="294"/>
      <c r="X31" s="294"/>
      <c r="Y31" s="294"/>
      <c r="Z31" s="294"/>
      <c r="AA31" s="294"/>
      <c r="AB31" s="294"/>
      <c r="AC31" s="3"/>
      <c r="AD31" s="3"/>
      <c r="AE31" s="3"/>
      <c r="AF31" s="3"/>
      <c r="AG31" s="3"/>
      <c r="AH31" s="3"/>
      <c r="AI31" s="3"/>
    </row>
    <row r="32" ht="18" customHeight="1" spans="1:35" x14ac:dyDescent="0.25">
      <c r="A32" s="3"/>
      <c r="B32" s="3"/>
      <c r="C32" s="3"/>
      <c r="D32" s="3"/>
      <c r="E32" s="3"/>
      <c r="F32" s="3"/>
      <c r="G32" s="3"/>
      <c r="H32" s="3"/>
      <c r="I32" s="3"/>
      <c r="J32" s="3"/>
      <c r="K32" s="3"/>
      <c r="L32" s="3"/>
      <c r="M32" s="3"/>
      <c r="N32" s="3"/>
      <c r="O32" s="3"/>
      <c r="P32" s="3"/>
      <c r="Q32" s="3"/>
      <c r="R32" s="70"/>
      <c r="S32" s="757"/>
      <c r="T32" s="294"/>
      <c r="U32" s="294"/>
      <c r="V32" s="294"/>
      <c r="W32" s="294"/>
      <c r="X32" s="294"/>
      <c r="Y32" s="294"/>
      <c r="Z32" s="294"/>
      <c r="AA32" s="294"/>
      <c r="AB32" s="294"/>
      <c r="AC32" s="3"/>
      <c r="AD32" s="3"/>
      <c r="AE32" s="3"/>
      <c r="AF32" s="3"/>
      <c r="AG32" s="3"/>
      <c r="AH32" s="3"/>
      <c r="AI32" s="3"/>
    </row>
    <row r="33" ht="18" customHeight="1" spans="1:35" x14ac:dyDescent="0.25">
      <c r="A33" s="3" t="s">
        <v>1630</v>
      </c>
      <c r="B33" s="3"/>
      <c r="C33" s="3"/>
      <c r="D33" s="1"/>
      <c r="E33" s="1"/>
      <c r="G33" s="3"/>
      <c r="H33" s="3"/>
      <c r="I33" s="3"/>
      <c r="J33" s="3"/>
      <c r="K33" s="3"/>
      <c r="L33" s="3"/>
      <c r="M33" s="3"/>
      <c r="N33" s="3"/>
      <c r="O33" s="3"/>
      <c r="P33" s="3"/>
      <c r="Q33" s="3"/>
      <c r="R33" s="70"/>
      <c r="S33" s="3"/>
      <c r="T33" s="3"/>
      <c r="U33" s="3"/>
      <c r="V33" s="3"/>
      <c r="W33" s="3"/>
      <c r="X33" s="3"/>
      <c r="Y33" s="3"/>
      <c r="Z33" s="3"/>
      <c r="AA33" s="3"/>
      <c r="AB33" s="3"/>
      <c r="AC33" s="3"/>
      <c r="AD33" s="3"/>
      <c r="AE33" s="3"/>
      <c r="AF33" s="3"/>
      <c r="AG33" s="3"/>
      <c r="AH33" s="3"/>
      <c r="AI33" s="3"/>
    </row>
    <row r="34" ht="18" customHeight="1" spans="1:33" x14ac:dyDescent="0.25">
      <c r="A34" s="3"/>
      <c r="B34" s="3"/>
      <c r="C34" s="3" t="s">
        <v>1540</v>
      </c>
      <c r="D34" s="3"/>
      <c r="E34" s="774">
        <f>初期入力!B5</f>
        <v>0</v>
      </c>
      <c r="F34" s="774"/>
      <c r="G34" s="774"/>
      <c r="H34" s="774"/>
      <c r="I34" s="774"/>
      <c r="J34" s="774"/>
      <c r="K34" s="774"/>
      <c r="L34" s="774"/>
      <c r="M34" s="774"/>
      <c r="N34" s="774"/>
      <c r="O34" s="774"/>
      <c r="P34" s="714"/>
      <c r="Q34" s="3"/>
      <c r="R34" s="3"/>
      <c r="S34" s="3"/>
      <c r="T34" s="3"/>
      <c r="U34" s="3"/>
      <c r="V34" s="3"/>
      <c r="W34" s="3"/>
      <c r="X34" s="3"/>
      <c r="Y34" s="3"/>
      <c r="Z34" s="3"/>
      <c r="AA34" s="3"/>
      <c r="AB34" s="3"/>
      <c r="AC34" s="3"/>
      <c r="AD34" s="3"/>
      <c r="AE34" s="3"/>
      <c r="AF34" s="3"/>
      <c r="AG34" s="3"/>
    </row>
    <row r="35" ht="18" customHeight="1" spans="1:33" x14ac:dyDescent="0.25">
      <c r="A35" s="3"/>
      <c r="B35" s="3"/>
      <c r="C35" s="3" t="s">
        <v>1604</v>
      </c>
      <c r="D35" s="3"/>
      <c r="E35" s="775">
        <f>初期入力!B4</f>
        <v>0</v>
      </c>
      <c r="F35" s="775"/>
      <c r="G35" s="775"/>
      <c r="H35" s="775"/>
      <c r="I35" s="775"/>
      <c r="J35" s="775"/>
      <c r="K35" s="775"/>
      <c r="L35" s="775"/>
      <c r="M35" s="775"/>
      <c r="N35" s="775"/>
      <c r="O35" s="776"/>
      <c r="P35" s="185" t="s">
        <v>222</v>
      </c>
      <c r="Q35" s="3"/>
      <c r="R35" s="3"/>
      <c r="S35" s="3"/>
      <c r="T35" s="3"/>
      <c r="U35" s="3"/>
      <c r="V35" s="3"/>
      <c r="W35" s="3"/>
      <c r="X35" s="3"/>
      <c r="Y35" s="3"/>
      <c r="Z35" s="3"/>
      <c r="AA35" s="3"/>
      <c r="AB35" s="3"/>
      <c r="AC35" s="3"/>
      <c r="AD35" s="3"/>
      <c r="AE35" s="3"/>
      <c r="AF35" s="3"/>
      <c r="AG35" s="3"/>
    </row>
    <row r="36" ht="18" customHeight="1" spans="1:33" x14ac:dyDescent="0.25">
      <c r="A36" s="3"/>
      <c r="B36" s="3"/>
      <c r="C36" s="3"/>
      <c r="D36" s="3"/>
      <c r="E36" s="738"/>
      <c r="F36" s="738"/>
      <c r="G36" s="738"/>
      <c r="H36" s="738"/>
      <c r="I36" s="738"/>
      <c r="J36" s="738"/>
      <c r="K36" s="738"/>
      <c r="L36" s="738"/>
      <c r="M36" s="738"/>
      <c r="N36" s="738"/>
      <c r="O36" s="777"/>
      <c r="P36" s="70"/>
      <c r="Q36" s="3"/>
      <c r="R36" s="3"/>
      <c r="S36" s="3"/>
      <c r="T36" s="3"/>
      <c r="U36" s="3"/>
      <c r="V36" s="3"/>
      <c r="W36" s="3"/>
      <c r="X36" s="3"/>
      <c r="Y36" s="3"/>
      <c r="Z36" s="3"/>
      <c r="AA36" s="3"/>
      <c r="AB36" s="3"/>
      <c r="AC36" s="3"/>
      <c r="AD36" s="3"/>
      <c r="AE36" s="3"/>
      <c r="AF36" s="3"/>
      <c r="AG36" s="3"/>
    </row>
    <row r="37" ht="18" customHeight="1" spans="1:33" x14ac:dyDescent="0.25">
      <c r="A37" s="778"/>
      <c r="B37" s="778"/>
      <c r="C37" s="3" t="s">
        <v>1540</v>
      </c>
      <c r="D37" s="3"/>
      <c r="E37" s="774">
        <f>初期入力!B7</f>
        <v>0</v>
      </c>
      <c r="F37" s="774"/>
      <c r="G37" s="774"/>
      <c r="H37" s="774"/>
      <c r="I37" s="774"/>
      <c r="J37" s="774"/>
      <c r="K37" s="774"/>
      <c r="L37" s="774"/>
      <c r="M37" s="774"/>
      <c r="N37" s="774"/>
      <c r="O37" s="774"/>
      <c r="P37" s="714"/>
      <c r="Q37" s="3"/>
      <c r="R37" s="3"/>
      <c r="S37" s="3"/>
      <c r="T37" s="3"/>
      <c r="U37" s="3"/>
      <c r="V37" s="3"/>
      <c r="W37" s="3"/>
      <c r="X37" s="3"/>
      <c r="Y37" s="3"/>
      <c r="Z37" s="3"/>
      <c r="AA37" s="3"/>
      <c r="AB37" s="3"/>
      <c r="AC37" s="3"/>
      <c r="AD37" s="3"/>
      <c r="AE37" s="3"/>
      <c r="AF37" s="3"/>
      <c r="AG37" s="3"/>
    </row>
    <row r="38" ht="18" customHeight="1" spans="1:33" x14ac:dyDescent="0.25">
      <c r="A38" s="778"/>
      <c r="B38" s="778"/>
      <c r="C38" s="3" t="s">
        <v>1604</v>
      </c>
      <c r="D38" s="3"/>
      <c r="E38" s="775">
        <f>初期入力!B6</f>
        <v>0</v>
      </c>
      <c r="F38" s="775"/>
      <c r="G38" s="775"/>
      <c r="H38" s="775"/>
      <c r="I38" s="775"/>
      <c r="J38" s="775"/>
      <c r="K38" s="775"/>
      <c r="L38" s="775"/>
      <c r="M38" s="775"/>
      <c r="N38" s="775"/>
      <c r="O38" s="776"/>
      <c r="P38" s="185" t="s">
        <v>222</v>
      </c>
      <c r="Q38" s="3"/>
      <c r="R38" s="3"/>
      <c r="S38" s="3"/>
      <c r="T38" s="3"/>
      <c r="U38" s="3"/>
      <c r="V38" s="3"/>
      <c r="W38" s="3"/>
      <c r="X38" s="3"/>
      <c r="Y38" s="3"/>
      <c r="Z38" s="3"/>
      <c r="AA38" s="3"/>
      <c r="AB38" s="3"/>
      <c r="AC38" s="3"/>
      <c r="AD38" s="3"/>
      <c r="AE38" s="3"/>
      <c r="AF38" s="3"/>
      <c r="AG38" s="3"/>
    </row>
    <row r="39" ht="18" customHeight="1" spans="1:33" x14ac:dyDescent="0.25">
      <c r="A39" s="779"/>
      <c r="B39" s="779"/>
      <c r="C39" s="3"/>
      <c r="D39" s="3"/>
      <c r="E39" s="738"/>
      <c r="F39" s="738"/>
      <c r="G39" s="738"/>
      <c r="H39" s="738"/>
      <c r="I39" s="738"/>
      <c r="J39" s="738"/>
      <c r="K39" s="738"/>
      <c r="L39" s="738"/>
      <c r="M39" s="738"/>
      <c r="N39" s="738"/>
      <c r="O39" s="777"/>
      <c r="P39" s="70"/>
      <c r="Q39" s="3"/>
      <c r="R39" s="3"/>
      <c r="S39" s="3"/>
      <c r="T39" s="3"/>
      <c r="U39" s="3"/>
      <c r="V39" s="3"/>
      <c r="W39" s="3"/>
      <c r="X39" s="3"/>
      <c r="Y39" s="3"/>
      <c r="Z39" s="3"/>
      <c r="AA39" s="3"/>
      <c r="AB39" s="3"/>
      <c r="AC39" s="3"/>
      <c r="AD39" s="3"/>
      <c r="AE39" s="3"/>
      <c r="AF39" s="3"/>
      <c r="AG39" s="3"/>
    </row>
    <row r="40" ht="18" customHeight="1" spans="1:33" x14ac:dyDescent="0.25">
      <c r="A40" s="779"/>
      <c r="B40" s="779"/>
      <c r="C40" s="3" t="s">
        <v>1540</v>
      </c>
      <c r="D40" s="3"/>
      <c r="E40" s="780" t="s">
        <v>119</v>
      </c>
      <c r="F40" s="780"/>
      <c r="G40" s="780"/>
      <c r="H40" s="780"/>
      <c r="I40" s="780"/>
      <c r="J40" s="780"/>
      <c r="K40" s="780"/>
      <c r="L40" s="780"/>
      <c r="M40" s="780"/>
      <c r="N40" s="780"/>
      <c r="O40" s="781"/>
      <c r="P40" s="70"/>
      <c r="Q40" s="3"/>
      <c r="R40" s="3"/>
      <c r="S40" s="3"/>
      <c r="T40" s="3"/>
      <c r="U40" s="3"/>
      <c r="V40" s="3"/>
      <c r="W40" s="3"/>
      <c r="X40" s="3"/>
      <c r="Y40" s="3"/>
      <c r="Z40" s="3"/>
      <c r="AA40" s="3"/>
      <c r="AB40" s="3"/>
      <c r="AC40" s="3"/>
      <c r="AD40" s="3"/>
      <c r="AE40" s="3"/>
      <c r="AF40" s="3"/>
      <c r="AG40" s="3"/>
    </row>
    <row r="41" ht="18" customHeight="1" spans="1:33" x14ac:dyDescent="0.25">
      <c r="A41" s="778"/>
      <c r="B41" s="778"/>
      <c r="C41" s="3"/>
      <c r="D41" s="3"/>
      <c r="E41" s="3" t="s">
        <v>1068</v>
      </c>
      <c r="F41" s="3"/>
      <c r="G41" s="3"/>
      <c r="H41" s="3"/>
      <c r="I41" s="3"/>
      <c r="J41" s="3"/>
      <c r="K41" s="3"/>
      <c r="L41" s="3"/>
      <c r="M41" s="3"/>
      <c r="N41" s="3"/>
      <c r="O41" s="3"/>
      <c r="P41" s="70"/>
      <c r="Q41" s="3"/>
      <c r="R41" s="3"/>
      <c r="S41" s="3"/>
      <c r="T41" s="3"/>
      <c r="U41" s="3"/>
      <c r="V41" s="3"/>
      <c r="W41" s="3"/>
      <c r="X41" s="3"/>
      <c r="Y41" s="3"/>
      <c r="Z41" s="3"/>
      <c r="AA41" s="3"/>
      <c r="AB41" s="3"/>
      <c r="AC41" s="3"/>
      <c r="AD41" s="3"/>
      <c r="AE41" s="3"/>
      <c r="AF41" s="3"/>
      <c r="AG41" s="3"/>
    </row>
    <row r="42" ht="18" customHeight="1" spans="1:33" x14ac:dyDescent="0.25">
      <c r="A42" s="3"/>
      <c r="B42" s="3"/>
      <c r="C42" s="3" t="s">
        <v>1631</v>
      </c>
      <c r="D42" s="3"/>
      <c r="E42" s="780" t="s">
        <v>1632</v>
      </c>
      <c r="F42" s="780"/>
      <c r="G42" s="780"/>
      <c r="H42" s="780"/>
      <c r="I42" s="780"/>
      <c r="J42" s="780"/>
      <c r="K42" s="780"/>
      <c r="L42" s="780"/>
      <c r="M42" s="780"/>
      <c r="N42" s="780"/>
      <c r="O42" s="782"/>
      <c r="P42" s="185" t="s">
        <v>222</v>
      </c>
      <c r="Q42" s="3"/>
      <c r="R42" s="3"/>
      <c r="S42" s="3"/>
      <c r="T42" s="3"/>
      <c r="U42" s="3"/>
      <c r="V42" s="3"/>
      <c r="W42" s="3"/>
      <c r="X42" s="3"/>
      <c r="Y42" s="3"/>
      <c r="Z42" s="3"/>
      <c r="AA42" s="3"/>
      <c r="AB42" s="3"/>
      <c r="AC42" s="3"/>
      <c r="AD42" s="3"/>
      <c r="AE42" s="3"/>
      <c r="AF42" s="3"/>
      <c r="AG42" s="3"/>
    </row>
    <row r="43" ht="12.75" customHeight="1" spans="1:3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ht="12.75" customHeight="1" spans="1:3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ht="12.75" customHeight="1" spans="1:3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ht="12.75" customHeight="1" spans="1:3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ht="12.75" customHeight="1" spans="1:3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ht="12.75" customHeight="1" spans="1:3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ht="12.75" customHeight="1" spans="1:3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ht="12.75" customHeight="1" spans="1:3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ht="12.75" customHeight="1" spans="1:3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ht="12.75" customHeight="1" spans="1:3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ht="12.75" customHeight="1" spans="1:3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ht="12.75" customHeight="1" spans="1:3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ht="12.75" customHeight="1" spans="1:3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ht="12.75" customHeight="1" spans="1:3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ht="12.75" customHeight="1" spans="1:3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ht="12.75" customHeight="1" spans="1:3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ht="12.75" customHeight="1" spans="1:3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ht="12.75" customHeight="1" spans="1:3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ht="12.75" customHeight="1" spans="1:3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ht="12.75" customHeight="1" spans="1:3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ht="12.75" customHeight="1" spans="1:3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ht="12.75" customHeight="1" spans="1:3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ht="12.75" customHeight="1" spans="1:3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ht="12.75" customHeight="1" spans="1:3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ht="12.75" customHeight="1" spans="1:3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ht="12.75" customHeight="1" spans="1:3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ht="12.75" customHeight="1" spans="1:3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ht="12.75" customHeight="1" spans="1:3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ht="12.75" customHeight="1" spans="1:3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ht="12.75" customHeight="1" spans="1:3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ht="12.75" customHeight="1" spans="1:3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ht="12.75" customHeight="1" spans="1:3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ht="12.75" customHeight="1" spans="1:3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ht="12.75" customHeight="1" spans="1:3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ht="12.75" customHeight="1" spans="1:3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ht="12.75" customHeight="1" spans="1:3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ht="12.75" customHeight="1" spans="1:3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ht="12.75" customHeight="1" spans="1:3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ht="12.75" customHeight="1" spans="1:3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ht="12.75" customHeight="1" spans="1:3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ht="12.75" customHeight="1" spans="1:3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ht="12.75" customHeight="1" spans="1:3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ht="12.75" customHeight="1" spans="1:3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ht="12.75" customHeight="1" spans="1:3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ht="12.75" customHeight="1" spans="1:3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ht="12.75" customHeight="1" spans="1:3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ht="12.75" customHeight="1" spans="1:3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ht="12.75" customHeight="1" spans="1:3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ht="12.75" customHeight="1" spans="1:3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ht="12.75" customHeight="1" spans="1:3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ht="12.75" customHeight="1" spans="1:3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ht="12.75" customHeight="1" spans="1:3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ht="12.75" customHeight="1" spans="1:3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ht="12.75" customHeight="1" spans="1:3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ht="12.75" customHeight="1" spans="1:3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ht="12.75" customHeight="1" spans="1:3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ht="12.75" customHeight="1" spans="1:3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ht="12.75" customHeight="1" spans="1:3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ht="12.75" customHeight="1" spans="1:3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ht="12.75" customHeight="1" spans="1:3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ht="12.75" customHeight="1" spans="1:3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ht="12.75" customHeight="1" spans="1:3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ht="12.75" customHeight="1" spans="1:3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ht="12.75" customHeight="1" spans="1:3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ht="12.75" customHeight="1" spans="1:3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ht="12.75" customHeight="1" spans="1:3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ht="12.75" customHeight="1" spans="1:3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ht="12.75" customHeight="1" spans="1:3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ht="12.75" customHeight="1" spans="1:3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ht="12.75" customHeight="1" spans="1:3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ht="12.75" customHeight="1" spans="1:3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ht="12.75" customHeight="1" spans="1:3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ht="12.75" customHeight="1" spans="1:3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ht="12.75" customHeight="1" spans="1:3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ht="12.75" customHeight="1" spans="1:3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ht="12.75" customHeight="1" spans="1:3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ht="12.75" customHeight="1" spans="1:3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ht="12.75" customHeight="1" spans="1:3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ht="12.75" customHeight="1" spans="1:3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ht="12.75" customHeight="1" spans="1:3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ht="12.75" customHeight="1" spans="1:3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ht="12.75" customHeight="1" spans="1:3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ht="12.75" customHeight="1" spans="1:3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ht="12.75" customHeight="1" spans="1:3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ht="12.75" customHeight="1" spans="1:3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ht="12.75" customHeight="1" spans="1:3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ht="12.75" customHeight="1" spans="1:3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ht="12.75" customHeight="1" spans="1:3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ht="12.75" customHeight="1" spans="1:3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ht="12.75" customHeight="1" spans="1:3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ht="12.75" customHeight="1" spans="1:3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ht="12.75" customHeight="1" spans="1:3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ht="12.75" customHeight="1" spans="1:3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ht="12.75" customHeight="1" spans="1:3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ht="12.75" customHeight="1" spans="1:3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ht="12.75" customHeight="1" spans="1:3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ht="12.75" customHeight="1" spans="1:3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ht="12.75" customHeight="1" spans="1:3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ht="12.75" customHeight="1" spans="1:3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ht="12.75" customHeight="1" spans="1:3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ht="12.75" customHeight="1" spans="1:3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ht="12.75" customHeight="1" spans="1:3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ht="12.75" customHeight="1" spans="1:3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ht="12.75" customHeight="1" spans="1:3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ht="12.75" customHeight="1" spans="1:3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ht="12.75" customHeight="1" spans="1:3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ht="12.75" customHeight="1" spans="1:3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ht="12.75" customHeight="1" spans="1:3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ht="12.75" customHeight="1" spans="1:3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ht="12.75" customHeight="1" spans="1:3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ht="12.75" customHeight="1" spans="1:3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ht="12.75" customHeight="1" spans="1:3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ht="12.75" customHeight="1" spans="1:3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ht="12.75" customHeight="1" spans="1:3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ht="12.75" customHeight="1" spans="1:3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ht="12.75" customHeight="1" spans="1:3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ht="12.75" customHeight="1" spans="1:3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ht="12.75" customHeight="1" spans="1:3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ht="12.75" customHeight="1" spans="1:3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ht="12.75" customHeight="1" spans="1:3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ht="12.75" customHeight="1" spans="1:3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ht="12.75" customHeight="1" spans="1:3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ht="12.75" customHeight="1" spans="1:3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ht="12.75" customHeight="1" spans="1:3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ht="12.75" customHeight="1" spans="1:3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ht="12.75" customHeight="1" spans="1:3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ht="12.75" customHeight="1" spans="1:3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ht="12.75" customHeight="1" spans="1:3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ht="12.75" customHeight="1" spans="1:3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ht="12.75" customHeight="1" spans="1:3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ht="12.75" customHeight="1" spans="1:3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ht="12.75" customHeight="1" spans="1:3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ht="12.75" customHeight="1" spans="1:3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ht="12.75" customHeight="1" spans="1:3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ht="12.75" customHeight="1" spans="1:3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ht="12.75" customHeight="1" spans="1:3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ht="12.75" customHeight="1" spans="1:3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ht="12.75" customHeight="1" spans="1:3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ht="12.75" customHeight="1" spans="1:3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ht="12.75" customHeight="1" spans="1:3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ht="12.75" customHeight="1" spans="1:3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ht="12.75" customHeight="1" spans="1:3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ht="12.75" customHeight="1" spans="1:3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ht="12.75" customHeight="1" spans="1:3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ht="12.75" customHeight="1" spans="1:3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ht="12.75" customHeight="1" spans="1:3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ht="12.75" customHeight="1" spans="1:3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ht="12.75" customHeight="1" spans="1:3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ht="12.75" customHeight="1" spans="1:3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ht="12.75" customHeight="1" spans="1:3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ht="12.75" customHeight="1" spans="1:3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ht="12.75" customHeight="1" spans="1:3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ht="12.75" customHeight="1" spans="1:3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ht="12.75" customHeight="1" spans="1:3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ht="12.75" customHeight="1" spans="1:3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ht="12.75" customHeight="1" spans="1:3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ht="12.75" customHeight="1" spans="1:3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ht="12.75" customHeight="1" spans="1:3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ht="12.75" customHeight="1" spans="1:3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ht="12.75" customHeight="1" spans="1:3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ht="12.75" customHeight="1" spans="1:3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ht="12.75" customHeight="1" spans="1:3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ht="12.75" customHeight="1" spans="1:3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ht="12.75" customHeight="1" spans="1:3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ht="12.75" customHeight="1" spans="1:3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ht="12.75" customHeight="1" spans="1:3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ht="12.75" customHeight="1" spans="1:3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ht="12.75" customHeight="1" spans="1:3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ht="12.75" customHeight="1" spans="1:3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ht="12.75" customHeight="1" spans="1:3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ht="12.75" customHeight="1" spans="1:3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ht="12.75" customHeight="1" spans="1:3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ht="12.75" customHeight="1" spans="1:3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ht="12.75" customHeight="1" spans="1:3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ht="12.75" customHeight="1" spans="1:3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ht="12.75" customHeight="1" spans="1:3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ht="12.75" customHeight="1" spans="1:3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ht="12.75" customHeight="1" spans="1:3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ht="12.75" customHeight="1" spans="1:3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ht="12.75" customHeight="1" spans="1:3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ht="12.75" customHeight="1" spans="1:3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ht="12.75" customHeight="1" spans="1:3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ht="12.75" customHeight="1" spans="1:3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ht="12.75" customHeight="1" spans="1:3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ht="12.75" customHeight="1" spans="1:3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ht="12.75" customHeight="1" spans="1:3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ht="12.75" customHeight="1" spans="1:3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ht="12.75" customHeight="1" spans="1:3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ht="12.75" customHeight="1" spans="1:3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ht="12.75" customHeight="1" spans="1:3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ht="12.75" customHeight="1" spans="1:3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ht="12.75" customHeight="1" spans="1:3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ht="12.75" customHeight="1" spans="1:3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ht="12.75" customHeight="1" spans="1:3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ht="12.75" customHeight="1" spans="1:3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ht="12.75" customHeight="1" spans="1:3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ht="12.75" customHeight="1" spans="1:3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ht="12.75" customHeight="1" spans="1:3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ht="12.75" customHeight="1" spans="1:3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ht="12.75" customHeight="1" spans="1:3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ht="12.75" customHeight="1" spans="1:3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ht="12.75" customHeight="1" spans="1:3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ht="12.75" customHeight="1" spans="1:3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ht="12.75" customHeight="1" spans="1:3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ht="12.75" customHeight="1" spans="1:3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ht="12.75" customHeight="1" spans="1:3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ht="12.75" customHeight="1" spans="1:3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ht="12.75" customHeight="1" spans="1:3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ht="12.75" customHeight="1" spans="1:3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ht="12.75" customHeight="1" spans="1:3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ht="12.75" customHeight="1" spans="1:3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ht="12.75" customHeight="1" spans="1:3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ht="12.75" customHeight="1" spans="1:3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ht="12.75" customHeight="1" spans="1:3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ht="12.75" customHeight="1" spans="1:3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ht="12.75" customHeight="1" spans="1:3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ht="12.75" customHeight="1" spans="1:3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ht="12.75" customHeight="1" spans="1:3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ht="12.75" customHeight="1" spans="1:3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ht="12.75" customHeight="1" spans="1:3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ht="12.75" customHeight="1" spans="1:3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ht="12.75" customHeight="1" spans="1:3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ht="12.75" customHeight="1" spans="1:3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ht="12.75" customHeight="1" spans="1:3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ht="12.75" customHeight="1" spans="1:3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ht="12.75" customHeight="1" spans="1:3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ht="12.75" customHeight="1" spans="1:3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ht="12.75" customHeight="1" spans="1:3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ht="12.75" customHeight="1" spans="1:3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ht="12.75" customHeight="1" spans="1:3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ht="12.75" customHeight="1" spans="1:3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ht="12.75" customHeight="1" spans="1:3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ht="12.75" customHeight="1" spans="1:3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ht="12.75" customHeight="1" spans="1:3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ht="12.75" customHeight="1" spans="1:3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ht="12.75" customHeight="1" spans="1:3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ht="12.75" customHeight="1" spans="1:3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ht="12.75" customHeight="1" spans="1:3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ht="12.75" customHeight="1" spans="1:3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ht="12.75" customHeight="1" spans="1:3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ht="12.75" customHeight="1" spans="1:3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ht="12.75" customHeight="1" spans="1:3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ht="12.75" customHeight="1" spans="1:3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ht="12.75" customHeight="1" spans="1:3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ht="12.75" customHeight="1" spans="1:3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ht="12.75" customHeight="1" spans="1:3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ht="12.75" customHeight="1" spans="1:3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ht="12.75" customHeight="1" spans="1:3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ht="12.75" customHeight="1" spans="1:3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ht="12.75" customHeight="1" spans="1:3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ht="12.75" customHeight="1" spans="1:3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ht="12.75" customHeight="1" spans="1:3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ht="12.75" customHeight="1" spans="1:3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ht="12.75" customHeight="1" spans="1:3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ht="12.75" customHeight="1" spans="1:3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ht="12.75" customHeight="1" spans="1:3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ht="12.75" customHeight="1" spans="1:3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ht="12.75" customHeight="1" spans="1:3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ht="12.75" customHeight="1" spans="1:3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ht="12.75" customHeight="1" spans="1:3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ht="12.75" customHeight="1" spans="1:3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ht="12.75" customHeight="1" spans="1:3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ht="12.75" customHeight="1" spans="1:3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ht="12.75" customHeight="1" spans="1:3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ht="12.75" customHeight="1" spans="1:3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ht="12.75" customHeight="1" spans="1:3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ht="12.75" customHeight="1" spans="1:3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ht="12.75" customHeight="1" spans="1:3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ht="12.75" customHeight="1" spans="1:3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ht="12.75" customHeight="1" spans="1:3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ht="12.75" customHeight="1" spans="1:3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ht="12.75" customHeight="1" spans="1:3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ht="12.75" customHeight="1" spans="1:3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ht="12.75" customHeight="1" spans="1:3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ht="12.75" customHeight="1" spans="1:3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ht="12.75" customHeight="1" spans="1:3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ht="12.75" customHeight="1" spans="1:3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ht="12.75" customHeight="1" spans="1:3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ht="12.75" customHeight="1" spans="1:3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ht="12.75" customHeight="1" spans="1:3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ht="12.75" customHeight="1" spans="1:3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ht="12.75" customHeight="1" spans="1:3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ht="12.75" customHeight="1" spans="1:3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ht="12.75" customHeight="1" spans="1:3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ht="12.75" customHeight="1" spans="1:3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ht="12.75" customHeight="1" spans="1:3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ht="12.75" customHeight="1" spans="1:3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ht="12.75" customHeight="1" spans="1:3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ht="12.75" customHeight="1" spans="1:3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ht="12.75" customHeight="1" spans="1:3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ht="12.75" customHeight="1" spans="1:3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ht="12.75" customHeight="1" spans="1:3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ht="12.75" customHeight="1" spans="1:3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ht="12.75" customHeight="1" spans="1:3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ht="12.75" customHeight="1" spans="1:3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ht="12.75" customHeight="1" spans="1:3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ht="12.75" customHeight="1" spans="1:3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ht="12.75" customHeight="1" spans="1:3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ht="12.75" customHeight="1" spans="1:3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ht="12.75" customHeight="1" spans="1:3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ht="12.75" customHeight="1" spans="1:3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ht="12.75" customHeight="1" spans="1:3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ht="12.75" customHeight="1" spans="1:3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ht="12.75" customHeight="1" spans="1:3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ht="12.75" customHeight="1" spans="1:3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ht="12.75" customHeight="1" spans="1:3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ht="12.75" customHeight="1" spans="1:3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ht="12.75" customHeight="1" spans="1:3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ht="12.75" customHeight="1" spans="1:3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ht="12.75" customHeight="1" spans="1:3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ht="12.75" customHeight="1" spans="1:3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ht="12.75" customHeight="1" spans="1:3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ht="12.75" customHeight="1" spans="1:3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ht="12.75" customHeight="1" spans="1:3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ht="12.75" customHeight="1" spans="1:3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ht="12.75" customHeight="1" spans="1:3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ht="12.75" customHeight="1" spans="1:3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ht="12.75" customHeight="1" spans="1:3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ht="12.75" customHeight="1" spans="1:3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ht="12.75" customHeight="1" spans="1:3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ht="12.75" customHeight="1" spans="1:3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ht="12.75" customHeight="1" spans="1:3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ht="12.75" customHeight="1" spans="1:3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ht="12.75" customHeight="1" spans="1:3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ht="12.75" customHeight="1" spans="1:3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ht="12.75" customHeight="1" spans="1:3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ht="12.75" customHeight="1" spans="1:3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ht="12.75" customHeight="1" spans="1:3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ht="12.75" customHeight="1" spans="1:3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ht="12.75" customHeight="1" spans="1:3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ht="12.75" customHeight="1" spans="1:3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ht="12.75" customHeight="1" spans="1:3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ht="12.75" customHeight="1" spans="1:3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ht="12.75" customHeight="1" spans="1:3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ht="12.75" customHeight="1" spans="1:3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ht="12.75" customHeight="1" spans="1:3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ht="12.75" customHeight="1" spans="1:3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ht="12.75" customHeight="1" spans="1:3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ht="12.75" customHeight="1" spans="1:3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ht="12.75" customHeight="1" spans="1:3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ht="12.75" customHeight="1" spans="1:3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ht="12.75" customHeight="1" spans="1:3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ht="12.75" customHeight="1" spans="1:3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ht="12.75" customHeight="1" spans="1:3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ht="12.75" customHeight="1" spans="1:3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ht="12.75" customHeight="1" spans="1:3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ht="12.75" customHeight="1" spans="1:3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ht="12.75" customHeight="1" spans="1:3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ht="12.75" customHeight="1" spans="1:3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ht="12.75" customHeight="1" spans="1:3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ht="12.75" customHeight="1" spans="1:3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ht="12.75" customHeight="1" spans="1:3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ht="12.75" customHeight="1" spans="1:3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ht="12.75" customHeight="1" spans="1:3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ht="12.75" customHeight="1" spans="1:3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ht="12.75" customHeight="1" spans="1:3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ht="12.75" customHeight="1" spans="1:3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ht="12.75" customHeight="1" spans="1:3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ht="12.75" customHeight="1" spans="1:3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ht="12.75" customHeight="1" spans="1:3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ht="12.75" customHeight="1" spans="1:3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ht="12.75" customHeight="1" spans="1:3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ht="12.75" customHeight="1" spans="1:3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ht="12.75" customHeight="1" spans="1:3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ht="12.75" customHeight="1" spans="1:3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ht="12.75" customHeight="1" spans="1:3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ht="12.75" customHeight="1" spans="1:3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ht="12.75" customHeight="1" spans="1:3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ht="12.75" customHeight="1" spans="1:3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ht="12.75" customHeight="1" spans="1:3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ht="12.75" customHeight="1" spans="1:3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ht="12.75" customHeight="1" spans="1:3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ht="12.75" customHeight="1" spans="1:3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ht="12.75" customHeight="1" spans="1:3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ht="12.75" customHeight="1" spans="1:3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ht="12.75" customHeight="1" spans="1:3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ht="12.75" customHeight="1" spans="1:3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ht="12.75" customHeight="1" spans="1:3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ht="12.75" customHeight="1" spans="1:3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ht="12.75" customHeight="1" spans="1:3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ht="12.75" customHeight="1" spans="1:3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ht="12.75" customHeight="1" spans="1:3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ht="12.75" customHeight="1" spans="1:3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ht="12.75" customHeight="1" spans="1:3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ht="12.75" customHeight="1" spans="1:3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ht="12.75" customHeight="1" spans="1:3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ht="12.75" customHeight="1" spans="1:3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ht="12.75" customHeight="1" spans="1:3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ht="12.75" customHeight="1" spans="1:3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ht="12.75" customHeight="1" spans="1:3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ht="12.75" customHeight="1" spans="1:3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ht="12.75" customHeight="1" spans="1:3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ht="12.75" customHeight="1" spans="1:3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ht="12.75" customHeight="1" spans="1:3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ht="12.75" customHeight="1" spans="1:3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ht="12.75" customHeight="1" spans="1:3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ht="12.75" customHeight="1" spans="1:3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ht="12.75" customHeight="1" spans="1:3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ht="12.75" customHeight="1" spans="1:3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ht="12.75" customHeight="1" spans="1:3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ht="12.75" customHeight="1" spans="1:3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ht="12.75" customHeight="1" spans="1:3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ht="12.75" customHeight="1" spans="1:3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ht="12.75" customHeight="1" spans="1:3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ht="12.75" customHeight="1" spans="1:3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ht="12.75" customHeight="1" spans="1:3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ht="12.75" customHeight="1" spans="1:3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ht="12.75" customHeight="1" spans="1:3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ht="12.75" customHeight="1" spans="1:3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ht="12.75" customHeight="1" spans="1:3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ht="12.75" customHeight="1" spans="1:3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ht="12.75" customHeight="1" spans="1:3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ht="12.75" customHeight="1" spans="1:3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ht="12.75" customHeight="1" spans="1:3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ht="12.75" customHeight="1" spans="1:3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ht="12.75" customHeight="1" spans="1:3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ht="12.75" customHeight="1" spans="1:3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ht="12.75" customHeight="1" spans="1:3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ht="12.75" customHeight="1" spans="1:3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ht="12.75" customHeight="1" spans="1:3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ht="12.75" customHeight="1" spans="1:3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ht="12.75" customHeight="1" spans="1:3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ht="12.75" customHeight="1" spans="1:3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ht="12.75" customHeight="1" spans="1:3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ht="12.75" customHeight="1" spans="1:3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ht="12.75" customHeight="1" spans="1:3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ht="12.75" customHeight="1" spans="1:3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ht="12.75" customHeight="1" spans="1:3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ht="12.75" customHeight="1" spans="1:3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ht="12.75" customHeight="1" spans="1:3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ht="12.75" customHeight="1" spans="1:3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ht="12.75" customHeight="1" spans="1:3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ht="12.75" customHeight="1" spans="1:3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ht="12.75" customHeight="1" spans="1:3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ht="12.75" customHeight="1" spans="1:3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ht="12.75" customHeight="1" spans="1:3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ht="12.75" customHeight="1" spans="1:3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ht="12.75" customHeight="1" spans="1:3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ht="12.75" customHeight="1" spans="1:3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ht="12.75" customHeight="1" spans="1:3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ht="12.75" customHeight="1" spans="1:3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ht="12.75" customHeight="1" spans="1:3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ht="12.75" customHeight="1" spans="1:3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ht="12.75" customHeight="1" spans="1:3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ht="12.75" customHeight="1" spans="1:3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ht="12.75" customHeight="1" spans="1:3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ht="12.75" customHeight="1" spans="1:3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ht="12.75" customHeight="1" spans="1:3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ht="12.75" customHeight="1" spans="1:3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ht="12.75" customHeight="1" spans="1:3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ht="12.75" customHeight="1" spans="1:3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ht="12.75" customHeight="1" spans="1:3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ht="12.75" customHeight="1" spans="1:3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ht="12.75" customHeight="1" spans="1:3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ht="12.75" customHeight="1" spans="1:3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ht="12.75" customHeight="1" spans="1:3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ht="12.75" customHeight="1" spans="1:3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ht="12.75" customHeight="1" spans="1:3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ht="12.75" customHeight="1" spans="1:3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ht="12.75" customHeight="1" spans="1:3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ht="12.75" customHeight="1" spans="1:3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ht="12.75" customHeight="1" spans="1:3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ht="12.75" customHeight="1" spans="1:3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ht="12.75" customHeight="1" spans="1:3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ht="12.75" customHeight="1" spans="1:3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ht="12.75" customHeight="1" spans="1:3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ht="12.75" customHeight="1" spans="1:3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ht="12.75" customHeight="1" spans="1:3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ht="12.75" customHeight="1" spans="1:3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ht="12.75" customHeight="1" spans="1:3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ht="12.75" customHeight="1" spans="1:3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ht="12.75" customHeight="1" spans="1:3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ht="12.75" customHeight="1" spans="1:3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ht="12.75" customHeight="1" spans="1:3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ht="12.75" customHeight="1" spans="1:3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ht="12.75" customHeight="1" spans="1:3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ht="12.75" customHeight="1" spans="1:3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ht="12.75" customHeight="1" spans="1:3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ht="12.75" customHeight="1" spans="1:3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ht="12.75" customHeight="1" spans="1:3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ht="12.75" customHeight="1" spans="1:3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ht="12.75" customHeight="1" spans="1:3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ht="12.75" customHeight="1" spans="1:3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ht="12.75" customHeight="1" spans="1:3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ht="12.75" customHeight="1" spans="1:3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ht="12.75" customHeight="1" spans="1:3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ht="12.75" customHeight="1" spans="1:3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ht="12.75" customHeight="1" spans="1:3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ht="12.75" customHeight="1" spans="1:3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ht="12.75" customHeight="1" spans="1:3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ht="12.75" customHeight="1" spans="1:3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ht="12.75" customHeight="1" spans="1:3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ht="12.75" customHeight="1" spans="1:3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ht="12.75" customHeight="1" spans="1:3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ht="12.75" customHeight="1" spans="1:3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ht="12.75" customHeight="1" spans="1:3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ht="12.75" customHeight="1" spans="1:3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ht="12.75" customHeight="1" spans="1:3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ht="12.75" customHeight="1" spans="1:3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ht="12.75" customHeight="1" spans="1:3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ht="12.75" customHeight="1" spans="1:3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ht="12.75" customHeight="1" spans="1:3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ht="12.75" customHeight="1" spans="1:3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ht="12.75" customHeight="1" spans="1:3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ht="12.75" customHeight="1" spans="1:3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ht="12.75" customHeight="1" spans="1:3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ht="12.75" customHeight="1" spans="1:3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ht="12.75" customHeight="1" spans="1:3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ht="12.75" customHeight="1" spans="1:3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ht="12.75" customHeight="1" spans="1:3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ht="12.75" customHeight="1" spans="1:3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ht="12.75" customHeight="1" spans="1:3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ht="12.75" customHeight="1" spans="1:3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ht="12.75" customHeight="1" spans="1:3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ht="12.75" customHeight="1" spans="1:3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ht="12.75" customHeight="1" spans="1:3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ht="12.75" customHeight="1" spans="1:3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ht="12.75" customHeight="1" spans="1:3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ht="12.75" customHeight="1" spans="1:3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ht="12.75" customHeight="1" spans="1:3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ht="12.75" customHeight="1" spans="1:3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ht="12.75" customHeight="1" spans="1:3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ht="12.75" customHeight="1" spans="1:3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ht="12.75" customHeight="1" spans="1:3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ht="12.75" customHeight="1" spans="1:3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ht="12.75" customHeight="1" spans="1:3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ht="12.75" customHeight="1" spans="1:3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ht="12.75" customHeight="1" spans="1:3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ht="12.75" customHeight="1" spans="1:3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ht="12.75" customHeight="1" spans="1:3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ht="12.75" customHeight="1" spans="1:3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ht="12.75" customHeight="1" spans="1:3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ht="12.75" customHeight="1" spans="1:3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ht="12.75" customHeight="1" spans="1:3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ht="12.75" customHeight="1" spans="1:3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ht="12.75" customHeight="1" spans="1:3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ht="12.75" customHeight="1" spans="1:3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ht="12.75" customHeight="1" spans="1:3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ht="12.75" customHeight="1" spans="1:3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ht="12.75" customHeight="1" spans="1:3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ht="12.75" customHeight="1" spans="1:3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ht="12.75" customHeight="1" spans="1:3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ht="12.75" customHeight="1" spans="1:3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ht="12.75" customHeight="1" spans="1:3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ht="12.75" customHeight="1" spans="1:3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ht="12.75" customHeight="1" spans="1:3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ht="12.75" customHeight="1" spans="1:3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ht="12.75" customHeight="1" spans="1:3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ht="12.75" customHeight="1" spans="1:3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ht="12.75" customHeight="1" spans="1:3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ht="12.75" customHeight="1" spans="1:3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ht="12.75" customHeight="1" spans="1:3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ht="12.75" customHeight="1" spans="1:3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ht="12.75" customHeight="1" spans="1:3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ht="12.75" customHeight="1" spans="1:3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ht="12.75" customHeight="1" spans="1:3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ht="12.75" customHeight="1" spans="1:3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ht="12.75" customHeight="1" spans="1:3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ht="12.75" customHeight="1" spans="1:3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ht="12.75" customHeight="1" spans="1:3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ht="12.75" customHeight="1" spans="1:3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ht="12.75" customHeight="1" spans="1:3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ht="12.75" customHeight="1" spans="1:3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ht="12.75" customHeight="1" spans="1:3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ht="12.75" customHeight="1" spans="1:3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ht="12.75" customHeight="1" spans="1:3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ht="12.75" customHeight="1" spans="1:3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ht="12.75" customHeight="1" spans="1:3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ht="12.75" customHeight="1" spans="1:3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ht="12.75" customHeight="1" spans="1:3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ht="12.75" customHeight="1" spans="1:3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ht="12.75" customHeight="1" spans="1:3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ht="12.75" customHeight="1" spans="1:3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ht="12.75" customHeight="1" spans="1:3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ht="12.75" customHeight="1" spans="1:3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ht="12.75" customHeight="1" spans="1:3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ht="12.75" customHeight="1" spans="1:3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ht="12.75" customHeight="1" spans="1:3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ht="12.75" customHeight="1" spans="1:3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ht="12.75" customHeight="1" spans="1:3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ht="12.75" customHeight="1" spans="1:3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ht="12.75" customHeight="1" spans="1:3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ht="12.75" customHeight="1" spans="1:3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ht="12.75" customHeight="1" spans="1:3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ht="12.75" customHeight="1" spans="1:3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ht="12.75" customHeight="1" spans="1:3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ht="12.75" customHeight="1" spans="1:3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ht="12.75" customHeight="1" spans="1:3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ht="12.75" customHeight="1" spans="1:3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ht="12.75" customHeight="1" spans="1:3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ht="12.75" customHeight="1" spans="1:3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ht="12.75" customHeight="1" spans="1:3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ht="12.75" customHeight="1" spans="1:3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ht="12.75" customHeight="1" spans="1:3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ht="12.75" customHeight="1" spans="1:3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ht="12.75" customHeight="1" spans="1:3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ht="12.75" customHeight="1" spans="1:3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ht="12.75" customHeight="1" spans="1:3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ht="12.75" customHeight="1" spans="1:3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ht="12.75" customHeight="1" spans="1:3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ht="12.75" customHeight="1" spans="1:3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ht="12.75" customHeight="1" spans="1:3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ht="12.75" customHeight="1" spans="1:3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ht="12.75" customHeight="1" spans="1:3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ht="12.75" customHeight="1" spans="1:3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ht="12.75" customHeight="1" spans="1:3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ht="12.75" customHeight="1" spans="1:3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ht="12.75" customHeight="1" spans="1:3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ht="12.75" customHeight="1" spans="1:3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ht="12.75" customHeight="1" spans="1:3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ht="12.75" customHeight="1" spans="1:3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ht="12.75" customHeight="1" spans="1:3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ht="12.75" customHeight="1" spans="1:3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ht="12.75" customHeight="1" spans="1:3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ht="12.75" customHeight="1" spans="1:3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ht="12.75" customHeight="1" spans="1:3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ht="12.75" customHeight="1" spans="1:3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ht="12.75" customHeight="1" spans="1:3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ht="12.75" customHeight="1" spans="1:3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ht="12.75" customHeight="1" spans="1:3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ht="12.75" customHeight="1" spans="1:3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ht="12.75" customHeight="1" spans="1:3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ht="12.75" customHeight="1" spans="1:3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ht="12.75" customHeight="1" spans="1:3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ht="12.75" customHeight="1" spans="1:3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ht="12.75" customHeight="1" spans="1:3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ht="12.75" customHeight="1" spans="1:3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ht="12.75" customHeight="1" spans="1:3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ht="12.75" customHeight="1" spans="1:3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ht="12.75" customHeight="1" spans="1:3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ht="12.75" customHeight="1" spans="1:3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ht="12.75" customHeight="1" spans="1:3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ht="12.75" customHeight="1" spans="1:3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ht="12.75" customHeight="1" spans="1:3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ht="12.75" customHeight="1" spans="1:3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ht="12.75" customHeight="1" spans="1:3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ht="12.75" customHeight="1" spans="1:3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ht="12.75" customHeight="1" spans="1:3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ht="12.75" customHeight="1" spans="1:3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ht="12.75" customHeight="1" spans="1:3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ht="12.75" customHeight="1" spans="1:3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ht="12.75" customHeight="1" spans="1:3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ht="12.75" customHeight="1" spans="1:3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ht="12.75" customHeight="1" spans="1:3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ht="12.75" customHeight="1" spans="1:3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ht="12.75" customHeight="1" spans="1:3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ht="12.75" customHeight="1" spans="1:3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ht="12.75" customHeight="1" spans="1:3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ht="12.75" customHeight="1" spans="1:3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ht="12.75" customHeight="1" spans="1:3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ht="12.75" customHeight="1" spans="1:3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ht="12.75" customHeight="1" spans="1:3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ht="12.75" customHeight="1" spans="1:3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ht="12.75" customHeight="1" spans="1:3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ht="12.75" customHeight="1" spans="1:3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ht="12.75" customHeight="1" spans="1:3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ht="12.75" customHeight="1" spans="1:3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ht="12.75" customHeight="1" spans="1:3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ht="12.75" customHeight="1" spans="1:3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ht="12.75" customHeight="1" spans="1:3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ht="12.75" customHeight="1" spans="1:3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ht="12.75" customHeight="1" spans="1:3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ht="12.75" customHeight="1" spans="1:3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ht="12.75" customHeight="1" spans="1:3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ht="12.75" customHeight="1" spans="1:3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ht="12.75" customHeight="1" spans="1:3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ht="12.75" customHeight="1" spans="1:3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ht="12.75" customHeight="1" spans="1:3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ht="12.75" customHeight="1" spans="1:3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ht="12.75" customHeight="1" spans="1:3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ht="12.75" customHeight="1" spans="1:3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ht="12.75" customHeight="1" spans="1:3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ht="12.75" customHeight="1" spans="1:3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ht="12.75" customHeight="1" spans="1:3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ht="12.75" customHeight="1" spans="1:3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ht="12.75" customHeight="1" spans="1:3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ht="12.75" customHeight="1" spans="1:3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ht="12.75" customHeight="1" spans="1:3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ht="12.75" customHeight="1" spans="1:3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ht="12.75" customHeight="1" spans="1:3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ht="12.75" customHeight="1" spans="1:3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ht="12.75" customHeight="1" spans="1:3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ht="12.75" customHeight="1" spans="1:3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ht="12.75" customHeight="1" spans="1:3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ht="12.75" customHeight="1" spans="1:3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ht="12.75" customHeight="1" spans="1:3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ht="12.75" customHeight="1" spans="1:3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ht="12.75" customHeight="1" spans="1:3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ht="12.75" customHeight="1" spans="1:3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ht="12.75" customHeight="1" spans="1:3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ht="12.75" customHeight="1" spans="1:3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ht="12.75" customHeight="1" spans="1:3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ht="12.75" customHeight="1" spans="1:3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ht="12.75" customHeight="1" spans="1:3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ht="12.75" customHeight="1" spans="1:3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ht="12.75" customHeight="1" spans="1:3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ht="12.75" customHeight="1" spans="1:3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ht="12.75" customHeight="1" spans="1:3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ht="12.75" customHeight="1" spans="1:3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ht="12.75" customHeight="1" spans="1:3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ht="12.75" customHeight="1" spans="1:3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ht="12.75" customHeight="1" spans="1:3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ht="12.75" customHeight="1" spans="1:3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ht="12.75" customHeight="1" spans="1:3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ht="12.75" customHeight="1" spans="1:3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ht="12.75" customHeight="1" spans="1:3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ht="12.75" customHeight="1" spans="1:3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ht="12.75" customHeight="1" spans="1:3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ht="12.75" customHeight="1" spans="1:3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ht="12.75" customHeight="1" spans="1:3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ht="12.75" customHeight="1" spans="1:3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ht="12.75" customHeight="1" spans="1:3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ht="12.75" customHeight="1" spans="1:3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ht="12.75" customHeight="1" spans="1:3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ht="12.75" customHeight="1" spans="1:3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ht="12.75" customHeight="1" spans="1:3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ht="12.75" customHeight="1" spans="1:3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ht="12.75" customHeight="1" spans="1:3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ht="12.75" customHeight="1" spans="1:3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ht="12.75" customHeight="1" spans="1:3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ht="12.75" customHeight="1" spans="1:3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ht="12.75" customHeight="1" spans="1:3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ht="12.75" customHeight="1" spans="1:3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ht="12.75" customHeight="1" spans="1:3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ht="12.75" customHeight="1" spans="1:3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ht="12.75" customHeight="1" spans="1:3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ht="12.75" customHeight="1" spans="1:3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ht="12.75" customHeight="1" spans="1:3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ht="12.75" customHeight="1" spans="1:3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ht="12.75" customHeight="1" spans="1:3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ht="12.75" customHeight="1" spans="1:3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ht="12.75" customHeight="1" spans="1:3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ht="12.75" customHeight="1" spans="1:3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ht="12.75" customHeight="1" spans="1:3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ht="12.75" customHeight="1" spans="1:3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ht="12.75" customHeight="1" spans="1:3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ht="12.75" customHeight="1" spans="1:3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ht="12.75" customHeight="1" spans="1:3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ht="12.75" customHeight="1" spans="1:3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ht="12.75" customHeight="1" spans="1:3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ht="12.75" customHeight="1" spans="1:3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ht="12.75" customHeight="1" spans="1:3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ht="12.75" customHeight="1" spans="1:3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ht="12.75" customHeight="1" spans="1:3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ht="12.75" customHeight="1" spans="1:3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ht="12.75" customHeight="1" spans="1:3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ht="12.75" customHeight="1" spans="1:3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ht="12.75" customHeight="1" spans="1:3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ht="12.75" customHeight="1" spans="1:3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ht="12.75" customHeight="1" spans="1:3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ht="12.75" customHeight="1" spans="1:3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ht="12.75" customHeight="1" spans="1:3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ht="12.75" customHeight="1" spans="1:3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ht="12.75" customHeight="1" spans="1:3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ht="12.75" customHeight="1" spans="1:3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ht="12.75" customHeight="1" spans="1:3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ht="12.75" customHeight="1" spans="1:3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ht="12.75" customHeight="1" spans="1:3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ht="12.75" customHeight="1" spans="1:3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ht="12.75" customHeight="1" spans="1:3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ht="12.75" customHeight="1" spans="1:3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ht="12.75" customHeight="1" spans="1:3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ht="12.75" customHeight="1" spans="1:3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ht="12.75" customHeight="1" spans="1:3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ht="12.75" customHeight="1" spans="1:3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ht="12.75" customHeight="1" spans="1:3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ht="12.75" customHeight="1" spans="1:3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ht="12.75" customHeight="1" spans="1:3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ht="12.75" customHeight="1" spans="1:3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ht="12.75" customHeight="1" spans="1:3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ht="12.75" customHeight="1" spans="1:3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ht="12.75" customHeight="1" spans="1:3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ht="12.75" customHeight="1" spans="1:3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ht="12.75" customHeight="1" spans="1:3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ht="12.75" customHeight="1" spans="1:3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ht="12.75" customHeight="1" spans="1:3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ht="12.75" customHeight="1" spans="1:3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ht="12.75" customHeight="1" spans="1:3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ht="12.75" customHeight="1" spans="1:3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ht="12.75" customHeight="1" spans="1:3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ht="12.75" customHeight="1" spans="1:3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ht="12.75" customHeight="1" spans="1:3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ht="12.75" customHeight="1" spans="1:3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ht="12.75" customHeight="1" spans="1:3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ht="12.75" customHeight="1" spans="1:3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ht="12.75" customHeight="1" spans="1:3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ht="12.75" customHeight="1" spans="1:3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ht="12.75" customHeight="1" spans="1:3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ht="12.75" customHeight="1" spans="1:3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ht="12.75" customHeight="1" spans="1:3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ht="12.75" customHeight="1" spans="1:3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ht="12.75" customHeight="1" spans="1:3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ht="12.75" customHeight="1" spans="1:3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ht="12.75" customHeight="1" spans="1:3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ht="12.75" customHeight="1" spans="1:3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ht="12.75" customHeight="1" spans="1:3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ht="12.75" customHeight="1" spans="1:3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ht="12.75" customHeight="1" spans="1:3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ht="12.75" customHeight="1" spans="1:3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ht="12.75" customHeight="1" spans="1:3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ht="12.75" customHeight="1" spans="1:3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ht="12.75" customHeight="1" spans="1:3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ht="12.75" customHeight="1" spans="1:3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ht="12.75" customHeight="1" spans="1:3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ht="12.75" customHeight="1" spans="1:3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ht="12.75" customHeight="1" spans="1:3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ht="12.75" customHeight="1" spans="1:3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ht="12.75" customHeight="1" spans="1:3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ht="12.75" customHeight="1" spans="1:3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ht="12.75" customHeight="1" spans="1:3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ht="12.75" customHeight="1" spans="1:3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ht="12.75" customHeight="1" spans="1:3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ht="12.75" customHeight="1" spans="1:3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ht="12.75" customHeight="1" spans="1:3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ht="12.75" customHeight="1" spans="1:3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ht="12.75" customHeight="1" spans="1:3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ht="12.75" customHeight="1" spans="1:3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ht="12.75" customHeight="1" spans="1:3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ht="12.75" customHeight="1" spans="1:3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ht="12.75" customHeight="1" spans="1:3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ht="12.75" customHeight="1" spans="1:3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ht="12.75" customHeight="1" spans="1:3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ht="12.75" customHeight="1" spans="1:3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ht="12.75" customHeight="1" spans="1:3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ht="12.75" customHeight="1" spans="1:3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ht="12.75" customHeight="1" spans="1:3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ht="12.75" customHeight="1" spans="1:3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ht="12.75" customHeight="1" spans="1:3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ht="12.75" customHeight="1" spans="1:3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ht="12.75" customHeight="1" spans="1:3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ht="12.75" customHeight="1" spans="1:3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ht="12.75" customHeight="1" spans="1:3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ht="12.75" customHeight="1" spans="1:3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ht="12.75" customHeight="1" spans="1:3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ht="12.75" customHeight="1" spans="1:3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ht="12.75" customHeight="1" spans="1:3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ht="12.75" customHeight="1" spans="1:3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ht="12.75" customHeight="1" spans="1:3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ht="12.75" customHeight="1" spans="1:3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ht="12.75" customHeight="1" spans="1:3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ht="12.75" customHeight="1" spans="1:3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ht="12.75" customHeight="1" spans="1:3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ht="12.75" customHeight="1" spans="1:3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ht="12.75" customHeight="1" spans="1:3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ht="12.75" customHeight="1" spans="1:3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ht="12.75" customHeight="1" spans="1:3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ht="12.75" customHeight="1" spans="1:3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ht="12.75" customHeight="1" spans="1:3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ht="12.75" customHeight="1" spans="1:3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ht="12.75" customHeight="1" spans="1:3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ht="12.75" customHeight="1" spans="1:3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ht="12.75" customHeight="1" spans="1:3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ht="12.75" customHeight="1" spans="1:3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ht="12.75" customHeight="1" spans="1:3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ht="12.75" customHeight="1" spans="1:3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ht="12.75" customHeight="1" spans="1:3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ht="12.75" customHeight="1" spans="1:3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ht="12.75" customHeight="1" spans="1:3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ht="12.75" customHeight="1" spans="1:3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ht="12.75" customHeight="1" spans="1:3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ht="12.75" customHeight="1" spans="1:3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ht="12.75" customHeight="1" spans="1:3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ht="12.75" customHeight="1" spans="1:3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ht="12.75" customHeight="1" spans="1:3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ht="12.75" customHeight="1" spans="1:3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ht="12.75" customHeight="1" spans="1:3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ht="12.75" customHeight="1" spans="1:3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ht="12.75" customHeight="1" spans="1:3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ht="12.75" customHeight="1" spans="1:3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ht="12.75" customHeight="1" spans="1:3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ht="12.75" customHeight="1" spans="1:3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ht="12.75" customHeight="1" spans="1:3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ht="12.75" customHeight="1" spans="1:3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ht="12.75" customHeight="1" spans="1:3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ht="12.75" customHeight="1" spans="1:3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ht="12.75" customHeight="1" spans="1:3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ht="12.75" customHeight="1" spans="1:3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ht="12.75" customHeight="1" spans="1:3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ht="12.75" customHeight="1" spans="1:3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ht="12.75" customHeight="1" spans="1:3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ht="12.75" customHeight="1" spans="1:3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ht="12.75" customHeight="1" spans="1:3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ht="12.75" customHeight="1" spans="1:3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ht="12.75" customHeight="1" spans="1:3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ht="12.75" customHeight="1" spans="1:3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ht="12.75" customHeight="1" spans="1:3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ht="12.75" customHeight="1" spans="1:3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ht="12.75" customHeight="1" spans="1:3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ht="12.75" customHeight="1" spans="1:3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ht="12.75" customHeight="1" spans="1:3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ht="12.75" customHeight="1" spans="1:3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ht="12.75" customHeight="1" spans="1:3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ht="12.75" customHeight="1" spans="1:3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ht="12.75" customHeight="1" spans="1:3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ht="12.75" customHeight="1" spans="1:3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ht="12.75" customHeight="1" spans="1:3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ht="12.75" customHeight="1" spans="1:3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ht="12.75" customHeight="1" spans="1:3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ht="12.75" customHeight="1" spans="1:3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ht="12.75" customHeight="1" spans="1:3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ht="12.75" customHeight="1" spans="1:3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ht="12.75" customHeight="1" spans="1:3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ht="12.75" customHeight="1" spans="1:3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ht="12.75" customHeight="1" spans="1:3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ht="12.75" customHeight="1" spans="1:3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ht="12.75" customHeight="1" spans="1:3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ht="12.75" customHeight="1" spans="1:3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ht="12.75" customHeight="1" spans="1:3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ht="12.75" customHeight="1" spans="1:3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ht="12.75" customHeight="1" spans="1:3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ht="12.75" customHeight="1" spans="1:3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ht="12.75" customHeight="1" spans="1:3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ht="12.75" customHeight="1" spans="1:3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ht="12.75" customHeight="1" spans="1:3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ht="12.75" customHeight="1" spans="1:3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ht="12.75" customHeight="1" spans="1:3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ht="12.75" customHeight="1" spans="1:3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ht="12.75" customHeight="1" spans="1:3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ht="12.75" customHeight="1" spans="1:3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ht="12.75" customHeight="1" spans="1:3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ht="12.75" customHeight="1" spans="1:3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ht="12.75" customHeight="1" spans="1:3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ht="12.75" customHeight="1" spans="1:3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ht="12.75" customHeight="1" spans="1:3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ht="12.75" customHeight="1" spans="1:3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ht="12.75" customHeight="1" spans="1:3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ht="12.75" customHeight="1" spans="1:3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ht="12.75" customHeight="1" spans="1:3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ht="12.75" customHeight="1" spans="1:3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ht="12.75" customHeight="1" spans="1:3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ht="12.75" customHeight="1" spans="1:3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ht="12.75" customHeight="1" spans="1:3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ht="12.75" customHeight="1" spans="1:3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ht="12.75" customHeight="1" spans="1:3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ht="12.75" customHeight="1" spans="1:3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ht="12.75" customHeight="1" spans="1:3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ht="12.75" customHeight="1" spans="1:3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ht="12.75" customHeight="1" spans="1:3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ht="12.75" customHeight="1" spans="1:3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ht="12.75" customHeight="1" spans="1:3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ht="12.75" customHeight="1" spans="1:3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ht="12.75" customHeight="1" spans="1:3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ht="12.75" customHeight="1" spans="1:3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ht="12.75" customHeight="1" spans="1:3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ht="12.75" customHeight="1" spans="1:3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ht="12.75" customHeight="1" spans="1:3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ht="12.75" customHeight="1" spans="1:3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ht="12.75" customHeight="1" spans="1:3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ht="12.75" customHeight="1" spans="1:3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ht="12.75" customHeight="1" spans="1:3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ht="12.75" customHeight="1" spans="1:3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ht="12.75" customHeight="1" spans="1:3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sheetData>
  <mergeCells count="78">
    <mergeCell ref="B1:P2"/>
    <mergeCell ref="M4:Q4"/>
    <mergeCell ref="E9:K9"/>
    <mergeCell ref="A10:B10"/>
    <mergeCell ref="C10:G10"/>
    <mergeCell ref="H10:Q10"/>
    <mergeCell ref="A11:B11"/>
    <mergeCell ref="C11:G11"/>
    <mergeCell ref="H11:Q11"/>
    <mergeCell ref="A12:B12"/>
    <mergeCell ref="D13:G13"/>
    <mergeCell ref="K13:Q13"/>
    <mergeCell ref="D14:G14"/>
    <mergeCell ref="K14:Q14"/>
    <mergeCell ref="A15:B16"/>
    <mergeCell ref="D15:G15"/>
    <mergeCell ref="K15:Q15"/>
    <mergeCell ref="D16:G16"/>
    <mergeCell ref="K16:Q16"/>
    <mergeCell ref="A17:B17"/>
    <mergeCell ref="C17:G17"/>
    <mergeCell ref="K17:Q17"/>
    <mergeCell ref="A18:B18"/>
    <mergeCell ref="C18:G18"/>
    <mergeCell ref="K18:Q18"/>
    <mergeCell ref="A19:B20"/>
    <mergeCell ref="H19:L19"/>
    <mergeCell ref="M19:Q19"/>
    <mergeCell ref="H20:L20"/>
    <mergeCell ref="M20:Q20"/>
    <mergeCell ref="A21:B23"/>
    <mergeCell ref="C21:G21"/>
    <mergeCell ref="H21:K21"/>
    <mergeCell ref="D23:E23"/>
    <mergeCell ref="N23:P23"/>
    <mergeCell ref="A24:B26"/>
    <mergeCell ref="H24:K24"/>
    <mergeCell ref="L24:Q24"/>
    <mergeCell ref="D25:F25"/>
    <mergeCell ref="H25:K25"/>
    <mergeCell ref="L25:P25"/>
    <mergeCell ref="D26:F26"/>
    <mergeCell ref="H26:K26"/>
    <mergeCell ref="L26:P26"/>
    <mergeCell ref="A27:B29"/>
    <mergeCell ref="D27:F27"/>
    <mergeCell ref="H27:K27"/>
    <mergeCell ref="L27:P27"/>
    <mergeCell ref="U27:V28"/>
    <mergeCell ref="Y27:AB28"/>
    <mergeCell ref="D28:F28"/>
    <mergeCell ref="H28:K28"/>
    <mergeCell ref="L28:P28"/>
    <mergeCell ref="S27:S32"/>
    <mergeCell ref="T27:T28"/>
    <mergeCell ref="W27:W28"/>
    <mergeCell ref="X27:X28"/>
    <mergeCell ref="D29:F29"/>
    <mergeCell ref="H29:K29"/>
    <mergeCell ref="L29:P29"/>
    <mergeCell ref="A30:B31"/>
    <mergeCell ref="C30:G30"/>
    <mergeCell ref="H30:Q30"/>
    <mergeCell ref="U30:V30"/>
    <mergeCell ref="Y30:AB30"/>
    <mergeCell ref="C31:G31"/>
    <mergeCell ref="H31:Q31"/>
    <mergeCell ref="U31:V31"/>
    <mergeCell ref="Y31:AB31"/>
    <mergeCell ref="T31:T32"/>
    <mergeCell ref="U32:V32"/>
    <mergeCell ref="W31:W32"/>
    <mergeCell ref="Y32:AB32"/>
    <mergeCell ref="A33:E33"/>
    <mergeCell ref="E34:O34"/>
    <mergeCell ref="E35:N35"/>
    <mergeCell ref="E37:O37"/>
    <mergeCell ref="E38:N38"/>
  </mergeCells>
  <pageMargins left="0.7874015748031497" right="0.1968503937007874" top="0.984251968503937" bottom="0.984251968503937" header="0" footer="0"/>
  <pageSetup paperSize="9" orientation="portrait" horizontalDpi="4294967295" verticalDpi="4294967295" scale="91"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D9F0"/>
  </sheetPr>
  <dimension ref="A1:V139"/>
  <sheetViews>
    <sheetView workbookViewId="0" zoomScale="80" zoomScaleNormal="80" view="pageBreakPreview">
      <selection activeCell="D1" sqref="D1"/>
    </sheetView>
  </sheetViews>
  <sheetFormatPr defaultRowHeight="15" outlineLevelRow="0" outlineLevelCol="0" x14ac:dyDescent="0"/>
  <cols>
    <col min="1" max="23" width="4.7109375" customWidth="1"/>
  </cols>
  <sheetData>
    <row r="1" ht="15" customHeight="1" spans="2:22" x14ac:dyDescent="0.25">
      <c r="B1" s="137"/>
      <c r="C1" s="137"/>
      <c r="D1" s="137"/>
      <c r="E1" s="137"/>
      <c r="F1" s="137"/>
      <c r="G1" s="137"/>
      <c r="H1" s="137"/>
      <c r="I1" s="137"/>
      <c r="J1" s="137"/>
      <c r="K1" s="137"/>
      <c r="L1" s="137"/>
      <c r="M1" s="137"/>
      <c r="N1" s="137"/>
      <c r="O1" s="137"/>
      <c r="P1" s="137"/>
      <c r="Q1" s="137"/>
      <c r="R1" s="137"/>
      <c r="S1" s="137"/>
      <c r="T1" s="137"/>
      <c r="U1" s="137"/>
      <c r="V1" s="137"/>
    </row>
    <row r="2" ht="23.25" customHeight="1" spans="2:22" x14ac:dyDescent="0.25">
      <c r="B2" s="170" t="s">
        <v>206</v>
      </c>
      <c r="C2" s="166">
        <f>初期入力!B44</f>
        <v>103824</v>
      </c>
      <c r="D2" s="166"/>
      <c r="E2" s="137"/>
      <c r="F2" s="137"/>
      <c r="G2" s="137"/>
      <c r="H2" s="137"/>
      <c r="I2" s="137"/>
      <c r="J2" s="137"/>
      <c r="K2" s="137"/>
      <c r="L2" s="137"/>
      <c r="M2" s="137"/>
      <c r="N2" s="137"/>
      <c r="O2" s="137"/>
      <c r="P2" s="137"/>
      <c r="Q2" s="137"/>
      <c r="R2" s="137"/>
      <c r="S2" s="137"/>
      <c r="T2" s="137"/>
      <c r="U2" s="137"/>
      <c r="V2" s="137"/>
    </row>
    <row r="3" ht="23.25" customHeight="1" spans="2:22" x14ac:dyDescent="0.25">
      <c r="B3" s="137"/>
      <c r="C3" s="137"/>
      <c r="D3" s="137"/>
      <c r="E3" s="171" t="s">
        <v>1974</v>
      </c>
      <c r="F3" s="137"/>
      <c r="G3" s="137"/>
      <c r="H3" s="137"/>
      <c r="I3" s="137"/>
      <c r="J3" s="137"/>
      <c r="K3" s="137"/>
      <c r="L3" s="137"/>
      <c r="M3" s="137"/>
      <c r="N3" s="137"/>
      <c r="O3" s="137"/>
      <c r="P3" s="137"/>
      <c r="Q3" s="137"/>
      <c r="R3" s="137"/>
      <c r="S3" s="137"/>
      <c r="T3" s="137"/>
      <c r="U3" s="137"/>
      <c r="V3" s="137"/>
    </row>
    <row r="4" ht="20.1" customHeight="1" spans="2:22" x14ac:dyDescent="0.25">
      <c r="B4" s="137"/>
      <c r="C4" s="137"/>
      <c r="D4" s="137"/>
      <c r="E4" s="137"/>
      <c r="F4" s="137"/>
      <c r="G4" s="137"/>
      <c r="H4" s="137"/>
      <c r="I4" s="137"/>
      <c r="J4" s="137"/>
      <c r="K4" s="137"/>
      <c r="L4" s="137"/>
      <c r="M4" s="137"/>
      <c r="N4" s="137"/>
      <c r="O4" s="137"/>
      <c r="P4" s="137"/>
      <c r="Q4" s="137"/>
      <c r="R4" s="137"/>
      <c r="S4" s="137"/>
      <c r="T4" s="137"/>
      <c r="U4" s="137"/>
      <c r="V4" s="137"/>
    </row>
    <row r="5" ht="20.1" customHeight="1" spans="2:22" x14ac:dyDescent="0.25">
      <c r="B5" s="137"/>
      <c r="C5" s="137"/>
      <c r="D5" s="137"/>
      <c r="E5" s="137"/>
      <c r="F5" s="137"/>
      <c r="G5" s="137"/>
      <c r="H5" s="137"/>
      <c r="I5" s="137"/>
      <c r="J5" s="137"/>
      <c r="K5" s="137"/>
      <c r="L5" s="137"/>
      <c r="M5" s="137"/>
      <c r="N5" s="137"/>
      <c r="O5" s="137"/>
      <c r="P5" s="137"/>
      <c r="Q5" s="137"/>
      <c r="R5" s="137"/>
      <c r="S5" s="137"/>
      <c r="T5" s="137"/>
      <c r="U5" s="137"/>
      <c r="V5" s="137"/>
    </row>
    <row r="6" ht="20.1" customHeight="1" spans="2:22" x14ac:dyDescent="0.25">
      <c r="B6" s="137"/>
      <c r="C6" s="137"/>
      <c r="D6" s="137"/>
      <c r="E6" s="137"/>
      <c r="F6" s="137"/>
      <c r="G6" s="137"/>
      <c r="H6" s="137"/>
      <c r="I6" s="137"/>
      <c r="J6" s="137"/>
      <c r="K6" s="137"/>
      <c r="L6" s="137"/>
      <c r="M6" s="137"/>
      <c r="N6" s="137"/>
      <c r="O6" s="137"/>
      <c r="P6" s="137"/>
      <c r="Q6" s="137"/>
      <c r="R6" s="137"/>
      <c r="S6" s="137"/>
      <c r="T6" s="137"/>
      <c r="U6" s="137"/>
      <c r="V6" s="137"/>
    </row>
    <row r="7" ht="23.25" customHeight="1" spans="2:22" x14ac:dyDescent="0.25">
      <c r="B7" s="137" t="s">
        <v>210</v>
      </c>
      <c r="C7" s="137"/>
      <c r="D7" s="221" t="s">
        <v>211</v>
      </c>
      <c r="E7" s="555">
        <f>初期入力!B4</f>
        <v>0</v>
      </c>
      <c r="F7" s="556"/>
      <c r="G7" s="556"/>
      <c r="H7" s="556"/>
      <c r="I7" s="555">
        <f>初期入力!B6</f>
        <v>0</v>
      </c>
      <c r="J7" s="556"/>
      <c r="K7" s="556"/>
      <c r="L7" s="556"/>
      <c r="M7" s="221"/>
      <c r="N7" s="137"/>
      <c r="O7" s="137"/>
      <c r="P7" s="137"/>
      <c r="Q7" s="137"/>
      <c r="R7" s="137"/>
      <c r="S7" s="165" t="s">
        <v>212</v>
      </c>
      <c r="T7" s="137"/>
      <c r="U7" s="137"/>
      <c r="V7" s="137"/>
    </row>
    <row r="8" ht="23.25" customHeight="1" spans="2:22" x14ac:dyDescent="0.25">
      <c r="B8" s="137"/>
      <c r="C8" s="137"/>
      <c r="D8" s="137"/>
      <c r="E8" s="137"/>
      <c r="F8" s="137"/>
      <c r="G8" s="137"/>
      <c r="H8" s="137"/>
      <c r="I8" s="137"/>
      <c r="J8" s="137"/>
      <c r="K8" s="137"/>
      <c r="L8" s="137"/>
      <c r="M8" s="137"/>
      <c r="N8" s="137"/>
      <c r="O8" s="137"/>
      <c r="P8" s="137"/>
      <c r="Q8" s="137"/>
      <c r="R8" s="137"/>
      <c r="S8" s="137"/>
      <c r="T8" s="137"/>
      <c r="U8" s="137"/>
      <c r="V8" s="137"/>
    </row>
    <row r="9" ht="23.25" customHeight="1" spans="2:22" x14ac:dyDescent="0.25">
      <c r="B9" s="137" t="s">
        <v>213</v>
      </c>
      <c r="C9" s="137"/>
      <c r="D9" s="137"/>
      <c r="E9" s="557" t="s">
        <v>208</v>
      </c>
      <c r="F9" s="221"/>
      <c r="G9" s="221"/>
      <c r="H9" s="221"/>
      <c r="I9" s="221"/>
      <c r="J9" s="221"/>
      <c r="K9" s="221"/>
      <c r="L9" s="221"/>
      <c r="M9" s="221"/>
      <c r="N9" s="137"/>
      <c r="O9" s="137"/>
      <c r="P9" s="137"/>
      <c r="Q9" s="137"/>
      <c r="R9" s="137"/>
      <c r="S9" s="165" t="s">
        <v>214</v>
      </c>
      <c r="T9" s="137"/>
      <c r="U9" s="137"/>
      <c r="V9" s="137"/>
    </row>
    <row r="10" ht="23.25" customHeight="1" spans="2:22" x14ac:dyDescent="0.25">
      <c r="B10" s="137"/>
      <c r="C10" s="137"/>
      <c r="D10" s="137"/>
      <c r="E10" s="137"/>
      <c r="F10" s="137"/>
      <c r="G10" s="137"/>
      <c r="H10" s="137"/>
      <c r="I10" s="137"/>
      <c r="J10" s="137"/>
      <c r="K10" s="137"/>
      <c r="L10" s="137"/>
      <c r="M10" s="137"/>
      <c r="N10" s="137"/>
      <c r="O10" s="137"/>
      <c r="P10" s="137"/>
      <c r="Q10" s="137"/>
      <c r="R10" s="137"/>
      <c r="S10" s="137"/>
      <c r="T10" s="137"/>
      <c r="U10" s="137"/>
      <c r="V10" s="137"/>
    </row>
    <row r="11" ht="23.25" customHeight="1" spans="2:22" x14ac:dyDescent="0.25">
      <c r="B11" s="137"/>
      <c r="C11" s="137"/>
      <c r="D11" s="137"/>
      <c r="E11" s="556" t="str">
        <f>初期入力!B3</f>
        <v>大阪市旭区新森　池田様邸新築工事						</v>
      </c>
      <c r="F11" s="556"/>
      <c r="G11" s="556"/>
      <c r="H11" s="556"/>
      <c r="I11" s="556"/>
      <c r="J11" s="556"/>
      <c r="K11" s="556"/>
      <c r="L11" s="556"/>
      <c r="M11" s="556"/>
      <c r="N11" s="166"/>
      <c r="O11" s="137"/>
      <c r="P11" s="137"/>
      <c r="Q11" s="137"/>
      <c r="R11" s="137"/>
      <c r="S11" s="137"/>
      <c r="T11" s="137"/>
      <c r="U11" s="137"/>
      <c r="V11" s="137"/>
    </row>
    <row r="12" ht="23.25" customHeight="1" spans="2:22" x14ac:dyDescent="0.25">
      <c r="B12" s="137"/>
      <c r="C12" s="137"/>
      <c r="D12" s="137"/>
      <c r="E12" s="137"/>
      <c r="F12" s="137"/>
      <c r="G12" s="137"/>
      <c r="H12" s="137"/>
      <c r="I12" s="137"/>
      <c r="J12" s="137"/>
      <c r="K12" s="137"/>
      <c r="L12" s="137"/>
      <c r="M12" s="137"/>
      <c r="N12" s="137"/>
      <c r="O12" s="137"/>
      <c r="P12" s="137"/>
      <c r="Q12" s="137"/>
      <c r="R12" s="137"/>
      <c r="S12" s="137"/>
      <c r="T12" s="137"/>
      <c r="U12" s="137"/>
      <c r="V12" s="137"/>
    </row>
    <row r="13" ht="23.25" customHeight="1" spans="2:22" x14ac:dyDescent="0.25">
      <c r="B13" s="137" t="s">
        <v>1975</v>
      </c>
      <c r="C13" s="137"/>
      <c r="D13" s="137"/>
      <c r="E13" s="137"/>
      <c r="F13" s="137"/>
      <c r="G13" s="137"/>
      <c r="H13" s="137"/>
      <c r="I13" s="137"/>
      <c r="J13" s="137"/>
      <c r="K13" s="137"/>
      <c r="L13" s="137"/>
      <c r="M13" s="137"/>
      <c r="N13" s="137"/>
      <c r="O13" s="137"/>
      <c r="P13" s="137"/>
      <c r="Q13" s="137"/>
      <c r="R13" s="137"/>
      <c r="S13" s="137"/>
      <c r="T13" s="137"/>
      <c r="U13" s="137"/>
      <c r="V13" s="137"/>
    </row>
    <row r="14" ht="23.25" customHeight="1" spans="2:22" x14ac:dyDescent="0.25">
      <c r="B14" s="137" t="s">
        <v>1976</v>
      </c>
      <c r="C14" s="137"/>
      <c r="D14" s="137"/>
      <c r="E14" s="137"/>
      <c r="F14" s="137"/>
      <c r="G14" s="137"/>
      <c r="H14" s="137"/>
      <c r="I14" s="137"/>
      <c r="J14" s="137"/>
      <c r="K14" s="137"/>
      <c r="L14" s="137"/>
      <c r="M14" s="137"/>
      <c r="N14" s="137"/>
      <c r="O14" s="137"/>
      <c r="P14" s="137"/>
      <c r="Q14" s="137"/>
      <c r="R14" s="137"/>
      <c r="S14" s="137"/>
      <c r="T14" s="137"/>
      <c r="U14" s="137"/>
      <c r="V14" s="137"/>
    </row>
    <row r="15" ht="23.25" customHeight="1" spans="2:22" x14ac:dyDescent="0.25">
      <c r="B15" s="137" t="s">
        <v>1158</v>
      </c>
      <c r="C15" s="137"/>
      <c r="D15" s="137"/>
      <c r="E15" s="137"/>
      <c r="F15" s="137"/>
      <c r="G15" s="137"/>
      <c r="H15" s="137"/>
      <c r="I15" s="137"/>
      <c r="J15" s="137"/>
      <c r="K15" s="137"/>
      <c r="L15" s="137"/>
      <c r="M15" s="137"/>
      <c r="N15" s="137"/>
      <c r="O15" s="137"/>
      <c r="P15" s="137"/>
      <c r="Q15" s="137"/>
      <c r="R15" s="137"/>
      <c r="S15" s="137"/>
      <c r="T15" s="137"/>
      <c r="U15" s="137"/>
      <c r="V15" s="137"/>
    </row>
    <row r="16" ht="23.25" customHeight="1" spans="2:22" x14ac:dyDescent="0.25">
      <c r="B16" s="137"/>
      <c r="C16" s="137"/>
      <c r="D16" s="137"/>
      <c r="E16" s="137"/>
      <c r="F16" s="137"/>
      <c r="G16" s="137"/>
      <c r="H16" s="137"/>
      <c r="I16" s="137"/>
      <c r="J16" s="137"/>
      <c r="K16" s="137"/>
      <c r="L16" s="137"/>
      <c r="M16" s="137"/>
      <c r="N16" s="137"/>
      <c r="O16" s="137"/>
      <c r="P16" s="137"/>
      <c r="Q16" s="137"/>
      <c r="R16" s="137"/>
      <c r="S16" s="137"/>
      <c r="T16" s="137"/>
      <c r="U16" s="137"/>
      <c r="V16" s="137"/>
    </row>
    <row r="17" ht="23.25" customHeight="1" spans="2:22" x14ac:dyDescent="0.25">
      <c r="B17" s="137"/>
      <c r="C17" s="137"/>
      <c r="D17" s="137"/>
      <c r="E17" s="137" t="s">
        <v>1977</v>
      </c>
      <c r="F17" s="137"/>
      <c r="G17" s="137"/>
      <c r="H17" s="137"/>
      <c r="I17" s="137" t="s">
        <v>1978</v>
      </c>
      <c r="J17" s="137"/>
      <c r="K17" s="137"/>
      <c r="L17" s="137"/>
      <c r="M17" s="137"/>
      <c r="N17" s="137"/>
      <c r="O17" s="137"/>
      <c r="P17" s="137"/>
      <c r="Q17" s="137"/>
      <c r="R17" s="137"/>
      <c r="S17" s="137"/>
      <c r="T17" s="137"/>
      <c r="U17" s="137"/>
      <c r="V17" s="137"/>
    </row>
    <row r="18" ht="23.25" customHeight="1" spans="2:22" x14ac:dyDescent="0.25">
      <c r="B18" s="137"/>
      <c r="C18" s="137"/>
      <c r="D18" s="137"/>
      <c r="E18" s="137" t="s">
        <v>1979</v>
      </c>
      <c r="F18" s="137"/>
      <c r="G18" s="137"/>
      <c r="H18" s="137"/>
      <c r="I18" s="137" t="s">
        <v>1978</v>
      </c>
      <c r="J18" s="137"/>
      <c r="K18" s="137"/>
      <c r="L18" s="137"/>
      <c r="M18" s="137"/>
      <c r="N18" s="137"/>
      <c r="O18" s="137"/>
      <c r="P18" s="137"/>
      <c r="Q18" s="137"/>
      <c r="R18" s="137"/>
      <c r="S18" s="137"/>
      <c r="T18" s="137"/>
      <c r="U18" s="137"/>
      <c r="V18" s="137"/>
    </row>
    <row r="19" ht="23.25" customHeight="1" spans="2:22" x14ac:dyDescent="0.25">
      <c r="B19" s="137"/>
      <c r="C19" s="137"/>
      <c r="D19" s="137"/>
      <c r="E19" s="137" t="s">
        <v>1980</v>
      </c>
      <c r="F19" s="137"/>
      <c r="G19" s="137"/>
      <c r="H19" s="137"/>
      <c r="I19" s="137" t="s">
        <v>1981</v>
      </c>
      <c r="J19" s="137"/>
      <c r="K19" s="137"/>
      <c r="L19" s="137"/>
      <c r="M19" s="137"/>
      <c r="N19" s="137"/>
      <c r="O19" s="137"/>
      <c r="P19" s="137"/>
      <c r="Q19" s="137"/>
      <c r="R19" s="137"/>
      <c r="S19" s="137"/>
      <c r="T19" s="137"/>
      <c r="U19" s="137"/>
      <c r="V19" s="137"/>
    </row>
    <row r="20" ht="23.25" customHeight="1" spans="2:22" x14ac:dyDescent="0.25">
      <c r="B20" s="137"/>
      <c r="C20" s="137"/>
      <c r="D20" s="137"/>
      <c r="E20" s="137" t="s">
        <v>1588</v>
      </c>
      <c r="F20" s="137"/>
      <c r="G20" s="137"/>
      <c r="H20" s="137"/>
      <c r="I20" s="137" t="s">
        <v>1982</v>
      </c>
      <c r="J20" s="137"/>
      <c r="K20" s="137"/>
      <c r="L20" s="137"/>
      <c r="M20" s="137"/>
      <c r="N20" s="137"/>
      <c r="O20" s="137"/>
      <c r="P20" s="137"/>
      <c r="Q20" s="137"/>
      <c r="R20" s="137"/>
      <c r="S20" s="137"/>
      <c r="T20" s="137"/>
      <c r="U20" s="137"/>
      <c r="V20" s="137"/>
    </row>
    <row r="21" ht="23.25" customHeight="1" spans="2:22" x14ac:dyDescent="0.25">
      <c r="B21" s="137"/>
      <c r="C21" s="137"/>
      <c r="D21" s="137"/>
      <c r="E21" s="137"/>
      <c r="F21" s="137"/>
      <c r="G21" s="137"/>
      <c r="H21" s="137"/>
      <c r="I21" s="137"/>
      <c r="J21" s="137"/>
      <c r="K21" s="137"/>
      <c r="L21" s="137"/>
      <c r="M21" s="137"/>
      <c r="N21" s="137"/>
      <c r="O21" s="137"/>
      <c r="P21" s="137"/>
      <c r="Q21" s="137"/>
      <c r="R21" s="137"/>
      <c r="S21" s="170"/>
      <c r="T21" s="170"/>
      <c r="U21" s="137"/>
      <c r="V21" s="137"/>
    </row>
    <row r="22" ht="23.25" customHeight="1" spans="2:22" x14ac:dyDescent="0.25">
      <c r="B22" s="137"/>
      <c r="C22" s="137"/>
      <c r="D22" s="137"/>
      <c r="E22" s="137"/>
      <c r="F22" s="137"/>
      <c r="G22" s="137"/>
      <c r="H22" s="137"/>
      <c r="I22" s="137"/>
      <c r="J22" s="170"/>
      <c r="K22" s="170"/>
      <c r="L22" s="137" t="s">
        <v>33</v>
      </c>
      <c r="M22" s="480"/>
      <c r="N22" s="480"/>
      <c r="O22" s="137" t="s">
        <v>34</v>
      </c>
      <c r="P22" s="480"/>
      <c r="Q22" s="480"/>
      <c r="R22" s="137" t="s">
        <v>35</v>
      </c>
      <c r="T22" s="137"/>
      <c r="U22" s="137"/>
      <c r="V22" s="137"/>
    </row>
    <row r="23" ht="23.25" customHeight="1" spans="2:22" x14ac:dyDescent="0.25">
      <c r="B23" s="137"/>
      <c r="C23" s="137"/>
      <c r="D23" s="137"/>
      <c r="E23" s="137"/>
      <c r="F23" s="137"/>
      <c r="G23" s="137"/>
      <c r="H23" s="137"/>
      <c r="I23" s="137"/>
      <c r="J23" s="137"/>
      <c r="K23" s="137"/>
      <c r="L23" s="137"/>
      <c r="M23" s="137"/>
      <c r="N23" s="137"/>
      <c r="O23" s="137"/>
      <c r="P23" s="137"/>
      <c r="Q23" s="137"/>
      <c r="R23" s="137"/>
      <c r="S23" s="137"/>
      <c r="T23" s="137"/>
      <c r="U23" s="137"/>
      <c r="V23" s="137"/>
    </row>
    <row r="24" ht="23.25" customHeight="1" spans="2:22" x14ac:dyDescent="0.25">
      <c r="B24" s="137" t="s">
        <v>1159</v>
      </c>
      <c r="C24" s="137"/>
      <c r="D24" s="1208"/>
      <c r="E24" s="1209">
        <f>初期入力!B5</f>
        <v>0</v>
      </c>
      <c r="F24" s="1209"/>
      <c r="G24" s="1209"/>
      <c r="H24" s="1209"/>
      <c r="I24" s="1209"/>
      <c r="J24" s="1209"/>
      <c r="K24" s="1209"/>
      <c r="L24" s="1209"/>
      <c r="M24" s="1209"/>
      <c r="N24" s="1209"/>
      <c r="O24" s="1209"/>
      <c r="P24" s="1209"/>
      <c r="Q24" s="1209"/>
      <c r="R24" s="177"/>
      <c r="S24" s="137"/>
      <c r="T24" s="137"/>
      <c r="U24" s="137"/>
      <c r="V24" s="137"/>
    </row>
    <row r="25" ht="30" customHeight="1" spans="2:22" x14ac:dyDescent="0.25">
      <c r="B25" s="137"/>
      <c r="C25" s="137"/>
      <c r="D25" s="137"/>
      <c r="E25" s="137"/>
      <c r="F25" s="137"/>
      <c r="G25" s="137"/>
      <c r="H25" s="137"/>
      <c r="I25" s="137"/>
      <c r="J25" s="137"/>
      <c r="K25" s="137"/>
      <c r="L25" s="137"/>
      <c r="M25" s="137"/>
      <c r="N25" s="137"/>
      <c r="O25" s="137"/>
      <c r="P25" s="137"/>
      <c r="Q25" s="137"/>
      <c r="R25" s="137"/>
      <c r="S25" s="137"/>
      <c r="T25" s="137"/>
      <c r="U25" s="137"/>
      <c r="V25" s="137"/>
    </row>
    <row r="26" ht="30" customHeight="1" spans="2:22" x14ac:dyDescent="0.25">
      <c r="B26" s="137" t="s">
        <v>1160</v>
      </c>
      <c r="C26" s="137"/>
      <c r="D26" s="1208"/>
      <c r="E26" s="1210">
        <f>初期入力!B4</f>
        <v>0</v>
      </c>
      <c r="F26" s="1210"/>
      <c r="G26" s="1210"/>
      <c r="H26" s="1210"/>
      <c r="I26" s="1210"/>
      <c r="J26" s="1210"/>
      <c r="K26" s="1210"/>
      <c r="L26" s="1210"/>
      <c r="M26" s="1210"/>
      <c r="N26" s="1210"/>
      <c r="O26" s="1210"/>
      <c r="P26" s="1210"/>
      <c r="Q26" s="1208"/>
      <c r="R26" s="185"/>
      <c r="S26" s="137"/>
      <c r="T26" s="170"/>
      <c r="U26" s="137"/>
      <c r="V26" s="137"/>
    </row>
    <row r="27" ht="30" customHeight="1" spans="2:22" x14ac:dyDescent="0.25">
      <c r="B27" s="137"/>
      <c r="C27" s="137"/>
      <c r="D27" s="137"/>
      <c r="E27" s="137"/>
      <c r="F27" s="137"/>
      <c r="G27" s="137"/>
      <c r="H27" s="137"/>
      <c r="I27" s="137"/>
      <c r="J27" s="137"/>
      <c r="K27" s="137"/>
      <c r="L27" s="137"/>
      <c r="M27" s="137"/>
      <c r="N27" s="137"/>
      <c r="O27" s="137"/>
      <c r="P27" s="137"/>
      <c r="Q27" s="137"/>
      <c r="R27" s="185"/>
      <c r="S27" s="137"/>
      <c r="T27" s="137"/>
      <c r="U27" s="137"/>
      <c r="V27" s="137"/>
    </row>
    <row r="28" ht="30" customHeight="1" spans="2:22" x14ac:dyDescent="0.25">
      <c r="B28" s="137" t="s">
        <v>1161</v>
      </c>
      <c r="C28" s="137"/>
      <c r="D28" s="1208"/>
      <c r="E28" s="1209">
        <f>初期入力!B7</f>
        <v>0</v>
      </c>
      <c r="F28" s="1209"/>
      <c r="G28" s="1209"/>
      <c r="H28" s="1209"/>
      <c r="I28" s="1209"/>
      <c r="J28" s="1209"/>
      <c r="K28" s="1209"/>
      <c r="L28" s="1209"/>
      <c r="M28" s="1209"/>
      <c r="N28" s="1209"/>
      <c r="O28" s="1209"/>
      <c r="P28" s="1209"/>
      <c r="Q28" s="1209"/>
      <c r="R28" s="185"/>
      <c r="S28" s="137"/>
      <c r="T28" s="170"/>
      <c r="U28" s="137"/>
      <c r="V28" s="137"/>
    </row>
    <row r="29" ht="30" customHeight="1" spans="2:22" x14ac:dyDescent="0.25">
      <c r="B29" s="137"/>
      <c r="C29" s="137"/>
      <c r="D29" s="137"/>
      <c r="E29" s="137"/>
      <c r="F29" s="137"/>
      <c r="G29" s="137"/>
      <c r="H29" s="137"/>
      <c r="I29" s="137"/>
      <c r="J29" s="137"/>
      <c r="K29" s="137"/>
      <c r="L29" s="137"/>
      <c r="M29" s="137"/>
      <c r="N29" s="137"/>
      <c r="O29" s="137"/>
      <c r="P29" s="137"/>
      <c r="Q29" s="137"/>
      <c r="R29" s="185"/>
      <c r="S29" s="137"/>
      <c r="T29" s="170"/>
      <c r="U29" s="137"/>
      <c r="V29" s="137"/>
    </row>
    <row r="30" ht="23.25" customHeight="1" spans="2:22" x14ac:dyDescent="0.25">
      <c r="B30" s="137" t="s">
        <v>1162</v>
      </c>
      <c r="C30" s="137"/>
      <c r="D30" s="1208"/>
      <c r="E30" s="1210">
        <f>初期入力!B6</f>
        <v>0</v>
      </c>
      <c r="F30" s="1210"/>
      <c r="G30" s="1210"/>
      <c r="H30" s="1210"/>
      <c r="I30" s="1210"/>
      <c r="J30" s="1210"/>
      <c r="K30" s="1210"/>
      <c r="L30" s="1210"/>
      <c r="M30" s="1210"/>
      <c r="N30" s="1210"/>
      <c r="O30" s="1210"/>
      <c r="P30" s="1208"/>
      <c r="Q30" s="1208"/>
      <c r="R30" s="185"/>
      <c r="S30" s="137"/>
      <c r="T30" s="170"/>
      <c r="U30" s="137"/>
      <c r="V30" s="137"/>
    </row>
    <row r="31" ht="23.25" customHeight="1" spans="2:22" x14ac:dyDescent="0.25">
      <c r="B31" s="114"/>
      <c r="C31" s="137"/>
      <c r="D31" s="137"/>
      <c r="E31" s="137"/>
      <c r="F31" s="137"/>
      <c r="G31" s="137"/>
      <c r="H31" s="137"/>
      <c r="I31" s="137"/>
      <c r="J31" s="137"/>
      <c r="K31" s="137"/>
      <c r="L31" s="137"/>
      <c r="M31" s="137"/>
      <c r="N31" s="137"/>
      <c r="O31" s="137"/>
      <c r="P31" s="137"/>
      <c r="Q31" s="137"/>
      <c r="R31" s="185"/>
      <c r="S31" s="137"/>
      <c r="T31" s="170"/>
      <c r="U31" s="137"/>
      <c r="V31" s="137"/>
    </row>
    <row r="32" ht="23.25" customHeight="1" spans="2:22" x14ac:dyDescent="0.25">
      <c r="B32" s="137" t="s">
        <v>225</v>
      </c>
      <c r="C32" s="137"/>
      <c r="D32" s="1208"/>
      <c r="E32" s="1208" t="s">
        <v>119</v>
      </c>
      <c r="F32" s="1208"/>
      <c r="G32" s="1208"/>
      <c r="H32" s="1208"/>
      <c r="I32" s="1208"/>
      <c r="J32" s="1208"/>
      <c r="K32" s="1208"/>
      <c r="L32" s="1208"/>
      <c r="M32" s="1208"/>
      <c r="N32" s="1208"/>
      <c r="O32" s="1208"/>
      <c r="P32" s="1208"/>
      <c r="Q32" s="1208"/>
      <c r="R32" s="185"/>
      <c r="S32" s="137"/>
      <c r="T32" s="170"/>
      <c r="U32" s="137"/>
      <c r="V32" s="137"/>
    </row>
    <row r="33" ht="23.25" customHeight="1" spans="2:22" x14ac:dyDescent="0.25">
      <c r="B33" s="137"/>
      <c r="C33" s="137"/>
      <c r="D33" s="137"/>
      <c r="E33" s="137"/>
      <c r="F33" s="137"/>
      <c r="G33" s="137"/>
      <c r="H33" s="137"/>
      <c r="I33" s="137"/>
      <c r="J33" s="137"/>
      <c r="K33" s="137"/>
      <c r="L33" s="137"/>
      <c r="M33" s="137"/>
      <c r="N33" s="137"/>
      <c r="O33" s="137"/>
      <c r="P33" s="137"/>
      <c r="Q33" s="137"/>
      <c r="R33" s="185"/>
      <c r="S33" s="137"/>
      <c r="T33" s="170"/>
      <c r="U33" s="137"/>
      <c r="V33" s="137"/>
    </row>
    <row r="34" ht="23.25" customHeight="1" spans="2:22" x14ac:dyDescent="0.25">
      <c r="B34" s="137" t="s">
        <v>226</v>
      </c>
      <c r="C34" s="137"/>
      <c r="D34" s="1208"/>
      <c r="E34" s="1208" t="s">
        <v>208</v>
      </c>
      <c r="F34" s="1208"/>
      <c r="G34" s="1208"/>
      <c r="H34" s="1208"/>
      <c r="I34" s="1208"/>
      <c r="J34" s="1208" t="s">
        <v>227</v>
      </c>
      <c r="K34" s="1208"/>
      <c r="L34" s="1208"/>
      <c r="M34" s="1208"/>
      <c r="N34" s="1208"/>
      <c r="O34" s="1208"/>
      <c r="P34" s="1208"/>
      <c r="Q34" s="1208"/>
      <c r="R34" s="185"/>
      <c r="S34" s="137"/>
      <c r="T34" s="170"/>
      <c r="U34" s="137"/>
      <c r="V34" s="137"/>
    </row>
    <row r="35" ht="23.25" customHeight="1" spans="2:22" x14ac:dyDescent="0.25">
      <c r="B35" s="137"/>
      <c r="C35" s="137"/>
      <c r="D35" s="137"/>
      <c r="E35" s="137"/>
      <c r="F35" s="137"/>
      <c r="G35" s="137"/>
      <c r="H35" s="137"/>
      <c r="I35" s="137"/>
      <c r="J35" s="137"/>
      <c r="K35" s="137"/>
      <c r="L35" s="137"/>
      <c r="M35" s="137"/>
      <c r="N35" s="137"/>
      <c r="O35" s="137"/>
      <c r="P35" s="137"/>
      <c r="Q35" s="137"/>
      <c r="R35" s="137"/>
      <c r="S35" s="170"/>
      <c r="T35" s="170"/>
      <c r="U35" s="137"/>
      <c r="V35" s="137"/>
    </row>
    <row r="36" ht="23.25" customHeight="1" x14ac:dyDescent="0.25"/>
    <row r="37" ht="23.25" customHeight="1" x14ac:dyDescent="0.25"/>
    <row r="38" ht="23.25" customHeight="1" x14ac:dyDescent="0.25"/>
    <row r="39" ht="23.25" customHeight="1" x14ac:dyDescent="0.25"/>
    <row r="40" ht="23.25" customHeight="1" x14ac:dyDescent="0.25"/>
    <row r="41" ht="23.25" customHeight="1" x14ac:dyDescent="0.25"/>
    <row r="42" ht="23.25" customHeight="1" x14ac:dyDescent="0.25"/>
    <row r="43" ht="23.25" customHeight="1" x14ac:dyDescent="0.25"/>
    <row r="44" ht="23.25" customHeight="1" x14ac:dyDescent="0.25"/>
    <row r="45" ht="23.25" customHeight="1" x14ac:dyDescent="0.25"/>
    <row r="46" ht="23.25" customHeight="1" x14ac:dyDescent="0.25"/>
    <row r="47" ht="23.25" customHeight="1" x14ac:dyDescent="0.25"/>
    <row r="48" ht="23.25" customHeight="1" x14ac:dyDescent="0.25"/>
    <row r="49" ht="23.25" customHeight="1" x14ac:dyDescent="0.25"/>
    <row r="50" ht="23.25" customHeight="1" x14ac:dyDescent="0.25"/>
    <row r="51" ht="23.25" customHeight="1" x14ac:dyDescent="0.25"/>
    <row r="52" ht="23.25" customHeight="1" x14ac:dyDescent="0.25"/>
    <row r="53" ht="23.25" customHeight="1" x14ac:dyDescent="0.25"/>
    <row r="54" ht="23.25" customHeight="1" x14ac:dyDescent="0.25"/>
    <row r="55" ht="23.25" customHeight="1" x14ac:dyDescent="0.25"/>
    <row r="56" ht="23.25" customHeight="1" x14ac:dyDescent="0.25"/>
    <row r="57" ht="23.25" customHeight="1" x14ac:dyDescent="0.25"/>
    <row r="58" ht="23.25" customHeight="1" x14ac:dyDescent="0.25"/>
    <row r="59" ht="23.25" customHeight="1" x14ac:dyDescent="0.25"/>
    <row r="60" ht="23.25" customHeight="1" x14ac:dyDescent="0.25"/>
    <row r="61" ht="23.25" customHeight="1" x14ac:dyDescent="0.25"/>
    <row r="62" ht="23.25" customHeight="1" x14ac:dyDescent="0.25"/>
    <row r="63" ht="23.25" customHeight="1" x14ac:dyDescent="0.25"/>
    <row r="64" ht="23.25" customHeight="1" x14ac:dyDescent="0.25"/>
    <row r="65" ht="23.25" customHeight="1" x14ac:dyDescent="0.25"/>
    <row r="66" ht="23.25" customHeight="1" x14ac:dyDescent="0.25"/>
    <row r="67" ht="23.25" customHeight="1" x14ac:dyDescent="0.25"/>
    <row r="68" ht="23.25" customHeight="1" x14ac:dyDescent="0.25"/>
    <row r="69" ht="23.25" customHeight="1" x14ac:dyDescent="0.25"/>
    <row r="70" ht="23.25" customHeight="1" x14ac:dyDescent="0.25"/>
    <row r="71" ht="23.25" customHeight="1" x14ac:dyDescent="0.25"/>
    <row r="72" ht="23.25" customHeight="1" x14ac:dyDescent="0.25"/>
    <row r="73" ht="23.25" customHeight="1" x14ac:dyDescent="0.25"/>
    <row r="74" ht="23.25" customHeight="1" x14ac:dyDescent="0.25"/>
    <row r="75" ht="23.25" customHeight="1" x14ac:dyDescent="0.25"/>
    <row r="76" ht="23.25" customHeight="1" x14ac:dyDescent="0.25"/>
    <row r="77" ht="23.25" customHeight="1" x14ac:dyDescent="0.25"/>
    <row r="78" ht="23.25" customHeight="1" x14ac:dyDescent="0.25"/>
    <row r="79" ht="23.25" customHeight="1" x14ac:dyDescent="0.25"/>
    <row r="80" ht="23.25" customHeight="1" x14ac:dyDescent="0.25"/>
    <row r="81" ht="23.25" customHeight="1" x14ac:dyDescent="0.25"/>
    <row r="82" ht="23.25" customHeight="1" x14ac:dyDescent="0.25"/>
    <row r="83" ht="23.25" customHeight="1" x14ac:dyDescent="0.25"/>
    <row r="84" ht="23.25" customHeight="1" x14ac:dyDescent="0.25"/>
    <row r="85" ht="23.25" customHeight="1" x14ac:dyDescent="0.25"/>
    <row r="86" ht="23.25" customHeight="1" x14ac:dyDescent="0.25"/>
    <row r="87" ht="23.25" customHeight="1" x14ac:dyDescent="0.25"/>
    <row r="88" ht="23.25" customHeight="1" x14ac:dyDescent="0.25"/>
    <row r="89" ht="23.25" customHeight="1" x14ac:dyDescent="0.25"/>
    <row r="90" ht="23.25" customHeight="1" x14ac:dyDescent="0.25"/>
    <row r="91" ht="23.25" customHeight="1" x14ac:dyDescent="0.25"/>
    <row r="92" ht="23.25" customHeight="1" x14ac:dyDescent="0.25"/>
    <row r="93" ht="23.25" customHeight="1" x14ac:dyDescent="0.25"/>
    <row r="94" ht="23.25" customHeight="1" x14ac:dyDescent="0.25"/>
    <row r="95" ht="23.25" customHeight="1" x14ac:dyDescent="0.25"/>
    <row r="96" ht="23.25" customHeight="1" x14ac:dyDescent="0.25"/>
    <row r="97" ht="23.25" customHeight="1" x14ac:dyDescent="0.25"/>
    <row r="98" ht="23.25" customHeight="1" x14ac:dyDescent="0.25"/>
    <row r="99" ht="23.25" customHeight="1" x14ac:dyDescent="0.25"/>
    <row r="100" ht="23.25" customHeight="1" x14ac:dyDescent="0.25"/>
    <row r="101" ht="23.25" customHeight="1" x14ac:dyDescent="0.25"/>
    <row r="102" ht="23.25" customHeight="1" x14ac:dyDescent="0.25"/>
    <row r="103" ht="23.25" customHeight="1" x14ac:dyDescent="0.25"/>
    <row r="104" ht="23.25" customHeight="1" x14ac:dyDescent="0.25"/>
    <row r="105" ht="23.25" customHeight="1" x14ac:dyDescent="0.25"/>
    <row r="106" ht="23.25" customHeight="1" x14ac:dyDescent="0.25"/>
    <row r="107" ht="23.25" customHeight="1" x14ac:dyDescent="0.25"/>
    <row r="108" ht="23.25" customHeight="1" x14ac:dyDescent="0.25"/>
    <row r="109" ht="23.25" customHeight="1" x14ac:dyDescent="0.25"/>
    <row r="110" ht="23.25" customHeight="1" x14ac:dyDescent="0.25"/>
    <row r="111" ht="23.25" customHeight="1" x14ac:dyDescent="0.25"/>
    <row r="112" ht="23.25" customHeight="1" x14ac:dyDescent="0.25"/>
    <row r="113" ht="23.25" customHeight="1" x14ac:dyDescent="0.25"/>
    <row r="114" ht="23.25" customHeight="1" x14ac:dyDescent="0.25"/>
    <row r="115" ht="23.25" customHeight="1" x14ac:dyDescent="0.25"/>
    <row r="116" ht="23.25" customHeight="1" x14ac:dyDescent="0.25"/>
    <row r="117" ht="23.25" customHeight="1" x14ac:dyDescent="0.25"/>
    <row r="118" ht="23.25" customHeight="1" x14ac:dyDescent="0.25"/>
    <row r="119" ht="23.25" customHeight="1" x14ac:dyDescent="0.25"/>
    <row r="120" ht="23.25" customHeight="1" x14ac:dyDescent="0.25"/>
    <row r="121" ht="23.25" customHeight="1" x14ac:dyDescent="0.25"/>
    <row r="122" ht="23.25" customHeight="1" x14ac:dyDescent="0.25"/>
    <row r="123" ht="23.25" customHeight="1" x14ac:dyDescent="0.25"/>
    <row r="124" ht="23.25" customHeight="1" x14ac:dyDescent="0.25"/>
    <row r="125" ht="23.25" customHeight="1" x14ac:dyDescent="0.25"/>
    <row r="126" ht="23.25" customHeight="1" x14ac:dyDescent="0.25"/>
    <row r="127" ht="23.25" customHeight="1" x14ac:dyDescent="0.25"/>
    <row r="128" ht="23.25" customHeight="1" x14ac:dyDescent="0.25"/>
    <row r="129" ht="23.25" customHeight="1" x14ac:dyDescent="0.25"/>
    <row r="130" ht="23.25" customHeight="1" x14ac:dyDescent="0.25"/>
    <row r="131" ht="23.25" customHeight="1" x14ac:dyDescent="0.25"/>
    <row r="132" ht="23.25" customHeight="1" x14ac:dyDescent="0.25"/>
    <row r="133" ht="23.25" customHeight="1" x14ac:dyDescent="0.25"/>
    <row r="134" ht="23.25" customHeight="1" x14ac:dyDescent="0.25"/>
    <row r="135" ht="23.25" customHeight="1" x14ac:dyDescent="0.25"/>
    <row r="136" ht="23.25" customHeight="1" x14ac:dyDescent="0.25"/>
    <row r="137" ht="23.25" customHeight="1" x14ac:dyDescent="0.25"/>
    <row r="138" ht="23.25" customHeight="1" x14ac:dyDescent="0.25"/>
    <row r="139" ht="23.25" customHeight="1" x14ac:dyDescent="0.25"/>
  </sheetData>
  <mergeCells count="13">
    <mergeCell ref="C2:D2"/>
    <mergeCell ref="E3:O3"/>
    <mergeCell ref="E7:H7"/>
    <mergeCell ref="I7:L7"/>
    <mergeCell ref="E9:L9"/>
    <mergeCell ref="E11:M11"/>
    <mergeCell ref="J22:K22"/>
    <mergeCell ref="M22:N22"/>
    <mergeCell ref="P22:Q22"/>
    <mergeCell ref="E24:Q24"/>
    <mergeCell ref="E26:O26"/>
    <mergeCell ref="E28:Q28"/>
    <mergeCell ref="E30:O30"/>
  </mergeCells>
  <pageMargins left="0.9055118110236221" right="0.7086614173228347" top="0.7480314960629921" bottom="0.7480314960629921" header="0.31496062992125984" footer="0.31496062992125984"/>
  <pageSetup paperSize="9" orientation="portrait" horizontalDpi="4294967295" verticalDpi="4294967295" scale="90" fitToWidth="1" fitToHeight="1" firstPageNumber="1" useFirstPageNumber="1" copies="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zoomScale="70" zoomScaleNormal="70">
      <selection activeCell="F12" sqref="F12"/>
    </sheetView>
  </sheetViews>
  <sheetFormatPr defaultRowHeight="53.25" outlineLevelRow="0" outlineLevelCol="0" x14ac:dyDescent="0" defaultColWidth="4.28515625" customHeight="1"/>
  <cols>
    <col min="1" max="1" width="4.28515625" style="840" customWidth="1"/>
    <col min="2" max="3" width="4.28515625" style="902" customWidth="1"/>
    <col min="4" max="4" width="19.5703125" style="902" customWidth="1"/>
    <col min="5" max="5" width="80.7109375" style="840" customWidth="1"/>
    <col min="6" max="6" width="66.28515625" style="840" customWidth="1"/>
    <col min="7" max="8" width="4.28515625" style="840" customWidth="1"/>
    <col min="9" max="9" width="28.7109375" style="840" customWidth="1"/>
    <col min="10" max="16384" width="4.28515625" style="840" customWidth="1"/>
  </cols>
  <sheetData>
    <row r="1" ht="53.25" customHeight="1" spans="1:9" s="903" customFormat="1" x14ac:dyDescent="0.25">
      <c r="A1" s="904" t="s">
        <v>1729</v>
      </c>
      <c r="C1" s="905"/>
      <c r="D1" s="905"/>
      <c r="E1" s="905"/>
      <c r="I1" s="830" t="s">
        <v>1661</v>
      </c>
    </row>
    <row r="2" ht="53.25" customHeight="1" spans="1:9" s="902" customFormat="1" x14ac:dyDescent="0.25">
      <c r="A2" s="840"/>
      <c r="B2" s="906"/>
      <c r="C2" s="986"/>
      <c r="D2" s="908" t="s">
        <v>1597</v>
      </c>
      <c r="E2" s="909" t="s">
        <v>1636</v>
      </c>
      <c r="F2" s="908" t="s">
        <v>948</v>
      </c>
      <c r="G2" s="840"/>
      <c r="H2" s="840"/>
      <c r="I2" s="840" t="s">
        <v>1844</v>
      </c>
    </row>
    <row r="3" ht="53.25" customHeight="1" spans="1:9" s="903" customFormat="1" x14ac:dyDescent="0.25">
      <c r="A3" s="840"/>
      <c r="B3" s="910" t="s">
        <v>1637</v>
      </c>
      <c r="C3" s="987">
        <v>1</v>
      </c>
      <c r="D3" s="988" t="s">
        <v>1730</v>
      </c>
      <c r="E3" s="913" t="s">
        <v>1845</v>
      </c>
      <c r="F3" s="914" t="s">
        <v>1846</v>
      </c>
      <c r="I3" s="830"/>
    </row>
    <row r="4" ht="53.25" customHeight="1" spans="1:9" s="902" customFormat="1" x14ac:dyDescent="0.25">
      <c r="A4" s="840"/>
      <c r="B4" s="915" t="s">
        <v>1637</v>
      </c>
      <c r="C4" s="989">
        <v>2</v>
      </c>
      <c r="D4" s="988" t="s">
        <v>1736</v>
      </c>
      <c r="E4" s="917" t="s">
        <v>1737</v>
      </c>
      <c r="F4" s="918" t="s">
        <v>1735</v>
      </c>
      <c r="G4" s="840"/>
      <c r="H4" s="840"/>
      <c r="I4" s="840"/>
    </row>
    <row r="5" ht="80.25" customHeight="1" spans="2:6" x14ac:dyDescent="0.25">
      <c r="B5" s="915" t="s">
        <v>1637</v>
      </c>
      <c r="C5" s="989">
        <v>3</v>
      </c>
      <c r="D5" s="990" t="s">
        <v>1738</v>
      </c>
      <c r="E5" s="843" t="s">
        <v>1739</v>
      </c>
      <c r="F5" s="921" t="s">
        <v>1847</v>
      </c>
    </row>
    <row r="6" ht="53.25" customHeight="1" spans="2:6" x14ac:dyDescent="0.25">
      <c r="B6" s="915" t="s">
        <v>1637</v>
      </c>
      <c r="C6" s="989">
        <v>4</v>
      </c>
      <c r="D6" s="991" t="s">
        <v>1638</v>
      </c>
      <c r="E6" s="923" t="s">
        <v>1662</v>
      </c>
      <c r="F6" s="923" t="s">
        <v>1663</v>
      </c>
    </row>
    <row r="7" ht="53.25" customHeight="1" spans="2:6" x14ac:dyDescent="0.25">
      <c r="B7" s="915" t="s">
        <v>1637</v>
      </c>
      <c r="C7" s="989">
        <v>5</v>
      </c>
      <c r="D7" s="889" t="s">
        <v>1639</v>
      </c>
      <c r="E7" s="925" t="s">
        <v>1741</v>
      </c>
      <c r="F7" s="921" t="s">
        <v>1709</v>
      </c>
    </row>
    <row r="8" ht="53.25" customHeight="1" spans="2:6" x14ac:dyDescent="0.25">
      <c r="B8" s="915" t="s">
        <v>1637</v>
      </c>
      <c r="C8" s="989">
        <v>6</v>
      </c>
      <c r="D8" s="927" t="s">
        <v>1640</v>
      </c>
      <c r="E8" s="925" t="s">
        <v>1669</v>
      </c>
      <c r="F8" s="921" t="s">
        <v>1670</v>
      </c>
    </row>
    <row r="9" ht="53.25" customHeight="1" spans="2:6" x14ac:dyDescent="0.25">
      <c r="B9" s="915" t="s">
        <v>1637</v>
      </c>
      <c r="C9" s="989">
        <v>7</v>
      </c>
      <c r="D9" s="927" t="s">
        <v>1641</v>
      </c>
      <c r="E9" s="925" t="s">
        <v>1675</v>
      </c>
      <c r="F9" s="921" t="s">
        <v>1735</v>
      </c>
    </row>
    <row r="10" ht="53.25" customHeight="1" spans="2:6" x14ac:dyDescent="0.25">
      <c r="B10" s="915" t="s">
        <v>1637</v>
      </c>
      <c r="C10" s="989">
        <v>8</v>
      </c>
      <c r="D10" s="927" t="s">
        <v>1642</v>
      </c>
      <c r="E10" s="925" t="s">
        <v>1714</v>
      </c>
      <c r="F10" s="921" t="s">
        <v>1677</v>
      </c>
    </row>
    <row r="11" ht="53.25" customHeight="1" spans="2:6" x14ac:dyDescent="0.25">
      <c r="B11" s="915" t="s">
        <v>1637</v>
      </c>
      <c r="C11" s="989">
        <v>9</v>
      </c>
      <c r="D11" s="927" t="s">
        <v>1643</v>
      </c>
      <c r="E11" s="925" t="s">
        <v>1742</v>
      </c>
      <c r="F11" s="921" t="s">
        <v>1735</v>
      </c>
    </row>
    <row r="12" ht="53.25" customHeight="1" spans="2:6" x14ac:dyDescent="0.25">
      <c r="B12" s="915" t="s">
        <v>1637</v>
      </c>
      <c r="C12" s="989">
        <v>10</v>
      </c>
      <c r="D12" s="889" t="s">
        <v>1644</v>
      </c>
      <c r="E12" s="925" t="s">
        <v>1715</v>
      </c>
      <c r="F12" s="921" t="s">
        <v>1716</v>
      </c>
    </row>
    <row r="13" ht="53.25" customHeight="1" spans="2:6" x14ac:dyDescent="0.25">
      <c r="B13" s="915" t="s">
        <v>1637</v>
      </c>
      <c r="C13" s="989">
        <v>11</v>
      </c>
      <c r="D13" s="889" t="s">
        <v>772</v>
      </c>
      <c r="E13" s="925" t="s">
        <v>1848</v>
      </c>
      <c r="F13" s="921" t="s">
        <v>1849</v>
      </c>
    </row>
    <row r="14" ht="53.25" customHeight="1" spans="1:6" x14ac:dyDescent="0.25">
      <c r="A14" s="824"/>
      <c r="B14" s="841" t="s">
        <v>1637</v>
      </c>
      <c r="C14" s="989">
        <v>12</v>
      </c>
      <c r="D14" s="889" t="s">
        <v>1645</v>
      </c>
      <c r="E14" s="843" t="s">
        <v>1683</v>
      </c>
      <c r="F14" s="844"/>
    </row>
    <row r="15" ht="53.25" customHeight="1" spans="1:6" x14ac:dyDescent="0.25">
      <c r="A15" s="824"/>
      <c r="B15" s="841" t="s">
        <v>1637</v>
      </c>
      <c r="C15" s="989">
        <v>13</v>
      </c>
      <c r="D15" s="889" t="s">
        <v>1646</v>
      </c>
      <c r="E15" s="846" t="s">
        <v>1684</v>
      </c>
      <c r="F15" s="844" t="s">
        <v>1685</v>
      </c>
    </row>
    <row r="16" ht="30" customHeight="1" spans="1:6" s="824" customFormat="1" x14ac:dyDescent="0.25">
      <c r="A16" s="840"/>
      <c r="B16" s="915" t="s">
        <v>1637</v>
      </c>
      <c r="C16" s="989">
        <v>14</v>
      </c>
      <c r="D16" s="927" t="s">
        <v>1648</v>
      </c>
      <c r="E16" s="950" t="s">
        <v>1688</v>
      </c>
      <c r="F16" s="949" t="s">
        <v>1689</v>
      </c>
    </row>
    <row r="17" ht="32.25" customHeight="1" spans="1:6" s="824" customFormat="1" x14ac:dyDescent="0.25">
      <c r="A17" s="840"/>
      <c r="B17" s="915" t="s">
        <v>1637</v>
      </c>
      <c r="C17" s="989">
        <v>15</v>
      </c>
      <c r="D17" s="927" t="s">
        <v>1647</v>
      </c>
      <c r="E17" s="925" t="s">
        <v>1686</v>
      </c>
      <c r="F17" s="921" t="s">
        <v>1687</v>
      </c>
    </row>
    <row r="18" ht="53.25" customHeight="1" spans="2:6" x14ac:dyDescent="0.25">
      <c r="B18" s="915" t="s">
        <v>1637</v>
      </c>
      <c r="C18" s="989">
        <v>16</v>
      </c>
      <c r="D18" s="927" t="s">
        <v>1649</v>
      </c>
      <c r="E18" s="925" t="s">
        <v>1743</v>
      </c>
      <c r="F18" s="921" t="s">
        <v>1691</v>
      </c>
    </row>
    <row r="19" ht="53.25" customHeight="1" spans="2:6" x14ac:dyDescent="0.25">
      <c r="B19" s="915" t="s">
        <v>1637</v>
      </c>
      <c r="C19" s="989">
        <v>17</v>
      </c>
      <c r="D19" s="927" t="s">
        <v>1650</v>
      </c>
      <c r="E19" s="925" t="s">
        <v>1692</v>
      </c>
      <c r="F19" s="921" t="s">
        <v>1693</v>
      </c>
    </row>
    <row r="20" ht="53.25" customHeight="1" spans="2:6" x14ac:dyDescent="0.25">
      <c r="B20" s="915" t="s">
        <v>1637</v>
      </c>
      <c r="C20" s="989">
        <v>18</v>
      </c>
      <c r="D20" s="927" t="s">
        <v>1651</v>
      </c>
      <c r="E20" s="925" t="s">
        <v>1850</v>
      </c>
      <c r="F20" s="921" t="s">
        <v>1695</v>
      </c>
    </row>
    <row r="21" ht="53.25" customHeight="1" spans="2:6" x14ac:dyDescent="0.25">
      <c r="B21" s="915" t="s">
        <v>1637</v>
      </c>
      <c r="C21" s="989">
        <v>19</v>
      </c>
      <c r="D21" s="927" t="s">
        <v>1652</v>
      </c>
      <c r="E21" s="925" t="s">
        <v>1718</v>
      </c>
      <c r="F21" s="921" t="s">
        <v>1066</v>
      </c>
    </row>
    <row r="22" ht="77.25" customHeight="1" spans="2:6" x14ac:dyDescent="0.25">
      <c r="B22" s="915" t="s">
        <v>1637</v>
      </c>
      <c r="C22" s="989">
        <v>20</v>
      </c>
      <c r="D22" s="927" t="s">
        <v>1653</v>
      </c>
      <c r="E22" s="925" t="s">
        <v>1697</v>
      </c>
      <c r="F22" s="921" t="s">
        <v>1698</v>
      </c>
    </row>
    <row r="23" ht="53.25" customHeight="1" spans="2:6" x14ac:dyDescent="0.25">
      <c r="B23" s="915" t="s">
        <v>1637</v>
      </c>
      <c r="C23" s="989">
        <v>21</v>
      </c>
      <c r="D23" s="927" t="s">
        <v>1654</v>
      </c>
      <c r="E23" s="925" t="s">
        <v>1719</v>
      </c>
      <c r="F23" s="921" t="s">
        <v>1735</v>
      </c>
    </row>
    <row r="24" ht="53.25" customHeight="1" spans="2:6" x14ac:dyDescent="0.25">
      <c r="B24" s="915" t="s">
        <v>1637</v>
      </c>
      <c r="C24" s="989">
        <v>22</v>
      </c>
      <c r="D24" s="927" t="s">
        <v>1851</v>
      </c>
      <c r="E24" s="925" t="s">
        <v>1852</v>
      </c>
      <c r="F24" s="921" t="s">
        <v>1735</v>
      </c>
    </row>
    <row r="25" ht="53.25" customHeight="1" spans="2:6" x14ac:dyDescent="0.25">
      <c r="B25" s="915" t="s">
        <v>1637</v>
      </c>
      <c r="C25" s="989">
        <v>23</v>
      </c>
      <c r="D25" s="927" t="s">
        <v>1656</v>
      </c>
      <c r="E25" s="925" t="s">
        <v>1853</v>
      </c>
      <c r="F25" s="921" t="s">
        <v>1854</v>
      </c>
    </row>
    <row r="26" ht="53.25" customHeight="1" spans="2:6" x14ac:dyDescent="0.25">
      <c r="B26" s="931" t="s">
        <v>1637</v>
      </c>
      <c r="C26" s="989">
        <v>24</v>
      </c>
      <c r="D26" s="927" t="s">
        <v>1657</v>
      </c>
      <c r="E26" s="925" t="s">
        <v>1703</v>
      </c>
      <c r="F26" s="921" t="s">
        <v>1704</v>
      </c>
    </row>
    <row r="27" ht="53.25" customHeight="1" spans="2:6" x14ac:dyDescent="0.25">
      <c r="B27" s="931" t="s">
        <v>1637</v>
      </c>
      <c r="C27" s="989">
        <v>25</v>
      </c>
      <c r="D27" s="927" t="s">
        <v>1658</v>
      </c>
      <c r="E27" s="925" t="s">
        <v>1705</v>
      </c>
      <c r="F27" s="843" t="s">
        <v>1855</v>
      </c>
    </row>
    <row r="28" ht="53.25" customHeight="1" spans="2:6" x14ac:dyDescent="0.25">
      <c r="B28" s="932" t="s">
        <v>1637</v>
      </c>
      <c r="C28" s="992">
        <v>26</v>
      </c>
      <c r="D28" s="934" t="s">
        <v>1659</v>
      </c>
      <c r="E28" s="935" t="s">
        <v>1707</v>
      </c>
      <c r="F28" s="936" t="s">
        <v>1735</v>
      </c>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workbookViewId="0" zoomScale="80" zoomScaleNormal="100" view="pageBreakPreview">
      <selection activeCell="L45" sqref="L45"/>
    </sheetView>
  </sheetViews>
  <sheetFormatPr defaultRowHeight="12" outlineLevelRow="0" outlineLevelCol="0" x14ac:dyDescent="0" defaultColWidth="9.28515625" customHeight="1"/>
  <cols>
    <col min="1" max="9" width="6.42578125" style="70" customWidth="1"/>
    <col min="10" max="13" width="5.28515625" style="70" customWidth="1"/>
    <col min="14" max="14" width="15.28515625" style="70" customWidth="1"/>
    <col min="15" max="16384" width="9.28515625" style="70" customWidth="1"/>
  </cols>
  <sheetData>
    <row r="1" ht="22.15" customHeight="1" spans="4:11" x14ac:dyDescent="0.25">
      <c r="D1" s="978" t="s">
        <v>1814</v>
      </c>
      <c r="E1" s="978"/>
      <c r="F1" s="978"/>
      <c r="G1" s="978"/>
      <c r="H1" s="978"/>
      <c r="I1" s="978"/>
      <c r="J1" s="978"/>
      <c r="K1" s="978"/>
    </row>
    <row r="2" ht="22.15" customHeight="1" x14ac:dyDescent="0.25"/>
    <row r="3" ht="22.15" customHeight="1" spans="1:7" x14ac:dyDescent="0.25">
      <c r="A3" s="162">
        <f>初期入力!B4</f>
        <v>0</v>
      </c>
      <c r="B3" s="162"/>
      <c r="C3" s="162"/>
      <c r="D3" s="162">
        <f>IF(初期入力!B6="","",初期入力!B6)</f>
      </c>
      <c r="E3" s="162"/>
      <c r="F3" s="162"/>
      <c r="G3" s="70" t="s">
        <v>1815</v>
      </c>
    </row>
    <row r="4" ht="22.15" customHeight="1" spans="1:1" x14ac:dyDescent="0.25">
      <c r="A4" s="162" t="s">
        <v>1816</v>
      </c>
    </row>
    <row r="5" ht="22.15" customHeight="1" spans="1:1" x14ac:dyDescent="0.25">
      <c r="A5" s="70" t="s">
        <v>1817</v>
      </c>
    </row>
    <row r="6" ht="15" customHeight="1" x14ac:dyDescent="0.25"/>
    <row r="7" ht="22.15" customHeight="1" spans="1:1" x14ac:dyDescent="0.25">
      <c r="A7" s="70" t="s">
        <v>1818</v>
      </c>
    </row>
    <row r="8" ht="22.15" customHeight="1" spans="1:1" x14ac:dyDescent="0.25">
      <c r="A8" s="70" t="s">
        <v>1819</v>
      </c>
    </row>
    <row r="9" ht="22.15" customHeight="1" spans="1:1" x14ac:dyDescent="0.25">
      <c r="A9" s="70" t="s">
        <v>1820</v>
      </c>
    </row>
    <row r="10" ht="15" customHeight="1" x14ac:dyDescent="0.25"/>
    <row r="11" ht="22.15" customHeight="1" spans="1:15" x14ac:dyDescent="0.25">
      <c r="A11" s="70" t="s">
        <v>1821</v>
      </c>
      <c r="O11" s="70" t="s">
        <v>1822</v>
      </c>
    </row>
    <row r="12" ht="22.15" customHeight="1" spans="1:15" x14ac:dyDescent="0.25">
      <c r="A12" s="70" t="s">
        <v>1823</v>
      </c>
      <c r="O12" s="70" t="s">
        <v>1824</v>
      </c>
    </row>
    <row r="13" ht="22.15" customHeight="1" spans="1:15" x14ac:dyDescent="0.25">
      <c r="A13" s="70" t="s">
        <v>1825</v>
      </c>
      <c r="O13" s="70" t="s">
        <v>1735</v>
      </c>
    </row>
    <row r="14" ht="22.15" customHeight="1" spans="1:15" x14ac:dyDescent="0.25">
      <c r="A14" s="70" t="s">
        <v>1826</v>
      </c>
      <c r="O14" s="70" t="s">
        <v>1735</v>
      </c>
    </row>
    <row r="15" ht="15" customHeight="1" x14ac:dyDescent="0.25"/>
    <row r="16" ht="38.1" customHeight="1" spans="1:14" x14ac:dyDescent="0.25">
      <c r="A16" s="162" t="s">
        <v>1827</v>
      </c>
      <c r="C16" s="979"/>
      <c r="D16" s="979"/>
      <c r="E16" s="979"/>
      <c r="F16" s="979"/>
      <c r="G16" s="979"/>
      <c r="H16" s="70" t="s">
        <v>1828</v>
      </c>
      <c r="K16" s="979"/>
      <c r="L16" s="979"/>
      <c r="M16" s="979"/>
      <c r="N16" s="979"/>
    </row>
    <row r="17" ht="38.1" customHeight="1" spans="1:14" x14ac:dyDescent="0.25">
      <c r="A17" s="70" t="s">
        <v>1829</v>
      </c>
      <c r="C17" s="980"/>
      <c r="D17" s="980"/>
      <c r="E17" s="980"/>
      <c r="F17" s="980"/>
      <c r="G17" s="980"/>
      <c r="H17" s="70" t="s">
        <v>1830</v>
      </c>
      <c r="K17" s="980"/>
      <c r="L17" s="980"/>
      <c r="M17" s="980"/>
      <c r="N17" s="980"/>
    </row>
    <row r="18" ht="38.1" customHeight="1" spans="1:14" x14ac:dyDescent="0.25">
      <c r="A18" s="70" t="s">
        <v>1831</v>
      </c>
      <c r="C18" s="980"/>
      <c r="D18" s="980"/>
      <c r="E18" s="980"/>
      <c r="F18" s="980"/>
      <c r="G18" s="980"/>
      <c r="H18" s="162" t="s">
        <v>1832</v>
      </c>
      <c r="K18" s="980"/>
      <c r="L18" s="980"/>
      <c r="M18" s="980"/>
      <c r="N18" s="980"/>
    </row>
    <row r="19" ht="22.5" customHeight="1" x14ac:dyDescent="0.25"/>
    <row r="20" ht="22.15" customHeight="1" spans="1:1" x14ac:dyDescent="0.25">
      <c r="A20" s="70" t="s">
        <v>1833</v>
      </c>
    </row>
    <row r="21" ht="22.15" customHeight="1" spans="1:15" x14ac:dyDescent="0.25">
      <c r="A21" s="70" t="s">
        <v>1834</v>
      </c>
      <c r="O21" s="70" t="s">
        <v>1835</v>
      </c>
    </row>
    <row r="22" ht="22.15" customHeight="1" spans="1:15" x14ac:dyDescent="0.25">
      <c r="A22" s="70" t="s">
        <v>1836</v>
      </c>
      <c r="O22" s="70" t="s">
        <v>1837</v>
      </c>
    </row>
    <row r="23" ht="15" customHeight="1" spans="15:15" x14ac:dyDescent="0.25">
      <c r="O23" s="70" t="s">
        <v>1838</v>
      </c>
    </row>
    <row r="24" ht="22.15" customHeight="1" spans="1:7" x14ac:dyDescent="0.25">
      <c r="A24" s="981">
        <f>初期入力!C13</f>
        <v>2025</v>
      </c>
      <c r="B24" s="981"/>
      <c r="C24" s="108" t="s">
        <v>33</v>
      </c>
      <c r="D24" s="70">
        <f>初期入力!E13</f>
        <v>7</v>
      </c>
      <c r="E24" s="108" t="s">
        <v>34</v>
      </c>
      <c r="F24" s="70">
        <f>初期入力!G13</f>
        <v>25</v>
      </c>
      <c r="G24" s="108" t="s">
        <v>35</v>
      </c>
    </row>
    <row r="25" ht="10.9" customHeight="1" x14ac:dyDescent="0.25"/>
    <row r="26" ht="22.15" customHeight="1" spans="2:12" x14ac:dyDescent="0.25">
      <c r="B26" s="108" t="s">
        <v>1839</v>
      </c>
      <c r="C26" s="108"/>
      <c r="D26" s="982">
        <f>IF(初期入力!B5="","",初期入力!B5)</f>
      </c>
      <c r="E26" s="982"/>
      <c r="F26" s="982"/>
      <c r="G26" s="982"/>
      <c r="H26" s="982"/>
      <c r="I26" s="982"/>
      <c r="J26" s="982"/>
      <c r="K26" s="982"/>
      <c r="L26" s="982"/>
    </row>
    <row r="27" ht="12" customHeight="1" spans="2:12" x14ac:dyDescent="0.25">
      <c r="B27" s="108"/>
      <c r="C27" s="108"/>
      <c r="D27" s="983"/>
      <c r="E27" s="983"/>
      <c r="F27" s="983"/>
      <c r="G27" s="983"/>
      <c r="H27" s="983"/>
      <c r="I27" s="983"/>
      <c r="J27" s="983"/>
      <c r="K27" s="983"/>
      <c r="L27" s="983"/>
    </row>
    <row r="28" ht="22.15" customHeight="1" spans="2:13" x14ac:dyDescent="0.25">
      <c r="B28" s="108" t="s">
        <v>1840</v>
      </c>
      <c r="C28" s="108"/>
      <c r="D28" s="984">
        <f>初期入力!B4</f>
        <v>0</v>
      </c>
      <c r="E28" s="984"/>
      <c r="F28" s="984"/>
      <c r="G28" s="984"/>
      <c r="H28" s="984"/>
      <c r="I28" s="984"/>
      <c r="J28" s="984"/>
      <c r="K28" s="984"/>
      <c r="L28" s="984"/>
      <c r="M28" s="985" t="s">
        <v>222</v>
      </c>
    </row>
    <row r="29" ht="12" customHeight="1" spans="2:13" x14ac:dyDescent="0.25">
      <c r="B29" s="108"/>
      <c r="C29" s="108"/>
      <c r="D29" s="983"/>
      <c r="E29" s="983"/>
      <c r="F29" s="983"/>
      <c r="G29" s="983"/>
      <c r="H29" s="983"/>
      <c r="I29" s="983"/>
      <c r="J29" s="983"/>
      <c r="K29" s="983"/>
      <c r="L29" s="983"/>
      <c r="M29" s="985"/>
    </row>
    <row r="30" ht="22.15" customHeight="1" spans="2:13" x14ac:dyDescent="0.25">
      <c r="B30" s="108" t="s">
        <v>1839</v>
      </c>
      <c r="C30" s="108"/>
      <c r="D30" s="982">
        <f>IF(初期入力!B7="","",初期入力!B7)</f>
      </c>
      <c r="E30" s="982"/>
      <c r="F30" s="982"/>
      <c r="G30" s="982"/>
      <c r="H30" s="982"/>
      <c r="I30" s="982"/>
      <c r="J30" s="982"/>
      <c r="K30" s="982"/>
      <c r="L30" s="982"/>
      <c r="M30" s="985"/>
    </row>
    <row r="31" ht="12" customHeight="1" spans="2:13" x14ac:dyDescent="0.25">
      <c r="B31" s="108"/>
      <c r="C31" s="108"/>
      <c r="D31" s="983"/>
      <c r="E31" s="983"/>
      <c r="F31" s="983"/>
      <c r="G31" s="983"/>
      <c r="H31" s="983"/>
      <c r="I31" s="983"/>
      <c r="J31" s="983"/>
      <c r="K31" s="983"/>
      <c r="L31" s="983"/>
      <c r="M31" s="985"/>
    </row>
    <row r="32" ht="22.15" customHeight="1" spans="2:13" x14ac:dyDescent="0.25">
      <c r="B32" s="108" t="s">
        <v>1840</v>
      </c>
      <c r="C32" s="108"/>
      <c r="D32" s="984">
        <f>IF(初期入力!B6="","",初期入力!B6)</f>
      </c>
      <c r="E32" s="984"/>
      <c r="F32" s="984"/>
      <c r="G32" s="984"/>
      <c r="H32" s="984"/>
      <c r="I32" s="984"/>
      <c r="J32" s="984"/>
      <c r="K32" s="984"/>
      <c r="L32" s="984"/>
      <c r="M32" s="985" t="s">
        <v>222</v>
      </c>
    </row>
    <row r="33" ht="12" customHeight="1" spans="2:13" x14ac:dyDescent="0.25">
      <c r="B33" s="108"/>
      <c r="C33" s="108"/>
      <c r="D33" s="983"/>
      <c r="E33" s="983"/>
      <c r="F33" s="983"/>
      <c r="G33" s="983"/>
      <c r="H33" s="983"/>
      <c r="I33" s="983"/>
      <c r="J33" s="983"/>
      <c r="K33" s="983"/>
      <c r="L33" s="983"/>
      <c r="M33" s="985"/>
    </row>
    <row r="34" ht="22.15" customHeight="1" spans="2:13" x14ac:dyDescent="0.25">
      <c r="B34" s="108" t="s">
        <v>1841</v>
      </c>
      <c r="C34" s="108"/>
      <c r="D34" s="984" t="s">
        <v>119</v>
      </c>
      <c r="E34" s="984"/>
      <c r="F34" s="984"/>
      <c r="G34" s="984"/>
      <c r="H34" s="984"/>
      <c r="I34" s="984"/>
      <c r="J34" s="984"/>
      <c r="K34" s="984"/>
      <c r="L34" s="984"/>
      <c r="M34" s="985"/>
    </row>
    <row r="35" ht="12" customHeight="1" spans="2:13" x14ac:dyDescent="0.25">
      <c r="B35" s="108"/>
      <c r="C35" s="108"/>
      <c r="D35" s="983"/>
      <c r="E35" s="983"/>
      <c r="F35" s="983"/>
      <c r="G35" s="983"/>
      <c r="H35" s="983"/>
      <c r="I35" s="983"/>
      <c r="J35" s="983"/>
      <c r="K35" s="983"/>
      <c r="L35" s="983"/>
      <c r="M35" s="985"/>
    </row>
    <row r="36" ht="22.15" customHeight="1" spans="2:13" x14ac:dyDescent="0.25">
      <c r="B36" s="108" t="s">
        <v>1842</v>
      </c>
      <c r="C36" s="108"/>
      <c r="D36" s="984" t="s">
        <v>1843</v>
      </c>
      <c r="E36" s="984"/>
      <c r="F36" s="984"/>
      <c r="G36" s="984"/>
      <c r="H36" s="984"/>
      <c r="I36" s="984"/>
      <c r="J36" s="984"/>
      <c r="K36" s="984"/>
      <c r="L36" s="984"/>
      <c r="M36" s="985" t="s">
        <v>222</v>
      </c>
    </row>
    <row r="37" ht="22.15" customHeight="1" x14ac:dyDescent="0.25"/>
    <row r="38" ht="22.15" customHeight="1" x14ac:dyDescent="0.25"/>
    <row r="39" ht="22.15" customHeight="1" x14ac:dyDescent="0.25"/>
    <row r="40" ht="22.15" customHeight="1" x14ac:dyDescent="0.25"/>
    <row r="41" ht="22.15" customHeight="1" x14ac:dyDescent="0.25"/>
    <row r="42" ht="22.15" customHeight="1" x14ac:dyDescent="0.25"/>
    <row r="43" ht="22.15" customHeight="1" x14ac:dyDescent="0.25"/>
    <row r="44" ht="22.15" customHeight="1" x14ac:dyDescent="0.25"/>
    <row r="45" ht="22.15" customHeight="1" x14ac:dyDescent="0.25"/>
    <row r="46" ht="22.15" customHeight="1" x14ac:dyDescent="0.25"/>
    <row r="47" ht="22.15" customHeight="1" x14ac:dyDescent="0.25"/>
    <row r="48" ht="22.15" customHeight="1" x14ac:dyDescent="0.25"/>
    <row r="49" ht="22.15" customHeight="1" x14ac:dyDescent="0.25"/>
    <row r="50" ht="22.15" customHeight="1" x14ac:dyDescent="0.25"/>
    <row r="51" ht="22.15" customHeight="1" x14ac:dyDescent="0.25"/>
    <row r="52" ht="22.15" customHeight="1" x14ac:dyDescent="0.25"/>
    <row r="53" ht="22.15" customHeight="1" x14ac:dyDescent="0.25"/>
    <row r="54" ht="22.15" customHeight="1" x14ac:dyDescent="0.25"/>
    <row r="55" ht="22.15" customHeight="1" x14ac:dyDescent="0.25"/>
    <row r="56" ht="22.15" customHeight="1" x14ac:dyDescent="0.25"/>
    <row r="57" ht="22.15" customHeight="1" x14ac:dyDescent="0.25"/>
    <row r="58" ht="22.15" customHeight="1" x14ac:dyDescent="0.25"/>
    <row r="59" ht="22.15" customHeight="1" x14ac:dyDescent="0.25"/>
    <row r="60" ht="22.15" customHeight="1" x14ac:dyDescent="0.25"/>
    <row r="61" ht="22.15" customHeight="1" x14ac:dyDescent="0.25"/>
    <row r="62" ht="22.15" customHeight="1" x14ac:dyDescent="0.25"/>
    <row r="63" ht="22.15" customHeight="1" x14ac:dyDescent="0.25"/>
    <row r="64" ht="22.15" customHeight="1" x14ac:dyDescent="0.25"/>
    <row r="65" ht="22.15" customHeight="1" x14ac:dyDescent="0.25"/>
    <row r="66" ht="22.15" customHeight="1" x14ac:dyDescent="0.25"/>
    <row r="67" ht="22.15" customHeight="1" x14ac:dyDescent="0.25"/>
    <row r="68" ht="22.15" customHeight="1" x14ac:dyDescent="0.25"/>
    <row r="69" ht="22.15" customHeight="1" x14ac:dyDescent="0.25"/>
    <row r="70" ht="22.15" customHeight="1" x14ac:dyDescent="0.25"/>
    <row r="71" ht="22.15" customHeight="1" x14ac:dyDescent="0.25"/>
    <row r="72" ht="22.15" customHeight="1" x14ac:dyDescent="0.25"/>
    <row r="73" ht="22.15" customHeight="1" x14ac:dyDescent="0.25"/>
    <row r="74" ht="22.15" customHeight="1" x14ac:dyDescent="0.25"/>
    <row r="75" ht="22.15" customHeight="1" x14ac:dyDescent="0.25"/>
    <row r="76" ht="22.15" customHeight="1" x14ac:dyDescent="0.25"/>
    <row r="77" ht="22.15" customHeight="1" x14ac:dyDescent="0.25"/>
    <row r="78" ht="22.15" customHeight="1" x14ac:dyDescent="0.25"/>
  </sheetData>
  <mergeCells count="22">
    <mergeCell ref="D1:K1"/>
    <mergeCell ref="A3:C3"/>
    <mergeCell ref="D3:F3"/>
    <mergeCell ref="C16:G16"/>
    <mergeCell ref="K16:N16"/>
    <mergeCell ref="C17:G17"/>
    <mergeCell ref="K17:N17"/>
    <mergeCell ref="C18:G18"/>
    <mergeCell ref="K18:N18"/>
    <mergeCell ref="A24:B24"/>
    <mergeCell ref="B26:C26"/>
    <mergeCell ref="D26:L26"/>
    <mergeCell ref="B28:C28"/>
    <mergeCell ref="D28:L28"/>
    <mergeCell ref="B30:C30"/>
    <mergeCell ref="D30:L30"/>
    <mergeCell ref="B32:C32"/>
    <mergeCell ref="D32:L32"/>
    <mergeCell ref="B34:C34"/>
    <mergeCell ref="D34:L34"/>
    <mergeCell ref="B36:C36"/>
    <mergeCell ref="D36:L36"/>
  </mergeCells>
  <pageMargins left="0.7086614173228347" right="0.31496062992125984" top="0.7480314960629921" bottom="0.5511811023622047" header="0.31496062992125984" footer="0.31496062992125984"/>
  <pageSetup paperSize="9" orientation="portrait" horizontalDpi="4294967295" verticalDpi="4294967295" scale="95" fitToWidth="1" fitToHeight="1" firstPageNumber="1" useFirstPageNumber="1" copies="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7"/>
  <sheetViews>
    <sheetView workbookViewId="0" zoomScale="90" zoomScaleNormal="100" view="pageBreakPreview">
      <selection activeCell="L21" sqref="L21"/>
    </sheetView>
  </sheetViews>
  <sheetFormatPr defaultRowHeight="15" outlineLevelRow="0" outlineLevelCol="0" x14ac:dyDescent="0"/>
  <cols>
    <col min="1" max="1" width="7.7109375" customWidth="1"/>
    <col min="2" max="14" width="5.5703125" customWidth="1"/>
    <col min="15" max="16" width="8.7109375" customWidth="1"/>
  </cols>
  <sheetData>
    <row r="1" ht="27.75" customHeight="1" spans="1:16" x14ac:dyDescent="0.25">
      <c r="A1" s="964"/>
      <c r="B1" s="964"/>
      <c r="C1" s="965" t="s">
        <v>1758</v>
      </c>
      <c r="D1" s="83"/>
      <c r="E1" s="83"/>
      <c r="F1" s="83"/>
      <c r="G1" s="83"/>
      <c r="H1" s="83"/>
      <c r="I1" s="83"/>
      <c r="J1" s="83"/>
      <c r="K1" s="83"/>
      <c r="L1" s="83"/>
      <c r="M1" s="83"/>
      <c r="N1" s="964"/>
      <c r="O1" s="964"/>
      <c r="P1" s="964"/>
    </row>
    <row r="2" ht="20.1" customHeight="1" spans="1:16" x14ac:dyDescent="0.25">
      <c r="A2" s="964"/>
      <c r="B2" s="964"/>
      <c r="C2" s="966"/>
      <c r="D2" s="964"/>
      <c r="E2" s="964"/>
      <c r="F2" s="964"/>
      <c r="G2" s="964"/>
      <c r="H2" s="964"/>
      <c r="I2" s="964"/>
      <c r="J2" s="964"/>
      <c r="K2" s="964"/>
      <c r="L2" s="964"/>
      <c r="M2" s="964"/>
      <c r="N2" s="964"/>
      <c r="O2" s="964"/>
      <c r="P2" s="964"/>
    </row>
    <row r="3" ht="20.1" customHeight="1" spans="1:16" x14ac:dyDescent="0.25">
      <c r="A3" s="964"/>
      <c r="B3" s="966"/>
      <c r="C3" s="964"/>
      <c r="D3" s="964"/>
      <c r="E3" s="964"/>
      <c r="F3" s="964"/>
      <c r="G3" s="964"/>
      <c r="H3" s="964"/>
      <c r="I3" s="964"/>
      <c r="J3" s="964"/>
      <c r="K3" s="964"/>
      <c r="L3" s="964"/>
      <c r="M3" s="964"/>
      <c r="N3" s="964"/>
      <c r="O3" s="964"/>
      <c r="P3" s="964"/>
    </row>
    <row r="4" ht="18" customHeight="1" spans="1:18" x14ac:dyDescent="0.25">
      <c r="A4" s="964" t="s">
        <v>1037</v>
      </c>
      <c r="B4" s="967">
        <f>初期入力!B4</f>
        <v>0</v>
      </c>
      <c r="C4" s="967"/>
      <c r="D4" s="967"/>
      <c r="E4" s="968">
        <f>IF(初期入力!B6="","",初期入力!B6)</f>
      </c>
      <c r="F4" s="968"/>
      <c r="G4" s="968"/>
      <c r="H4" s="964" t="s">
        <v>1759</v>
      </c>
      <c r="I4" s="964"/>
      <c r="J4" s="964"/>
      <c r="K4" s="964"/>
      <c r="L4" s="964"/>
      <c r="M4" s="964"/>
      <c r="N4" s="964"/>
      <c r="O4" s="964"/>
      <c r="P4" s="964"/>
      <c r="R4" s="964"/>
    </row>
    <row r="5" ht="18" customHeight="1" spans="1:16" x14ac:dyDescent="0.25">
      <c r="A5" s="964" t="s">
        <v>1760</v>
      </c>
      <c r="B5" s="964"/>
      <c r="C5" s="964"/>
      <c r="D5" s="964"/>
      <c r="E5" s="964"/>
      <c r="F5" s="964"/>
      <c r="G5" s="964">
        <f>初期入力!C13</f>
        <v>2025</v>
      </c>
      <c r="H5" s="967" t="s">
        <v>33</v>
      </c>
      <c r="I5" s="964">
        <f>初期入力!E13</f>
        <v>7</v>
      </c>
      <c r="J5" s="967" t="s">
        <v>34</v>
      </c>
      <c r="K5" s="964">
        <f>初期入力!G13</f>
        <v>25</v>
      </c>
      <c r="L5" s="964" t="s">
        <v>1761</v>
      </c>
      <c r="M5" s="964"/>
      <c r="N5" s="964"/>
      <c r="O5" s="964"/>
      <c r="P5" s="964"/>
    </row>
    <row r="6" ht="18" customHeight="1" spans="1:16" x14ac:dyDescent="0.25">
      <c r="A6" s="964" t="s">
        <v>1762</v>
      </c>
      <c r="B6" s="964"/>
      <c r="C6" s="964"/>
      <c r="D6" s="964"/>
      <c r="E6" s="964"/>
      <c r="F6" s="964"/>
      <c r="G6" s="964"/>
      <c r="H6" s="964"/>
      <c r="I6" s="964"/>
      <c r="J6" s="964"/>
      <c r="K6" s="964"/>
      <c r="L6" s="964"/>
      <c r="M6" s="964"/>
      <c r="N6" s="964"/>
      <c r="O6" s="964"/>
      <c r="P6" s="964"/>
    </row>
    <row r="7" ht="18" customHeight="1" spans="1:16" x14ac:dyDescent="0.25">
      <c r="A7" s="964" t="s">
        <v>1763</v>
      </c>
      <c r="B7" s="964"/>
      <c r="C7" s="964"/>
      <c r="D7" s="964"/>
      <c r="E7" s="964"/>
      <c r="F7" s="964"/>
      <c r="G7" s="964"/>
      <c r="H7" s="964"/>
      <c r="I7" s="964"/>
      <c r="J7" s="964"/>
      <c r="K7" s="964"/>
      <c r="L7" s="964"/>
      <c r="M7" s="964"/>
      <c r="N7" s="964"/>
      <c r="O7" s="964"/>
      <c r="P7" s="964"/>
    </row>
    <row r="8" ht="18" customHeight="1" spans="1:16" x14ac:dyDescent="0.25">
      <c r="A8" s="964" t="s">
        <v>1764</v>
      </c>
      <c r="B8" s="964"/>
      <c r="C8" s="964"/>
      <c r="D8" s="964"/>
      <c r="E8" s="964"/>
      <c r="F8" s="964"/>
      <c r="G8" s="964"/>
      <c r="H8" s="964"/>
      <c r="I8" s="964"/>
      <c r="J8" s="964"/>
      <c r="K8" s="964"/>
      <c r="L8" s="964"/>
      <c r="M8" s="964"/>
      <c r="N8" s="964"/>
      <c r="O8" s="964"/>
      <c r="P8" s="964"/>
    </row>
    <row r="9" ht="18" customHeight="1" spans="1:16" x14ac:dyDescent="0.25">
      <c r="A9" s="964" t="s">
        <v>1765</v>
      </c>
      <c r="B9" s="964"/>
      <c r="C9" s="964"/>
      <c r="D9" s="964"/>
      <c r="E9" s="964"/>
      <c r="F9" s="964"/>
      <c r="G9" s="964"/>
      <c r="H9" s="964"/>
      <c r="I9" s="964"/>
      <c r="J9" s="964"/>
      <c r="K9" s="964"/>
      <c r="L9" s="964"/>
      <c r="M9" s="964"/>
      <c r="N9" s="964"/>
      <c r="O9" s="964"/>
      <c r="P9" s="964"/>
    </row>
    <row r="10" ht="18" customHeight="1" spans="1:16" x14ac:dyDescent="0.25">
      <c r="A10" s="964" t="s">
        <v>1766</v>
      </c>
      <c r="B10" s="964"/>
      <c r="C10" s="964"/>
      <c r="D10" s="964"/>
      <c r="E10" s="964"/>
      <c r="F10" s="964"/>
      <c r="G10" s="964"/>
      <c r="H10" s="964"/>
      <c r="I10" s="964"/>
      <c r="J10" s="964"/>
      <c r="K10" s="964"/>
      <c r="L10" s="964"/>
      <c r="M10" s="964"/>
      <c r="N10" s="964"/>
      <c r="O10" s="964"/>
      <c r="P10" s="964"/>
    </row>
    <row r="11" ht="18" customHeight="1" spans="1:16" x14ac:dyDescent="0.25">
      <c r="A11" s="964" t="s">
        <v>1767</v>
      </c>
      <c r="B11" s="964"/>
      <c r="C11" s="964"/>
      <c r="D11" s="964"/>
      <c r="E11" s="964"/>
      <c r="F11" s="964"/>
      <c r="G11" s="964"/>
      <c r="H11" s="964"/>
      <c r="I11" s="964"/>
      <c r="J11" s="964"/>
      <c r="K11" s="964"/>
      <c r="L11" s="964"/>
      <c r="M11" s="964"/>
      <c r="N11" s="964"/>
      <c r="O11" s="964"/>
      <c r="P11" s="964"/>
    </row>
    <row r="12" ht="18" customHeight="1" spans="1:16" x14ac:dyDescent="0.25">
      <c r="A12" s="964" t="s">
        <v>1768</v>
      </c>
      <c r="B12" s="964"/>
      <c r="C12" s="964"/>
      <c r="D12" s="964"/>
      <c r="E12" s="964"/>
      <c r="F12" s="964"/>
      <c r="G12" s="964"/>
      <c r="H12" s="964"/>
      <c r="I12" s="964"/>
      <c r="J12" s="964"/>
      <c r="K12" s="964"/>
      <c r="L12" s="964"/>
      <c r="M12" s="964"/>
      <c r="N12" s="964"/>
      <c r="O12" s="964"/>
      <c r="P12" s="964"/>
    </row>
    <row r="13" ht="18" customHeight="1" spans="1:16" x14ac:dyDescent="0.25">
      <c r="A13" s="964" t="s">
        <v>217</v>
      </c>
      <c r="B13" s="964"/>
      <c r="C13" s="964"/>
      <c r="D13" s="964"/>
      <c r="E13" s="964"/>
      <c r="F13" s="964"/>
      <c r="G13" s="964"/>
      <c r="H13" s="964"/>
      <c r="I13" s="964"/>
      <c r="J13" s="964"/>
      <c r="K13" s="964"/>
      <c r="L13" s="964"/>
      <c r="M13" s="964"/>
      <c r="N13" s="964"/>
      <c r="O13" s="964"/>
      <c r="P13" s="964"/>
    </row>
    <row r="14" ht="18" customHeight="1" spans="1:16" x14ac:dyDescent="0.25">
      <c r="A14" s="964"/>
      <c r="B14" s="964"/>
      <c r="C14" s="964"/>
      <c r="D14" s="964"/>
      <c r="E14" s="964"/>
      <c r="F14" s="964"/>
      <c r="G14" s="964"/>
      <c r="H14" s="964"/>
      <c r="I14" s="964"/>
      <c r="J14" s="964"/>
      <c r="K14" s="964"/>
      <c r="L14" s="964"/>
      <c r="M14" s="964"/>
      <c r="N14" s="964"/>
      <c r="O14" s="964"/>
      <c r="P14" s="964"/>
    </row>
    <row r="15" ht="18" customHeight="1" spans="1:16" x14ac:dyDescent="0.25">
      <c r="A15" s="964"/>
      <c r="B15" s="964"/>
      <c r="C15" s="964"/>
      <c r="D15" s="964"/>
      <c r="E15" s="964"/>
      <c r="F15" s="964"/>
      <c r="G15" s="964"/>
      <c r="H15" s="964" t="s">
        <v>1073</v>
      </c>
      <c r="I15" s="964"/>
      <c r="J15" s="964"/>
      <c r="K15" s="964"/>
      <c r="L15" s="964"/>
      <c r="M15" s="964"/>
      <c r="N15" s="964"/>
      <c r="O15" s="964"/>
      <c r="P15" s="964"/>
    </row>
    <row r="16" ht="18" customHeight="1" spans="1:16" x14ac:dyDescent="0.25">
      <c r="A16" s="964"/>
      <c r="B16" s="964"/>
      <c r="C16" s="964"/>
      <c r="D16" s="964"/>
      <c r="E16" s="964"/>
      <c r="F16" s="964"/>
      <c r="G16" s="964"/>
      <c r="H16" s="964"/>
      <c r="I16" s="964"/>
      <c r="J16" s="964"/>
      <c r="K16" s="964"/>
      <c r="L16" s="964"/>
      <c r="M16" s="964"/>
      <c r="N16" s="964"/>
      <c r="O16" s="964"/>
      <c r="P16" s="964"/>
    </row>
    <row r="17" ht="18" customHeight="1" spans="1:16" x14ac:dyDescent="0.25">
      <c r="A17" s="969">
        <v>1</v>
      </c>
      <c r="B17" s="970" t="s">
        <v>1769</v>
      </c>
      <c r="C17" s="964"/>
      <c r="D17" s="964"/>
      <c r="E17" s="964"/>
      <c r="F17" s="964"/>
      <c r="G17" s="964"/>
      <c r="H17" s="964"/>
      <c r="I17" s="964"/>
      <c r="J17" s="964"/>
      <c r="K17" s="964"/>
      <c r="L17" s="964"/>
      <c r="M17" s="964"/>
      <c r="N17" s="964"/>
      <c r="O17" s="964"/>
      <c r="P17" s="964"/>
    </row>
    <row r="18" ht="18" customHeight="1" spans="1:16" x14ac:dyDescent="0.25">
      <c r="A18" s="969">
        <v>2</v>
      </c>
      <c r="B18" s="970" t="s">
        <v>1770</v>
      </c>
      <c r="C18" s="964"/>
      <c r="D18" s="964"/>
      <c r="E18" s="964"/>
      <c r="F18" s="964"/>
      <c r="G18" s="964"/>
      <c r="H18" s="964"/>
      <c r="I18" s="964"/>
      <c r="J18" s="964"/>
      <c r="K18" s="964"/>
      <c r="L18" s="964"/>
      <c r="M18" s="964"/>
      <c r="N18" s="964"/>
      <c r="O18" s="964"/>
      <c r="P18" s="964"/>
    </row>
    <row r="19" ht="18" customHeight="1" spans="1:16" x14ac:dyDescent="0.25">
      <c r="A19" s="969"/>
      <c r="B19" s="964" t="s">
        <v>1771</v>
      </c>
      <c r="C19" s="964"/>
      <c r="D19" s="964"/>
      <c r="E19" s="964"/>
      <c r="F19" s="964"/>
      <c r="G19" s="964"/>
      <c r="H19" s="964"/>
      <c r="I19" s="964"/>
      <c r="J19" s="964"/>
      <c r="K19" s="964"/>
      <c r="L19" s="964"/>
      <c r="M19" s="964"/>
      <c r="N19" s="964"/>
      <c r="O19" s="964"/>
      <c r="P19" s="964"/>
    </row>
    <row r="20" ht="18" customHeight="1" spans="1:16" x14ac:dyDescent="0.25">
      <c r="A20" s="969">
        <v>3</v>
      </c>
      <c r="B20" s="964" t="s">
        <v>1772</v>
      </c>
      <c r="C20" s="964"/>
      <c r="D20" s="964"/>
      <c r="E20" s="964"/>
      <c r="F20" s="964"/>
      <c r="G20" s="964"/>
      <c r="H20" s="964"/>
      <c r="I20" s="964"/>
      <c r="J20" s="964"/>
      <c r="K20" s="964"/>
      <c r="L20" s="964"/>
      <c r="M20" s="964"/>
      <c r="N20" s="964"/>
      <c r="O20" s="964"/>
      <c r="P20" s="964"/>
    </row>
    <row r="21" ht="18" customHeight="1" spans="1:16" x14ac:dyDescent="0.25">
      <c r="A21" s="969"/>
      <c r="B21" s="964" t="s">
        <v>1773</v>
      </c>
      <c r="C21" s="964"/>
      <c r="D21" s="964"/>
      <c r="E21" s="964"/>
      <c r="F21" s="964"/>
      <c r="G21" s="964"/>
      <c r="H21" s="964"/>
      <c r="I21" s="964"/>
      <c r="J21" s="964"/>
      <c r="K21" s="964"/>
      <c r="L21" s="964"/>
      <c r="M21" s="964"/>
      <c r="N21" s="964"/>
      <c r="O21" s="964"/>
      <c r="P21" s="964"/>
    </row>
    <row r="22" ht="18" customHeight="1" spans="1:16" x14ac:dyDescent="0.25">
      <c r="A22" s="969"/>
      <c r="B22" s="964" t="s">
        <v>1774</v>
      </c>
      <c r="C22" s="964"/>
      <c r="D22" s="964"/>
      <c r="E22" s="964"/>
      <c r="F22" s="964"/>
      <c r="G22" s="964"/>
      <c r="H22" s="964"/>
      <c r="I22" s="964"/>
      <c r="J22" s="964"/>
      <c r="K22" s="964"/>
      <c r="L22" s="964"/>
      <c r="M22" s="964"/>
      <c r="N22" s="964"/>
      <c r="O22" s="964"/>
      <c r="P22" s="964"/>
    </row>
    <row r="23" ht="18" customHeight="1" spans="1:16" x14ac:dyDescent="0.25">
      <c r="A23" s="969"/>
      <c r="B23" s="964" t="s">
        <v>1775</v>
      </c>
      <c r="C23" s="964"/>
      <c r="D23" s="964"/>
      <c r="E23" s="964"/>
      <c r="F23" s="964"/>
      <c r="G23" s="964"/>
      <c r="H23" s="964"/>
      <c r="I23" s="964"/>
      <c r="J23" s="964"/>
      <c r="K23" s="964"/>
      <c r="L23" s="964"/>
      <c r="M23" s="964"/>
      <c r="N23" s="964"/>
      <c r="O23" s="964"/>
      <c r="P23" s="964"/>
    </row>
    <row r="24" ht="18" customHeight="1" spans="1:16" x14ac:dyDescent="0.25">
      <c r="A24" s="969"/>
      <c r="B24" s="964" t="s">
        <v>1776</v>
      </c>
      <c r="C24" s="964"/>
      <c r="D24" s="964"/>
      <c r="E24" s="964"/>
      <c r="F24" s="964"/>
      <c r="G24" s="964"/>
      <c r="H24" s="964"/>
      <c r="I24" s="964"/>
      <c r="J24" s="964"/>
      <c r="K24" s="964"/>
      <c r="L24" s="964"/>
      <c r="M24" s="964"/>
      <c r="N24" s="964"/>
      <c r="O24" s="964"/>
      <c r="P24" s="964"/>
    </row>
    <row r="25" ht="18" customHeight="1" spans="1:16" x14ac:dyDescent="0.25">
      <c r="A25" s="969"/>
      <c r="B25" s="964" t="s">
        <v>1777</v>
      </c>
      <c r="C25" s="964"/>
      <c r="D25" s="964"/>
      <c r="E25" s="964"/>
      <c r="F25" s="964"/>
      <c r="G25" s="964"/>
      <c r="H25" s="964"/>
      <c r="I25" s="964"/>
      <c r="J25" s="964"/>
      <c r="K25" s="964"/>
      <c r="L25" s="964"/>
      <c r="M25" s="964"/>
      <c r="N25" s="964"/>
      <c r="O25" s="964"/>
      <c r="P25" s="964"/>
    </row>
    <row r="26" ht="18" customHeight="1" spans="1:16" x14ac:dyDescent="0.25">
      <c r="A26" s="969">
        <v>4</v>
      </c>
      <c r="B26" s="964" t="s">
        <v>1778</v>
      </c>
      <c r="C26" s="964"/>
      <c r="D26" s="964"/>
      <c r="E26" s="964"/>
      <c r="F26" s="964"/>
      <c r="G26" s="964"/>
      <c r="H26" s="964"/>
      <c r="I26" s="964"/>
      <c r="J26" s="964"/>
      <c r="K26" s="964"/>
      <c r="L26" s="964"/>
      <c r="M26" s="964"/>
      <c r="N26" s="964"/>
      <c r="O26" s="964"/>
      <c r="P26" s="964"/>
    </row>
    <row r="27" ht="18" customHeight="1" spans="1:16" x14ac:dyDescent="0.25">
      <c r="A27" s="969">
        <v>5</v>
      </c>
      <c r="B27" s="964" t="s">
        <v>1779</v>
      </c>
      <c r="C27" s="964"/>
      <c r="D27" s="964"/>
      <c r="E27" s="964"/>
      <c r="F27" s="964"/>
      <c r="G27" s="964"/>
      <c r="H27" s="964"/>
      <c r="I27" s="964"/>
      <c r="J27" s="964"/>
      <c r="K27" s="964"/>
      <c r="L27" s="964"/>
      <c r="M27" s="964"/>
      <c r="N27" s="964"/>
      <c r="O27" s="964"/>
      <c r="P27" s="964"/>
    </row>
    <row r="28" ht="18" customHeight="1" spans="1:16" x14ac:dyDescent="0.25">
      <c r="A28" s="969">
        <v>6</v>
      </c>
      <c r="B28" s="964" t="s">
        <v>1780</v>
      </c>
      <c r="C28" s="964"/>
      <c r="D28" s="964"/>
      <c r="E28" s="964"/>
      <c r="F28" s="964"/>
      <c r="G28" s="964"/>
      <c r="H28" s="964"/>
      <c r="I28" s="964"/>
      <c r="J28" s="964"/>
      <c r="K28" s="964"/>
      <c r="L28" s="964"/>
      <c r="M28" s="964"/>
      <c r="N28" s="964"/>
      <c r="O28" s="964"/>
      <c r="P28" s="964"/>
    </row>
    <row r="29" ht="18" customHeight="1" spans="1:16" x14ac:dyDescent="0.25">
      <c r="A29" s="967"/>
      <c r="B29" s="971" t="s">
        <v>1781</v>
      </c>
      <c r="C29" s="964"/>
      <c r="D29" s="964"/>
      <c r="E29" s="964"/>
      <c r="F29" s="964"/>
      <c r="G29" s="964"/>
      <c r="H29" s="964"/>
      <c r="I29" s="964"/>
      <c r="J29" s="964"/>
      <c r="K29" s="964"/>
      <c r="L29" s="964"/>
      <c r="M29" s="964"/>
      <c r="N29" s="964"/>
      <c r="O29" s="964"/>
      <c r="P29" s="964"/>
    </row>
    <row r="30" ht="18" customHeight="1" spans="1:16" x14ac:dyDescent="0.25">
      <c r="A30" s="969">
        <v>7</v>
      </c>
      <c r="B30" s="964" t="s">
        <v>1782</v>
      </c>
      <c r="C30" s="964"/>
      <c r="D30" s="964"/>
      <c r="E30" s="964"/>
      <c r="F30" s="964"/>
      <c r="G30" s="964"/>
      <c r="H30" s="964"/>
      <c r="I30" s="964"/>
      <c r="J30" s="964"/>
      <c r="K30" s="964"/>
      <c r="L30" s="964"/>
      <c r="M30" s="964"/>
      <c r="N30" s="964"/>
      <c r="O30" s="964"/>
      <c r="P30" s="964"/>
    </row>
    <row r="31" ht="18" customHeight="1" spans="1:16" x14ac:dyDescent="0.25">
      <c r="A31" s="967"/>
      <c r="B31" s="964" t="s">
        <v>1783</v>
      </c>
      <c r="C31" s="964"/>
      <c r="D31" s="964"/>
      <c r="E31" s="964"/>
      <c r="F31" s="964"/>
      <c r="G31" s="964"/>
      <c r="H31" s="964"/>
      <c r="I31" s="964"/>
      <c r="J31" s="964"/>
      <c r="K31" s="964"/>
      <c r="L31" s="964"/>
      <c r="M31" s="964"/>
      <c r="N31" s="964"/>
      <c r="O31" s="964"/>
      <c r="P31" s="964"/>
    </row>
    <row r="32" ht="18" customHeight="1" spans="1:16" x14ac:dyDescent="0.25">
      <c r="A32" s="967"/>
      <c r="B32" s="964"/>
      <c r="C32" s="964"/>
      <c r="D32" s="964"/>
      <c r="E32" s="964"/>
      <c r="F32" s="964"/>
      <c r="G32" s="964"/>
      <c r="H32" s="964"/>
      <c r="I32" s="964"/>
      <c r="J32" s="964"/>
      <c r="K32" s="964"/>
      <c r="L32" s="964"/>
      <c r="M32" s="964"/>
      <c r="N32" s="964"/>
      <c r="O32" s="964"/>
      <c r="P32" s="964"/>
    </row>
    <row r="33" ht="18" customHeight="1" spans="1:16" x14ac:dyDescent="0.25">
      <c r="A33" s="964"/>
      <c r="B33" s="964"/>
      <c r="C33" s="964"/>
      <c r="D33" s="964"/>
      <c r="E33" s="964"/>
      <c r="F33" s="964"/>
      <c r="G33" s="964"/>
      <c r="H33" s="964"/>
      <c r="I33" s="964"/>
      <c r="J33" s="964"/>
      <c r="K33" s="964"/>
      <c r="L33" s="964"/>
      <c r="M33" s="964"/>
      <c r="N33" s="964"/>
      <c r="O33" s="964"/>
      <c r="P33" s="964"/>
    </row>
    <row r="34" ht="18" customHeight="1" spans="1:16" x14ac:dyDescent="0.25">
      <c r="A34" s="964"/>
      <c r="B34" s="964"/>
      <c r="C34" s="964"/>
      <c r="D34" s="964"/>
      <c r="E34" s="964"/>
      <c r="F34" s="964"/>
      <c r="G34" s="964"/>
      <c r="H34" s="964"/>
      <c r="I34" s="964"/>
      <c r="J34" s="964"/>
      <c r="K34" s="964"/>
      <c r="L34" s="964"/>
      <c r="M34" s="964"/>
      <c r="N34" s="964" t="s">
        <v>943</v>
      </c>
      <c r="O34" s="964"/>
      <c r="P34" s="964"/>
    </row>
    <row r="35" ht="18" customHeight="1" spans="1:16" x14ac:dyDescent="0.25">
      <c r="A35" s="964"/>
      <c r="B35" s="964">
        <f>初期入力!C13</f>
        <v>2025</v>
      </c>
      <c r="C35" s="967" t="s">
        <v>33</v>
      </c>
      <c r="D35" s="967">
        <f>初期入力!E13</f>
        <v>7</v>
      </c>
      <c r="E35" s="967" t="s">
        <v>34</v>
      </c>
      <c r="F35" s="967">
        <f>初期入力!G13</f>
        <v>25</v>
      </c>
      <c r="G35" s="967" t="s">
        <v>35</v>
      </c>
      <c r="H35" s="964"/>
      <c r="I35" s="964"/>
      <c r="J35" s="964"/>
      <c r="K35" s="964"/>
      <c r="L35" s="964"/>
      <c r="M35" s="964"/>
      <c r="N35" s="964"/>
      <c r="O35" s="964"/>
      <c r="P35" s="964"/>
    </row>
    <row r="36" ht="18" customHeight="1" spans="1:16" x14ac:dyDescent="0.25">
      <c r="A36" s="964"/>
      <c r="B36" s="964"/>
      <c r="C36" s="964"/>
      <c r="D36" s="964"/>
      <c r="E36" s="964"/>
      <c r="F36" s="964"/>
      <c r="G36" s="964"/>
      <c r="H36" s="964"/>
      <c r="I36" s="964"/>
      <c r="J36" s="964"/>
      <c r="K36" s="964"/>
      <c r="L36" s="964"/>
      <c r="M36" s="964"/>
      <c r="N36" s="964"/>
      <c r="O36" s="964"/>
      <c r="P36" s="964"/>
    </row>
    <row r="37" ht="18" customHeight="1" spans="1:16" x14ac:dyDescent="0.25">
      <c r="A37" s="964"/>
      <c r="B37" s="964"/>
      <c r="C37" s="964" t="s">
        <v>1536</v>
      </c>
      <c r="D37" s="964"/>
      <c r="E37" s="964"/>
      <c r="F37" s="972">
        <f>IF(初期入力!B5="","",初期入力!B5)</f>
      </c>
      <c r="G37" s="973"/>
      <c r="H37" s="973"/>
      <c r="I37" s="973"/>
      <c r="J37" s="973"/>
      <c r="K37" s="973"/>
      <c r="L37" s="973"/>
      <c r="M37" s="964"/>
      <c r="N37" s="964"/>
      <c r="O37" s="964"/>
      <c r="P37" s="964"/>
    </row>
    <row r="38" ht="18" customHeight="1" spans="1:16" x14ac:dyDescent="0.25">
      <c r="A38" s="964"/>
      <c r="B38" s="964"/>
      <c r="C38" s="964"/>
      <c r="D38" s="964"/>
      <c r="E38" s="964"/>
      <c r="F38" s="964"/>
      <c r="G38" s="964"/>
      <c r="H38" s="964"/>
      <c r="I38" s="964"/>
      <c r="J38" s="964"/>
      <c r="K38" s="964"/>
      <c r="L38" s="964"/>
      <c r="M38" s="964"/>
      <c r="N38" s="964"/>
      <c r="O38" s="964"/>
      <c r="P38" s="964"/>
    </row>
    <row r="39" ht="18" customHeight="1" spans="1:16" x14ac:dyDescent="0.25">
      <c r="A39" s="964"/>
      <c r="B39" s="964"/>
      <c r="C39" s="964"/>
      <c r="D39" s="964" t="s">
        <v>198</v>
      </c>
      <c r="E39" s="964"/>
      <c r="F39" s="974">
        <f>IF(初期入力!B4="","",初期入力!B4)</f>
      </c>
      <c r="G39" s="973"/>
      <c r="H39" s="973"/>
      <c r="I39" s="973"/>
      <c r="J39" s="973"/>
      <c r="K39" s="973"/>
      <c r="L39" s="973"/>
      <c r="M39" s="975" t="s">
        <v>222</v>
      </c>
      <c r="N39" s="964"/>
      <c r="O39" s="964"/>
      <c r="P39" s="964"/>
    </row>
    <row r="40" ht="18" customHeight="1" spans="1:16" x14ac:dyDescent="0.25">
      <c r="A40" s="964"/>
      <c r="B40" s="964"/>
      <c r="C40" s="964"/>
      <c r="D40" s="964"/>
      <c r="E40" s="964"/>
      <c r="F40" s="964"/>
      <c r="G40" s="964"/>
      <c r="H40" s="964"/>
      <c r="I40" s="964"/>
      <c r="J40" s="964"/>
      <c r="K40" s="964"/>
      <c r="L40" s="964"/>
      <c r="M40" s="964"/>
      <c r="N40" s="964"/>
      <c r="O40" s="964"/>
      <c r="P40" s="964"/>
    </row>
    <row r="41" ht="18" customHeight="1" spans="1:16" x14ac:dyDescent="0.25">
      <c r="A41" s="964"/>
      <c r="B41" s="964"/>
      <c r="C41" s="964" t="s">
        <v>1536</v>
      </c>
      <c r="D41" s="964"/>
      <c r="E41" s="964"/>
      <c r="F41" s="972">
        <f>IF(初期入力!B7="","",初期入力!B7)</f>
      </c>
      <c r="G41" s="973"/>
      <c r="H41" s="973"/>
      <c r="I41" s="973"/>
      <c r="J41" s="973"/>
      <c r="K41" s="973"/>
      <c r="L41" s="973"/>
      <c r="M41" s="964"/>
      <c r="N41" s="964"/>
      <c r="O41" s="964"/>
      <c r="P41" s="964"/>
    </row>
    <row r="42" ht="18" customHeight="1" spans="1:16" x14ac:dyDescent="0.25">
      <c r="A42" s="964"/>
      <c r="B42" s="964"/>
      <c r="C42" s="964"/>
      <c r="D42" s="964"/>
      <c r="E42" s="964"/>
      <c r="F42" s="964"/>
      <c r="G42" s="964"/>
      <c r="H42" s="964"/>
      <c r="I42" s="964"/>
      <c r="J42" s="964"/>
      <c r="K42" s="964"/>
      <c r="L42" s="964"/>
      <c r="M42" s="964"/>
      <c r="N42" s="964"/>
      <c r="O42" s="964"/>
      <c r="P42" s="964"/>
    </row>
    <row r="43" ht="18" customHeight="1" spans="1:16" x14ac:dyDescent="0.25">
      <c r="A43" s="964"/>
      <c r="B43" s="964"/>
      <c r="C43" s="964"/>
      <c r="D43" s="964" t="s">
        <v>198</v>
      </c>
      <c r="E43" s="964"/>
      <c r="F43" s="974">
        <f>IF(初期入力!B6="","",初期入力!B6)</f>
      </c>
      <c r="G43" s="973"/>
      <c r="H43" s="973"/>
      <c r="I43" s="973"/>
      <c r="J43" s="973"/>
      <c r="K43" s="973"/>
      <c r="L43" s="973"/>
      <c r="M43" s="975" t="s">
        <v>222</v>
      </c>
      <c r="N43" s="964"/>
      <c r="O43" s="964"/>
      <c r="P43" s="964"/>
    </row>
    <row r="44" ht="18" customHeight="1" spans="1:16" x14ac:dyDescent="0.25">
      <c r="A44" s="964"/>
      <c r="B44" s="964"/>
      <c r="C44" s="964"/>
      <c r="D44" s="964"/>
      <c r="E44" s="964"/>
      <c r="F44" s="964"/>
      <c r="G44" s="964"/>
      <c r="H44" s="964"/>
      <c r="I44" s="964"/>
      <c r="J44" s="964"/>
      <c r="K44" s="964"/>
      <c r="L44" s="964"/>
      <c r="M44" s="964"/>
      <c r="N44" s="964"/>
      <c r="O44" s="964"/>
      <c r="P44" s="964"/>
    </row>
    <row r="45" ht="18" customHeight="1" spans="1:16" x14ac:dyDescent="0.25">
      <c r="A45" s="964"/>
      <c r="B45" s="964"/>
      <c r="C45" s="964" t="s">
        <v>1784</v>
      </c>
      <c r="D45" s="964"/>
      <c r="E45" s="964"/>
      <c r="F45" s="974" t="s">
        <v>119</v>
      </c>
      <c r="G45" s="973"/>
      <c r="H45" s="973"/>
      <c r="I45" s="973"/>
      <c r="J45" s="973"/>
      <c r="K45" s="973"/>
      <c r="L45" s="973"/>
      <c r="M45" s="964"/>
      <c r="N45" s="964"/>
      <c r="O45" s="964"/>
      <c r="P45" s="964"/>
    </row>
    <row r="46" ht="18" customHeight="1" spans="1:16" x14ac:dyDescent="0.25">
      <c r="A46" s="964"/>
      <c r="B46" s="964"/>
      <c r="C46" s="964"/>
      <c r="D46" s="964"/>
      <c r="E46" s="964"/>
      <c r="F46" s="964"/>
      <c r="G46" s="964"/>
      <c r="H46" s="964"/>
      <c r="I46" s="964"/>
      <c r="J46" s="964"/>
      <c r="K46" s="964"/>
      <c r="L46" s="964"/>
      <c r="M46" s="964"/>
      <c r="N46" s="964"/>
      <c r="O46" s="964"/>
      <c r="P46" s="964"/>
    </row>
    <row r="47" ht="18" customHeight="1" spans="1:16" x14ac:dyDescent="0.25">
      <c r="A47" s="964"/>
      <c r="B47" s="964"/>
      <c r="C47" s="964"/>
      <c r="D47" s="964" t="s">
        <v>198</v>
      </c>
      <c r="E47" s="964"/>
      <c r="F47" s="976" t="s">
        <v>1068</v>
      </c>
      <c r="G47" s="976"/>
      <c r="H47" s="976"/>
      <c r="I47" s="976"/>
      <c r="J47" s="976"/>
      <c r="K47" s="976"/>
      <c r="L47" s="976"/>
      <c r="M47" s="975" t="s">
        <v>222</v>
      </c>
      <c r="N47" s="964"/>
      <c r="O47" s="964"/>
      <c r="P47" s="964"/>
    </row>
  </sheetData>
  <mergeCells count="8">
    <mergeCell ref="C1:M1"/>
    <mergeCell ref="B4:D4"/>
    <mergeCell ref="E4:G4"/>
    <mergeCell ref="F37:L37"/>
    <mergeCell ref="F39:L39"/>
    <mergeCell ref="F41:L41"/>
    <mergeCell ref="F43:L43"/>
    <mergeCell ref="F45:L45"/>
  </mergeCells>
  <pageMargins left="0.9055118110236221" right="0.7086614173228347" top="0.7480314960629921" bottom="0.5511811023622047" header="0.31496062992125984" footer="0.31496062992125984"/>
  <pageSetup paperSize="9" orientation="portrait" horizontalDpi="4294967295" verticalDpi="4294967295" scale="85" fitToWidth="1" fitToHeight="1" firstPageNumber="1" useFirstPageNumber="1" copies="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workbookViewId="0" zoomScale="90" zoomScaleNormal="100" view="pageBreakPreview">
      <selection activeCell="Q37" sqref="Q37"/>
    </sheetView>
  </sheetViews>
  <sheetFormatPr defaultRowHeight="15" outlineLevelRow="0" outlineLevelCol="0" x14ac:dyDescent="0"/>
  <cols>
    <col min="1" max="1" width="7.7109375" customWidth="1"/>
    <col min="2" max="14" width="5.5703125" customWidth="1"/>
    <col min="15" max="15" width="8.7109375" customWidth="1"/>
  </cols>
  <sheetData>
    <row r="1" ht="27.75" customHeight="1" spans="1:15" x14ac:dyDescent="0.25">
      <c r="A1" s="964"/>
      <c r="B1" s="964"/>
      <c r="C1" s="965" t="s">
        <v>1785</v>
      </c>
      <c r="D1" s="83"/>
      <c r="E1" s="83"/>
      <c r="F1" s="83"/>
      <c r="G1" s="83"/>
      <c r="H1" s="83"/>
      <c r="I1" s="83"/>
      <c r="J1" s="83"/>
      <c r="K1" s="83"/>
      <c r="L1" s="83"/>
      <c r="M1" s="83"/>
      <c r="N1" s="964"/>
      <c r="O1" s="964"/>
    </row>
    <row r="2" ht="16.15" customHeight="1" spans="1:15" x14ac:dyDescent="0.25">
      <c r="A2" s="964"/>
      <c r="B2" s="964"/>
      <c r="C2" s="966"/>
      <c r="D2" s="964"/>
      <c r="E2" s="964"/>
      <c r="F2" s="964"/>
      <c r="G2" s="964"/>
      <c r="H2" s="964"/>
      <c r="I2" s="964"/>
      <c r="J2" s="964"/>
      <c r="K2" s="964"/>
      <c r="L2" s="964"/>
      <c r="M2" s="964"/>
      <c r="N2" s="964"/>
      <c r="O2" s="964"/>
    </row>
    <row r="3" ht="16.15" customHeight="1" spans="1:15" x14ac:dyDescent="0.25">
      <c r="A3" s="964"/>
      <c r="B3" s="966"/>
      <c r="C3" s="964"/>
      <c r="D3" s="964"/>
      <c r="E3" s="964"/>
      <c r="F3" s="964"/>
      <c r="G3" s="964"/>
      <c r="H3" s="964"/>
      <c r="I3" s="964"/>
      <c r="J3" s="964"/>
      <c r="K3" s="964"/>
      <c r="L3" s="964"/>
      <c r="M3" s="964"/>
      <c r="N3" s="964"/>
      <c r="O3" s="964"/>
    </row>
    <row r="4" ht="18" customHeight="1" spans="1:16" x14ac:dyDescent="0.25">
      <c r="A4" s="964" t="s">
        <v>1037</v>
      </c>
      <c r="B4" s="967">
        <f>初期入力!B4</f>
        <v>0</v>
      </c>
      <c r="C4" s="967"/>
      <c r="D4" s="967"/>
      <c r="E4" s="968">
        <f>IF(初期入力!B6="","",初期入力!B6)</f>
      </c>
      <c r="F4" s="968"/>
      <c r="G4" s="968"/>
      <c r="H4" s="964" t="s">
        <v>1759</v>
      </c>
      <c r="I4" s="964"/>
      <c r="J4" s="964"/>
      <c r="K4" s="964"/>
      <c r="L4" s="964"/>
      <c r="M4" s="964"/>
      <c r="N4" s="964"/>
      <c r="O4" s="964"/>
      <c r="P4" s="964"/>
    </row>
    <row r="5" ht="18" customHeight="1" spans="1:15" x14ac:dyDescent="0.25">
      <c r="A5" s="964" t="s">
        <v>1760</v>
      </c>
      <c r="B5" s="964"/>
      <c r="C5" s="964"/>
      <c r="D5" s="964"/>
      <c r="E5" s="964"/>
      <c r="F5" s="964"/>
      <c r="G5" s="964">
        <f>初期入力!C13</f>
        <v>2025</v>
      </c>
      <c r="H5" s="967" t="s">
        <v>33</v>
      </c>
      <c r="I5" s="964">
        <f>初期入力!E13</f>
        <v>7</v>
      </c>
      <c r="J5" s="967" t="s">
        <v>34</v>
      </c>
      <c r="K5" s="964">
        <f>初期入力!G13</f>
        <v>25</v>
      </c>
      <c r="L5" s="964" t="s">
        <v>1761</v>
      </c>
      <c r="M5" s="964"/>
      <c r="N5" s="964"/>
      <c r="O5" s="964"/>
    </row>
    <row r="6" ht="18" customHeight="1" spans="1:15" x14ac:dyDescent="0.25">
      <c r="A6" s="964" t="s">
        <v>1762</v>
      </c>
      <c r="B6" s="964"/>
      <c r="C6" s="964"/>
      <c r="D6" s="964"/>
      <c r="E6" s="964"/>
      <c r="F6" s="964"/>
      <c r="G6" s="964"/>
      <c r="H6" s="964"/>
      <c r="I6" s="964"/>
      <c r="J6" s="964"/>
      <c r="K6" s="964"/>
      <c r="L6" s="964"/>
      <c r="M6" s="964"/>
      <c r="N6" s="964"/>
      <c r="O6" s="964"/>
    </row>
    <row r="7" ht="18" customHeight="1" spans="1:15" x14ac:dyDescent="0.25">
      <c r="A7" s="964" t="s">
        <v>1786</v>
      </c>
      <c r="B7" s="964"/>
      <c r="C7" s="964"/>
      <c r="D7" s="964"/>
      <c r="E7" s="964"/>
      <c r="F7" s="964"/>
      <c r="G7" s="964"/>
      <c r="H7" s="964"/>
      <c r="I7" s="964"/>
      <c r="J7" s="964"/>
      <c r="K7" s="964"/>
      <c r="L7" s="964"/>
      <c r="M7" s="964"/>
      <c r="N7" s="964"/>
      <c r="O7" s="964"/>
    </row>
    <row r="8" ht="18" customHeight="1" spans="1:15" x14ac:dyDescent="0.25">
      <c r="A8" s="964" t="s">
        <v>1764</v>
      </c>
      <c r="B8" s="964"/>
      <c r="C8" s="964"/>
      <c r="D8" s="964"/>
      <c r="E8" s="964"/>
      <c r="F8" s="964"/>
      <c r="G8" s="964"/>
      <c r="H8" s="964"/>
      <c r="I8" s="964"/>
      <c r="J8" s="964"/>
      <c r="K8" s="964"/>
      <c r="L8" s="964"/>
      <c r="M8" s="964"/>
      <c r="N8" s="964"/>
      <c r="O8" s="964"/>
    </row>
    <row r="9" ht="18" customHeight="1" spans="1:15" x14ac:dyDescent="0.25">
      <c r="A9" s="964" t="s">
        <v>1765</v>
      </c>
      <c r="B9" s="964"/>
      <c r="C9" s="964"/>
      <c r="D9" s="964"/>
      <c r="E9" s="964"/>
      <c r="F9" s="964"/>
      <c r="G9" s="964"/>
      <c r="H9" s="964"/>
      <c r="I9" s="964"/>
      <c r="J9" s="964"/>
      <c r="K9" s="964"/>
      <c r="L9" s="964"/>
      <c r="M9" s="964"/>
      <c r="N9" s="964"/>
      <c r="O9" s="964"/>
    </row>
    <row r="10" ht="18" customHeight="1" spans="1:15" x14ac:dyDescent="0.25">
      <c r="A10" s="964" t="s">
        <v>1766</v>
      </c>
      <c r="B10" s="964"/>
      <c r="C10" s="964"/>
      <c r="D10" s="964"/>
      <c r="E10" s="964"/>
      <c r="F10" s="964"/>
      <c r="G10" s="964"/>
      <c r="H10" s="964"/>
      <c r="I10" s="964"/>
      <c r="J10" s="964"/>
      <c r="K10" s="964"/>
      <c r="L10" s="964"/>
      <c r="M10" s="964"/>
      <c r="N10" s="964"/>
      <c r="O10" s="964"/>
    </row>
    <row r="11" ht="18" customHeight="1" spans="1:15" x14ac:dyDescent="0.25">
      <c r="A11" s="964" t="s">
        <v>1767</v>
      </c>
      <c r="B11" s="964"/>
      <c r="C11" s="964"/>
      <c r="D11" s="964"/>
      <c r="E11" s="964"/>
      <c r="F11" s="964"/>
      <c r="G11" s="964"/>
      <c r="H11" s="964"/>
      <c r="I11" s="964"/>
      <c r="J11" s="964"/>
      <c r="K11" s="964"/>
      <c r="L11" s="964"/>
      <c r="M11" s="964"/>
      <c r="N11" s="964"/>
      <c r="O11" s="964"/>
    </row>
    <row r="12" ht="18" customHeight="1" spans="1:15" x14ac:dyDescent="0.25">
      <c r="A12" s="964" t="s">
        <v>1768</v>
      </c>
      <c r="B12" s="964"/>
      <c r="C12" s="964"/>
      <c r="D12" s="964"/>
      <c r="E12" s="964"/>
      <c r="F12" s="964"/>
      <c r="G12" s="964"/>
      <c r="H12" s="964"/>
      <c r="I12" s="964"/>
      <c r="J12" s="964"/>
      <c r="K12" s="964"/>
      <c r="L12" s="964"/>
      <c r="M12" s="964"/>
      <c r="N12" s="964"/>
      <c r="O12" s="964"/>
    </row>
    <row r="13" ht="18" customHeight="1" spans="1:15" x14ac:dyDescent="0.25">
      <c r="A13" s="964" t="s">
        <v>217</v>
      </c>
      <c r="B13" s="964"/>
      <c r="C13" s="964"/>
      <c r="D13" s="964"/>
      <c r="E13" s="964"/>
      <c r="F13" s="964"/>
      <c r="G13" s="964"/>
      <c r="H13" s="964"/>
      <c r="I13" s="964"/>
      <c r="J13" s="964"/>
      <c r="K13" s="964"/>
      <c r="L13" s="964"/>
      <c r="M13" s="964"/>
      <c r="N13" s="964"/>
      <c r="O13" s="964"/>
    </row>
    <row r="14" ht="18" customHeight="1" spans="1:15" x14ac:dyDescent="0.25">
      <c r="A14" s="964"/>
      <c r="B14" s="964"/>
      <c r="C14" s="964"/>
      <c r="D14" s="964"/>
      <c r="E14" s="964"/>
      <c r="F14" s="964"/>
      <c r="G14" s="964"/>
      <c r="H14" s="964"/>
      <c r="I14" s="964"/>
      <c r="J14" s="964"/>
      <c r="K14" s="964"/>
      <c r="L14" s="964"/>
      <c r="M14" s="964"/>
      <c r="N14" s="964"/>
      <c r="O14" s="964"/>
    </row>
    <row r="15" ht="18" customHeight="1" spans="1:15" x14ac:dyDescent="0.25">
      <c r="A15" s="964"/>
      <c r="B15" s="964"/>
      <c r="C15" s="964"/>
      <c r="D15" s="964"/>
      <c r="E15" s="964"/>
      <c r="F15" s="964"/>
      <c r="G15" s="964"/>
      <c r="H15" s="964"/>
      <c r="I15" s="964"/>
      <c r="J15" s="964"/>
      <c r="K15" s="964"/>
      <c r="L15" s="964"/>
      <c r="M15" s="964"/>
      <c r="N15" s="964"/>
      <c r="O15" s="964"/>
    </row>
    <row r="16" ht="18" customHeight="1" spans="1:15" x14ac:dyDescent="0.25">
      <c r="A16" s="964"/>
      <c r="B16" s="964"/>
      <c r="C16" s="964"/>
      <c r="D16" s="964"/>
      <c r="E16" s="964"/>
      <c r="F16" s="964"/>
      <c r="G16" s="964"/>
      <c r="H16" s="964" t="s">
        <v>1073</v>
      </c>
      <c r="I16" s="964"/>
      <c r="J16" s="964"/>
      <c r="K16" s="964"/>
      <c r="L16" s="964"/>
      <c r="M16" s="964"/>
      <c r="N16" s="964"/>
      <c r="O16" s="964"/>
    </row>
    <row r="17" ht="18" customHeight="1" spans="1:15" x14ac:dyDescent="0.25">
      <c r="A17" s="964"/>
      <c r="B17" s="964"/>
      <c r="C17" s="964"/>
      <c r="D17" s="964"/>
      <c r="E17" s="964"/>
      <c r="F17" s="964"/>
      <c r="G17" s="964"/>
      <c r="H17" s="964"/>
      <c r="I17" s="964"/>
      <c r="J17" s="964"/>
      <c r="K17" s="964"/>
      <c r="L17" s="964"/>
      <c r="M17" s="964"/>
      <c r="N17" s="964"/>
      <c r="O17" s="964"/>
    </row>
    <row r="18" ht="18" customHeight="1" spans="1:15" x14ac:dyDescent="0.25">
      <c r="A18" s="969">
        <v>1</v>
      </c>
      <c r="B18" s="964" t="s">
        <v>1772</v>
      </c>
      <c r="C18" s="964"/>
      <c r="D18" s="964"/>
      <c r="E18" s="964"/>
      <c r="F18" s="964"/>
      <c r="G18" s="964"/>
      <c r="H18" s="964"/>
      <c r="I18" s="964"/>
      <c r="J18" s="964"/>
      <c r="K18" s="964"/>
      <c r="L18" s="964"/>
      <c r="M18" s="964"/>
      <c r="N18" s="964"/>
      <c r="O18" s="964"/>
    </row>
    <row r="19" ht="18" customHeight="1" spans="1:15" x14ac:dyDescent="0.25">
      <c r="A19" s="969"/>
      <c r="B19" s="964" t="s">
        <v>1773</v>
      </c>
      <c r="C19" s="964"/>
      <c r="D19" s="964"/>
      <c r="E19" s="964"/>
      <c r="F19" s="964"/>
      <c r="G19" s="964"/>
      <c r="H19" s="964"/>
      <c r="I19" s="964"/>
      <c r="J19" s="964"/>
      <c r="K19" s="964"/>
      <c r="L19" s="964"/>
      <c r="M19" s="964"/>
      <c r="N19" s="964"/>
      <c r="O19" s="964"/>
    </row>
    <row r="20" ht="18" customHeight="1" spans="1:15" x14ac:dyDescent="0.25">
      <c r="A20" s="969"/>
      <c r="B20" s="964" t="s">
        <v>1774</v>
      </c>
      <c r="C20" s="964"/>
      <c r="D20" s="964"/>
      <c r="E20" s="964"/>
      <c r="F20" s="964"/>
      <c r="G20" s="964"/>
      <c r="H20" s="964"/>
      <c r="I20" s="964"/>
      <c r="J20" s="964"/>
      <c r="K20" s="964"/>
      <c r="L20" s="964"/>
      <c r="M20" s="964"/>
      <c r="N20" s="964"/>
      <c r="O20" s="964"/>
    </row>
    <row r="21" ht="18" customHeight="1" spans="1:15" x14ac:dyDescent="0.25">
      <c r="A21" s="969"/>
      <c r="B21" s="964" t="s">
        <v>1775</v>
      </c>
      <c r="C21" s="964"/>
      <c r="D21" s="964"/>
      <c r="E21" s="964"/>
      <c r="F21" s="964"/>
      <c r="G21" s="964"/>
      <c r="H21" s="964"/>
      <c r="I21" s="964"/>
      <c r="J21" s="964"/>
      <c r="K21" s="964"/>
      <c r="L21" s="964"/>
      <c r="M21" s="964"/>
      <c r="N21" s="964"/>
      <c r="O21" s="964"/>
    </row>
    <row r="22" ht="18" customHeight="1" spans="1:15" x14ac:dyDescent="0.25">
      <c r="A22" s="969"/>
      <c r="B22" s="964" t="s">
        <v>1776</v>
      </c>
      <c r="C22" s="964"/>
      <c r="D22" s="964"/>
      <c r="E22" s="964"/>
      <c r="F22" s="964"/>
      <c r="G22" s="964"/>
      <c r="H22" s="964"/>
      <c r="I22" s="964"/>
      <c r="J22" s="964"/>
      <c r="K22" s="964"/>
      <c r="L22" s="964"/>
      <c r="M22" s="964"/>
      <c r="N22" s="964"/>
      <c r="O22" s="964"/>
    </row>
    <row r="23" ht="18" customHeight="1" spans="1:15" x14ac:dyDescent="0.25">
      <c r="A23" s="969"/>
      <c r="B23" s="964" t="s">
        <v>1777</v>
      </c>
      <c r="C23" s="964"/>
      <c r="D23" s="964"/>
      <c r="E23" s="964"/>
      <c r="F23" s="964"/>
      <c r="G23" s="964"/>
      <c r="H23" s="964"/>
      <c r="I23" s="964"/>
      <c r="J23" s="964"/>
      <c r="K23" s="964"/>
      <c r="L23" s="964"/>
      <c r="M23" s="964"/>
      <c r="N23" s="964"/>
      <c r="O23" s="964"/>
    </row>
    <row r="24" ht="18" customHeight="1" spans="1:15" x14ac:dyDescent="0.25">
      <c r="A24" s="969"/>
      <c r="B24" s="964"/>
      <c r="C24" s="964"/>
      <c r="D24" s="964"/>
      <c r="E24" s="964"/>
      <c r="F24" s="964"/>
      <c r="G24" s="964"/>
      <c r="H24" s="964"/>
      <c r="I24" s="964"/>
      <c r="J24" s="964"/>
      <c r="K24" s="964"/>
      <c r="L24" s="964"/>
      <c r="M24" s="964"/>
      <c r="N24" s="964"/>
      <c r="O24" s="964"/>
    </row>
    <row r="25" ht="18" customHeight="1" spans="1:15" x14ac:dyDescent="0.25">
      <c r="A25" s="969"/>
      <c r="B25" s="964"/>
      <c r="C25" s="964"/>
      <c r="D25" s="964"/>
      <c r="E25" s="964"/>
      <c r="F25" s="964"/>
      <c r="G25" s="964"/>
      <c r="H25" s="964"/>
      <c r="I25" s="964"/>
      <c r="J25" s="964"/>
      <c r="K25" s="964"/>
      <c r="L25" s="964"/>
      <c r="M25" s="964"/>
      <c r="N25" s="964"/>
      <c r="O25" s="964"/>
    </row>
    <row r="26" ht="18" customHeight="1" spans="1:15" x14ac:dyDescent="0.25">
      <c r="A26" s="969">
        <v>2</v>
      </c>
      <c r="B26" s="964" t="s">
        <v>1782</v>
      </c>
      <c r="C26" s="964"/>
      <c r="D26" s="964"/>
      <c r="E26" s="964"/>
      <c r="F26" s="964"/>
      <c r="G26" s="964"/>
      <c r="H26" s="964"/>
      <c r="I26" s="964"/>
      <c r="J26" s="964"/>
      <c r="K26" s="964"/>
      <c r="L26" s="964"/>
      <c r="M26" s="964"/>
      <c r="N26" s="964"/>
      <c r="O26" s="964"/>
    </row>
    <row r="27" ht="18" customHeight="1" spans="1:15" x14ac:dyDescent="0.25">
      <c r="A27" s="967"/>
      <c r="B27" s="964" t="s">
        <v>1783</v>
      </c>
      <c r="C27" s="964"/>
      <c r="D27" s="964"/>
      <c r="E27" s="964"/>
      <c r="F27" s="964"/>
      <c r="G27" s="964"/>
      <c r="H27" s="964"/>
      <c r="I27" s="964"/>
      <c r="J27" s="964"/>
      <c r="K27" s="964"/>
      <c r="L27" s="964"/>
      <c r="M27" s="964"/>
      <c r="N27" s="964"/>
      <c r="O27" s="964"/>
    </row>
    <row r="28" ht="18" customHeight="1" spans="1:15" x14ac:dyDescent="0.25">
      <c r="A28" s="969"/>
      <c r="B28" s="964"/>
      <c r="C28" s="964"/>
      <c r="D28" s="964"/>
      <c r="E28" s="964"/>
      <c r="F28" s="964"/>
      <c r="G28" s="964"/>
      <c r="H28" s="964"/>
      <c r="I28" s="964"/>
      <c r="J28" s="964"/>
      <c r="K28" s="964"/>
      <c r="L28" s="964"/>
      <c r="M28" s="964"/>
      <c r="N28" s="964"/>
      <c r="O28" s="964"/>
    </row>
    <row r="29" ht="18" customHeight="1" spans="1:15" x14ac:dyDescent="0.25">
      <c r="A29" s="967"/>
      <c r="B29" s="964"/>
      <c r="C29" s="964"/>
      <c r="D29" s="964"/>
      <c r="E29" s="964"/>
      <c r="F29" s="964"/>
      <c r="G29" s="964"/>
      <c r="H29" s="964"/>
      <c r="I29" s="964"/>
      <c r="J29" s="964"/>
      <c r="K29" s="964"/>
      <c r="L29" s="964"/>
      <c r="M29" s="964"/>
      <c r="N29" s="964" t="s">
        <v>943</v>
      </c>
      <c r="O29" s="964"/>
    </row>
    <row r="30" ht="18" customHeight="1" spans="1:15" x14ac:dyDescent="0.25">
      <c r="A30" s="964"/>
      <c r="B30" s="964"/>
      <c r="C30" s="964"/>
      <c r="D30" s="964"/>
      <c r="E30" s="964"/>
      <c r="F30" s="964"/>
      <c r="G30" s="964"/>
      <c r="H30" s="964"/>
      <c r="I30" s="964"/>
      <c r="J30" s="964"/>
      <c r="K30" s="964"/>
      <c r="L30" s="964"/>
      <c r="M30" s="964"/>
      <c r="N30" s="964"/>
      <c r="O30" s="964"/>
    </row>
    <row r="31" ht="18" customHeight="1" spans="1:15" x14ac:dyDescent="0.25">
      <c r="A31" s="964"/>
      <c r="B31" s="964"/>
      <c r="C31" s="964"/>
      <c r="D31" s="964"/>
      <c r="E31" s="964"/>
      <c r="F31" s="964"/>
      <c r="G31" s="964"/>
      <c r="H31" s="964"/>
      <c r="I31" s="964"/>
      <c r="J31" s="964"/>
      <c r="K31" s="964"/>
      <c r="L31" s="964"/>
      <c r="M31" s="964"/>
      <c r="N31" s="964"/>
      <c r="O31" s="964"/>
    </row>
    <row r="32" ht="18" customHeight="1" spans="1:15" x14ac:dyDescent="0.25">
      <c r="A32" s="964"/>
      <c r="B32" s="964">
        <f>初期入力!C13</f>
        <v>2025</v>
      </c>
      <c r="C32" s="967" t="s">
        <v>33</v>
      </c>
      <c r="D32" s="967">
        <f>初期入力!E13</f>
        <v>7</v>
      </c>
      <c r="E32" s="967" t="s">
        <v>34</v>
      </c>
      <c r="F32" s="967">
        <f>初期入力!G13</f>
        <v>25</v>
      </c>
      <c r="G32" s="967" t="s">
        <v>35</v>
      </c>
      <c r="H32" s="964"/>
      <c r="I32" s="964"/>
      <c r="J32" s="964"/>
      <c r="K32" s="964"/>
      <c r="L32" s="964"/>
      <c r="M32" s="964"/>
      <c r="N32" s="964"/>
      <c r="O32" s="964"/>
    </row>
    <row r="33" ht="18" customHeight="1" spans="1:15" x14ac:dyDescent="0.25">
      <c r="A33" s="964"/>
      <c r="B33" s="964"/>
      <c r="C33" s="964"/>
      <c r="D33" s="964"/>
      <c r="E33" s="964"/>
      <c r="F33" s="964"/>
      <c r="G33" s="964"/>
      <c r="H33" s="964"/>
      <c r="I33" s="964"/>
      <c r="J33" s="964"/>
      <c r="K33" s="964"/>
      <c r="L33" s="964"/>
      <c r="M33" s="964"/>
      <c r="N33" s="964"/>
      <c r="O33" s="964"/>
    </row>
    <row r="34" ht="18" customHeight="1" spans="1:15" x14ac:dyDescent="0.25">
      <c r="A34" s="964"/>
      <c r="B34" s="964"/>
      <c r="C34" s="964" t="s">
        <v>1536</v>
      </c>
      <c r="D34" s="964"/>
      <c r="E34" s="964"/>
      <c r="F34" s="972">
        <f>IF(初期入力!B5="","",初期入力!B5)</f>
      </c>
      <c r="G34" s="973"/>
      <c r="H34" s="973"/>
      <c r="I34" s="973"/>
      <c r="J34" s="973"/>
      <c r="K34" s="973"/>
      <c r="L34" s="973"/>
      <c r="M34" s="964"/>
      <c r="N34" s="964"/>
      <c r="O34" s="964"/>
    </row>
    <row r="35" ht="18" customHeight="1" spans="1:15" x14ac:dyDescent="0.25">
      <c r="A35" s="964"/>
      <c r="B35" s="964"/>
      <c r="C35" s="964"/>
      <c r="D35" s="964"/>
      <c r="E35" s="964"/>
      <c r="F35" s="964"/>
      <c r="G35" s="964"/>
      <c r="H35" s="964"/>
      <c r="I35" s="964"/>
      <c r="J35" s="964"/>
      <c r="K35" s="964"/>
      <c r="L35" s="964"/>
      <c r="M35" s="964"/>
      <c r="N35" s="964"/>
      <c r="O35" s="964"/>
    </row>
    <row r="36" ht="18" customHeight="1" spans="1:15" x14ac:dyDescent="0.25">
      <c r="A36" s="964"/>
      <c r="B36" s="964"/>
      <c r="C36" s="964"/>
      <c r="D36" s="964" t="s">
        <v>198</v>
      </c>
      <c r="E36" s="964"/>
      <c r="F36" s="974">
        <f>IF(初期入力!B4="","",初期入力!B4)</f>
      </c>
      <c r="G36" s="973"/>
      <c r="H36" s="973"/>
      <c r="I36" s="973"/>
      <c r="J36" s="973"/>
      <c r="K36" s="973"/>
      <c r="L36" s="973"/>
      <c r="M36" s="975" t="s">
        <v>222</v>
      </c>
      <c r="N36" s="964"/>
      <c r="O36" s="964"/>
    </row>
    <row r="37" ht="18" customHeight="1" spans="1:15" x14ac:dyDescent="0.25">
      <c r="A37" s="964"/>
      <c r="B37" s="964"/>
      <c r="C37" s="964"/>
      <c r="D37" s="964"/>
      <c r="E37" s="964"/>
      <c r="F37" s="964"/>
      <c r="G37" s="964"/>
      <c r="H37" s="964"/>
      <c r="I37" s="964"/>
      <c r="J37" s="964"/>
      <c r="K37" s="964"/>
      <c r="L37" s="964"/>
      <c r="M37" s="964"/>
      <c r="N37" s="964"/>
      <c r="O37" s="964"/>
    </row>
    <row r="38" ht="18" customHeight="1" spans="1:15" x14ac:dyDescent="0.25">
      <c r="A38" s="964"/>
      <c r="B38" s="964"/>
      <c r="C38" s="964" t="s">
        <v>1536</v>
      </c>
      <c r="D38" s="964"/>
      <c r="E38" s="964"/>
      <c r="F38" s="972">
        <f>IF(初期入力!B7="","",初期入力!B7)</f>
      </c>
      <c r="G38" s="973"/>
      <c r="H38" s="973"/>
      <c r="I38" s="973"/>
      <c r="J38" s="973"/>
      <c r="K38" s="973"/>
      <c r="L38" s="973"/>
      <c r="M38" s="964"/>
      <c r="N38" s="964"/>
      <c r="O38" s="964"/>
    </row>
    <row r="39" ht="18" customHeight="1" spans="1:15" x14ac:dyDescent="0.25">
      <c r="A39" s="964"/>
      <c r="B39" s="964"/>
      <c r="C39" s="964"/>
      <c r="D39" s="964"/>
      <c r="E39" s="964"/>
      <c r="F39" s="964"/>
      <c r="G39" s="964"/>
      <c r="H39" s="964"/>
      <c r="I39" s="964"/>
      <c r="J39" s="964"/>
      <c r="K39" s="964"/>
      <c r="L39" s="964"/>
      <c r="M39" s="964"/>
      <c r="N39" s="964"/>
      <c r="O39" s="964"/>
    </row>
    <row r="40" ht="18" customHeight="1" spans="1:15" x14ac:dyDescent="0.25">
      <c r="A40" s="964"/>
      <c r="B40" s="964"/>
      <c r="C40" s="964"/>
      <c r="D40" s="964" t="s">
        <v>198</v>
      </c>
      <c r="E40" s="964"/>
      <c r="F40" s="974">
        <f>IF(初期入力!B6="","",初期入力!B6)</f>
      </c>
      <c r="G40" s="973"/>
      <c r="H40" s="973"/>
      <c r="I40" s="973"/>
      <c r="J40" s="973"/>
      <c r="K40" s="973"/>
      <c r="L40" s="973"/>
      <c r="M40" s="975" t="s">
        <v>222</v>
      </c>
      <c r="N40" s="964"/>
      <c r="O40" s="964"/>
    </row>
    <row r="41" ht="18" customHeight="1" spans="1:15" x14ac:dyDescent="0.25">
      <c r="A41" s="964"/>
      <c r="B41" s="964"/>
      <c r="C41" s="964"/>
      <c r="D41" s="964"/>
      <c r="E41" s="964"/>
      <c r="F41" s="964"/>
      <c r="G41" s="964"/>
      <c r="H41" s="964"/>
      <c r="I41" s="964"/>
      <c r="J41" s="964"/>
      <c r="K41" s="964"/>
      <c r="L41" s="964"/>
      <c r="M41" s="964"/>
      <c r="N41" s="964"/>
      <c r="O41" s="964"/>
    </row>
    <row r="42" ht="18" customHeight="1" spans="1:15" x14ac:dyDescent="0.25">
      <c r="A42" s="964"/>
      <c r="B42" s="964"/>
      <c r="C42" s="964" t="s">
        <v>1784</v>
      </c>
      <c r="D42" s="964"/>
      <c r="E42" s="964"/>
      <c r="F42" s="974" t="s">
        <v>119</v>
      </c>
      <c r="G42" s="973"/>
      <c r="H42" s="973"/>
      <c r="I42" s="973"/>
      <c r="J42" s="973"/>
      <c r="K42" s="973"/>
      <c r="L42" s="973"/>
      <c r="M42" s="964"/>
      <c r="N42" s="964"/>
      <c r="O42" s="964"/>
    </row>
    <row r="43" ht="18" customHeight="1" spans="1:15" x14ac:dyDescent="0.25">
      <c r="A43" s="964"/>
      <c r="B43" s="964"/>
      <c r="C43" s="964"/>
      <c r="D43" s="964"/>
      <c r="E43" s="964"/>
      <c r="F43" s="964"/>
      <c r="G43" s="964"/>
      <c r="H43" s="964"/>
      <c r="I43" s="964"/>
      <c r="J43" s="964"/>
      <c r="K43" s="964"/>
      <c r="L43" s="964"/>
      <c r="M43" s="964"/>
      <c r="N43" s="964"/>
      <c r="O43" s="964"/>
    </row>
    <row r="44" ht="18" customHeight="1" spans="1:15" x14ac:dyDescent="0.25">
      <c r="A44" s="964"/>
      <c r="B44" s="964"/>
      <c r="C44" s="964"/>
      <c r="D44" s="964" t="s">
        <v>198</v>
      </c>
      <c r="E44" s="964"/>
      <c r="F44" s="976" t="s">
        <v>1068</v>
      </c>
      <c r="G44" s="976"/>
      <c r="H44" s="976"/>
      <c r="I44" s="976"/>
      <c r="J44" s="976"/>
      <c r="K44" s="976"/>
      <c r="L44" s="976"/>
      <c r="M44" s="975" t="s">
        <v>222</v>
      </c>
      <c r="N44" s="964"/>
      <c r="O44" s="964"/>
    </row>
    <row r="45" ht="18" customHeight="1" x14ac:dyDescent="0.25"/>
    <row r="46" ht="18" customHeight="1" x14ac:dyDescent="0.25"/>
    <row r="47" ht="18" customHeight="1" x14ac:dyDescent="0.25"/>
    <row r="48" ht="18" customHeight="1" x14ac:dyDescent="0.25"/>
  </sheetData>
  <mergeCells count="8">
    <mergeCell ref="C1:M1"/>
    <mergeCell ref="B4:D4"/>
    <mergeCell ref="E4:G4"/>
    <mergeCell ref="F34:L34"/>
    <mergeCell ref="F36:L36"/>
    <mergeCell ref="F38:L38"/>
    <mergeCell ref="F40:L40"/>
    <mergeCell ref="F42:L42"/>
  </mergeCells>
  <pageMargins left="0.7" right="0.7" top="0.75" bottom="0.75" header="0.3" footer="0.3"/>
  <pageSetup paperSize="9" orientation="portrait" horizontalDpi="4294967295" verticalDpi="4294967295" scale="90" fitToWidth="1" fitToHeight="1" firstPageNumber="1" useFirstPageNumber="1" copies="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
  <sheetViews>
    <sheetView workbookViewId="0" zoomScale="70" zoomScaleNormal="100" view="pageBreakPreview">
      <selection activeCell="D3" sqref="D3"/>
    </sheetView>
  </sheetViews>
  <sheetFormatPr defaultRowHeight="39" outlineLevelRow="0" outlineLevelCol="0" x14ac:dyDescent="0" defaultColWidth="9.28515625" customHeight="1"/>
  <cols>
    <col min="1" max="2" width="3.7109375" style="783" customWidth="1"/>
    <col min="3" max="3" width="17.7109375" style="784" customWidth="1"/>
    <col min="4" max="4" width="55.7109375" style="784" customWidth="1"/>
    <col min="5" max="5" width="26.5703125" style="784" customWidth="1"/>
    <col min="6" max="6" width="59.42578125" style="784" customWidth="1"/>
    <col min="7" max="7" width="5.7109375" style="784" customWidth="1"/>
    <col min="8" max="8" width="4.42578125" style="784" customWidth="1"/>
    <col min="9" max="12" width="9.28515625" style="784" customWidth="1"/>
    <col min="13" max="13" width="15.28515625" style="784" customWidth="1"/>
    <col min="14" max="16384" width="9.28515625" style="784" customWidth="1"/>
  </cols>
  <sheetData>
    <row r="1" ht="24" customHeight="1" spans="1:13" x14ac:dyDescent="0.25">
      <c r="A1" s="785"/>
      <c r="B1" s="786"/>
      <c r="C1" s="787"/>
      <c r="D1" s="788" t="s">
        <v>1726</v>
      </c>
      <c r="E1" s="787" t="s">
        <v>1634</v>
      </c>
      <c r="F1" s="787"/>
      <c r="G1" s="789"/>
      <c r="I1" s="790" t="s">
        <v>1635</v>
      </c>
      <c r="J1" s="790"/>
      <c r="K1" s="790"/>
      <c r="L1" s="790"/>
      <c r="M1" s="790"/>
    </row>
    <row r="2" ht="21" customHeight="1" spans="1:13" x14ac:dyDescent="0.25">
      <c r="A2" s="791"/>
      <c r="B2" s="792"/>
      <c r="C2" s="793" t="s">
        <v>1597</v>
      </c>
      <c r="D2" s="794" t="s">
        <v>1636</v>
      </c>
      <c r="E2" s="795"/>
      <c r="F2" s="791" t="s">
        <v>948</v>
      </c>
      <c r="G2" s="796"/>
      <c r="I2" s="790"/>
      <c r="J2" s="790"/>
      <c r="K2" s="790"/>
      <c r="L2" s="790"/>
      <c r="M2" s="790"/>
    </row>
    <row r="3" ht="35.1" customHeight="1" spans="1:13" x14ac:dyDescent="0.25">
      <c r="A3" s="797" t="s">
        <v>1637</v>
      </c>
      <c r="B3" s="798">
        <v>1</v>
      </c>
      <c r="C3" s="799" t="s">
        <v>1638</v>
      </c>
      <c r="D3" s="800" t="e">
        <f>IF($D$1="LACIE",VLOOKUP(C3,#REF!,2,FALSE),IF($D$1="LIFE+",VLOOKUP(C3,#REF!,2,FALSE),IF($D$1="LIFE",VLOOKUP(C3,#REF!,2,FALSE),IF($D$1="BASE",VLOOKUP(C3,#REF!,2,FALSE),IF($D$1="LIFE+（キャンペーン）",VLOOKUP(C3,#REF!,2,FALSE),IF($D$1="LIFE（キャンペーン）",VLOOKUP(C3,#REF!,2,FALSE),IF($D$1="LIFE+（キャンペーン）",VLOOKUP(C3,#REF!,2,FALSE),IF($D$1="LIFE（キャンペーン）",VLOOKUP(C3,#REF!,2,FALSE)))))))))</f>
        <v>#REF!</v>
      </c>
      <c r="E3" s="801"/>
      <c r="F3" s="802" t="e">
        <f>IF($D$1="LACIE",VLOOKUP(C3,#REF!,3,FALSE),IF($D$1="LIFE+",VLOOKUP(C3,#REF!,3,FALSE),IF($D$1="LIFE",VLOOKUP(C3,#REF!,3,FALSE),IF($D$1="BASE",VLOOKUP(C3,#REF!,3,FALSE),IF($D$1="LIFE+（キャンペーン）",VLOOKUP(C3,#REF!,3,FALSE),IF($D$1="LIFE（キャンペーン）",VLOOKUP(C3,#REF!,3,FALSE)))))))</f>
        <v>#REF!</v>
      </c>
      <c r="G3" s="803"/>
      <c r="I3" s="790"/>
      <c r="J3" s="790"/>
      <c r="K3" s="790"/>
      <c r="L3" s="790"/>
      <c r="M3" s="790"/>
    </row>
    <row r="4" ht="83.25" customHeight="1" spans="1:7" x14ac:dyDescent="0.25">
      <c r="A4" s="804" t="s">
        <v>1637</v>
      </c>
      <c r="B4" s="805">
        <v>2</v>
      </c>
      <c r="C4" s="806" t="s">
        <v>1639</v>
      </c>
      <c r="D4" s="807" t="e">
        <f>IF($D$1="LACIE",VLOOKUP(C4,#REF!,2,FALSE),IF($D$1="LIFE+",VLOOKUP(C4,#REF!,2,FALSE),IF($D$1="LIFE",VLOOKUP(C4,#REF!,2,FALSE),IF($D$1="BASE",VLOOKUP(C4,#REF!,2,FALSE),IF($D$1="LIFE+（キャンペーン）",VLOOKUP(C4,#REF!,2,FALSE),IF($D$1="LIFE（キャンペーン）",VLOOKUP(C4,#REF!,2,FALSE)))))))</f>
        <v>#REF!</v>
      </c>
      <c r="E4" s="808"/>
      <c r="F4" s="809" t="e">
        <f>IF($D$1="LACIE",VLOOKUP(C4,#REF!,3,FALSE),IF($D$1="LIFE+",VLOOKUP(C4,#REF!,3,FALSE),IF($D$1="LIFE",VLOOKUP(C4,#REF!,3,FALSE),IF($D$1="BASE",VLOOKUP(C4,#REF!,3,FALSE),IF($D$1="LIFE+（キャンペーン）",VLOOKUP(C4,#REF!,3,FALSE),IF($D$1="LIFE（キャンペーン）",VLOOKUP(C4,#REF!,3,FALSE)))))))</f>
        <v>#REF!</v>
      </c>
      <c r="G4" s="810"/>
    </row>
    <row r="5" ht="35.1" customHeight="1" spans="1:7" x14ac:dyDescent="0.25">
      <c r="A5" s="804" t="s">
        <v>1637</v>
      </c>
      <c r="B5" s="805">
        <v>3</v>
      </c>
      <c r="C5" s="806" t="s">
        <v>1640</v>
      </c>
      <c r="D5" s="807" t="e">
        <f>IF($D$1="LACIE",VLOOKUP(C5,#REF!,2,FALSE),IF($D$1="LIFE+",VLOOKUP(C5,#REF!,2,FALSE),IF($D$1="LIFE",VLOOKUP(C5,#REF!,2,FALSE),IF($D$1="BASE",VLOOKUP(C5,#REF!,2,FALSE),IF($D$1="LIFE+（キャンペーン）",VLOOKUP(C5,#REF!,2,FALSE),IF($D$1="LIFE（キャンペーン）",VLOOKUP(C5,#REF!,2,FALSE)))))))</f>
        <v>#REF!</v>
      </c>
      <c r="E5" s="808"/>
      <c r="F5" s="809" t="e">
        <f>IF($D$1="LACIE",VLOOKUP(C5,#REF!,3,FALSE),IF($D$1="LIFE+",VLOOKUP(C5,#REF!,3,FALSE),IF($D$1="LIFE",VLOOKUP(C5,#REF!,3,FALSE),IF($D$1="BASE",VLOOKUP(C5,#REF!,3,FALSE),IF($D$1="LIFE+（キャンペーン）",VLOOKUP(C5,#REF!,3,FALSE),IF($D$1="LIFE（キャンペーン）",VLOOKUP(C5,#REF!,3,FALSE)))))))</f>
        <v>#REF!</v>
      </c>
      <c r="G5" s="810"/>
    </row>
    <row r="6" ht="76.5" customHeight="1" spans="1:7" x14ac:dyDescent="0.25">
      <c r="A6" s="804" t="s">
        <v>1637</v>
      </c>
      <c r="B6" s="805">
        <v>4</v>
      </c>
      <c r="C6" s="806" t="str">
        <f>IF(OR($D$1="LIFE+（キャンペーン）",$D$1="LIFE（キャンペーン）"),"打ち合わせ
期間")</f>
        <v>打ち合わせ
期間</v>
      </c>
      <c r="D6" s="807" t="e">
        <f>IF($D$1="LACIE",VLOOKUP(C6,#REF!,2,FALSE),IF($D$1="LIFE+",VLOOKUP(C6,#REF!,2,FALSE),IF($D$1="LIFE",VLOOKUP(C6,#REF!,2,FALSE),IF($D$1="BASE",VLOOKUP(C6,#REF!,2,FALSE),IF($D$1="LIFE+（キャンペーン）",VLOOKUP(C6,#REF!,2,FALSE),IF($D$1="LIFE（キャンペーン）",VLOOKUP(C6,#REF!,2,FALSE)))))))</f>
        <v>#REF!</v>
      </c>
      <c r="E6" s="808"/>
      <c r="F6" s="809" t="e">
        <f>IF($D$1="LACIE",VLOOKUP(C6,#REF!,3,FALSE),IF($D$1="LIFE+",VLOOKUP(C6,#REF!,3,FALSE),IF($D$1="LIFE",VLOOKUP(C6,#REF!,3,FALSE),IF($D$1="BASE",VLOOKUP(C6,#REF!,3,FALSE),IF($D$1="LIFE+（キャンペーン）",VLOOKUP(C6,#REF!,3,FALSE),IF($D$1="LIFE（キャンペーン）",VLOOKUP(C6,#REF!,3,FALSE)))))))</f>
        <v>#REF!</v>
      </c>
      <c r="G6" s="810"/>
    </row>
    <row r="7" ht="35.1" customHeight="1" spans="1:7" x14ac:dyDescent="0.25">
      <c r="A7" s="804" t="s">
        <v>1637</v>
      </c>
      <c r="B7" s="805">
        <v>5</v>
      </c>
      <c r="C7" s="806" t="s">
        <v>1641</v>
      </c>
      <c r="D7" s="807" t="e">
        <f>IF($D$1="LACIE",VLOOKUP(C7,#REF!,2,FALSE),IF($D$1="LIFE+",VLOOKUP(C7,#REF!,2,FALSE),IF($D$1="LIFE",VLOOKUP(C7,#REF!,2,FALSE),IF($D$1="BASE",VLOOKUP(C7,#REF!,2,FALSE),IF($D$1="LIFE+（キャンペーン）",VLOOKUP(C7,#REF!,2,FALSE),IF($D$1="LIFE（キャンペーン）",VLOOKUP(C7,#REF!,2,FALSE)))))))</f>
        <v>#REF!</v>
      </c>
      <c r="E7" s="808"/>
      <c r="F7" s="809" t="e">
        <f>(IF($D$1="LACIE",VLOOKUP(C7,#REF!,3,FALSE),IF($D$1="LIFE+",VLOOKUP(C7,#REF!,3,FALSE),IF($D$1="LIFE",VLOOKUP(C7,#REF!,3,FALSE),IF($D$1="BASE",VLOOKUP(C7,#REF!,3,FALSE),IF($D$1="LIFE+（キャンペーン）",VLOOKUP(C7,#REF!,3,FALSE),IF($D$1="LIFE（キャンペーン）",VLOOKUP(C7,#REF!,3,FALSE))))))))</f>
        <v>#REF!</v>
      </c>
      <c r="G7" s="810"/>
    </row>
    <row r="8" ht="59.65" customHeight="1" spans="1:7" x14ac:dyDescent="0.25">
      <c r="A8" s="804" t="s">
        <v>1637</v>
      </c>
      <c r="B8" s="805">
        <v>6</v>
      </c>
      <c r="C8" s="806" t="s">
        <v>1642</v>
      </c>
      <c r="D8" s="807" t="e">
        <f>IF($D$1="LACIE",VLOOKUP(C8,#REF!,2,FALSE),IF($D$1="LIFE+",VLOOKUP(C8,#REF!,2,FALSE),IF($D$1="LIFE",VLOOKUP(C8,#REF!,2,FALSE),IF($D$1="BASE",VLOOKUP(C8,#REF!,2,FALSE),IF($D$1="LIFE+（キャンペーン）",VLOOKUP(C8,#REF!,2,FALSE),IF($D$1="LIFE（キャンペーン）",VLOOKUP(C8,#REF!,2,FALSE)))))))</f>
        <v>#REF!</v>
      </c>
      <c r="E8" s="808"/>
      <c r="F8" s="809" t="e">
        <f>IF($D$1="LACIE",VLOOKUP(C8,#REF!,3,FALSE),IF($D$1="LIFE+",VLOOKUP(C8,#REF!,3,FALSE),IF($D$1="LIFE",VLOOKUP(C8,#REF!,3,FALSE),IF($D$1="BASE",VLOOKUP(C8,#REF!,3,FALSE),IF($D$1="LIFE+（キャンペーン）",VLOOKUP(C8,#REF!,3,FALSE),IF($D$1="LIFE（キャンペーン）",VLOOKUP(C8,#REF!,3,FALSE)))))))</f>
        <v>#REF!</v>
      </c>
      <c r="G8" s="810"/>
    </row>
    <row r="9" ht="35.1" customHeight="1" spans="1:7" x14ac:dyDescent="0.25">
      <c r="A9" s="804" t="s">
        <v>1637</v>
      </c>
      <c r="B9" s="805">
        <v>7</v>
      </c>
      <c r="C9" s="806" t="s">
        <v>1643</v>
      </c>
      <c r="D9" s="807" t="e">
        <f>IF($D$1="LACIE",VLOOKUP(C9,#REF!,2,FALSE),IF($D$1="LIFE+",VLOOKUP(C9,#REF!,2,FALSE),IF($D$1="LIFE",VLOOKUP(C9,#REF!,2,FALSE),IF($D$1="BASE",VLOOKUP(C9,#REF!,2,FALSE),IF($D$1="LIFE+（キャンペーン）",VLOOKUP(C9,#REF!,2,FALSE),IF($D$1="LIFE（キャンペーン）",VLOOKUP(C9,#REF!,2,FALSE)))))))</f>
        <v>#REF!</v>
      </c>
      <c r="E9" s="808"/>
      <c r="F9" s="809" t="e">
        <f>IF($D$1="LACIE",VLOOKUP(C9,#REF!,3,FALSE),IF($D$1="LIFE+",VLOOKUP(C9,#REF!,3,FALSE),IF($D$1="LIFE",VLOOKUP(C9,#REF!,3,FALSE),IF($D$1="BASE",VLOOKUP(C9,#REF!,3,FALSE),IF($D$1="LIFE+（キャンペーン）",VLOOKUP(C9,#REF!,3,FALSE),IF($D$1="LIFE（キャンペーン）",VLOOKUP(C9,#REF!,3,FALSE)))))))</f>
        <v>#REF!</v>
      </c>
      <c r="G9" s="810"/>
    </row>
    <row r="10" ht="54" customHeight="1" spans="1:7" x14ac:dyDescent="0.25">
      <c r="A10" s="804" t="s">
        <v>1637</v>
      </c>
      <c r="B10" s="805">
        <v>8</v>
      </c>
      <c r="C10" s="806" t="s">
        <v>1644</v>
      </c>
      <c r="D10" s="807" t="e">
        <f>IF($D$1="LACIE",VLOOKUP(C10,#REF!,2,FALSE),IF($D$1="LIFE+",VLOOKUP(C10,#REF!,2,FALSE),IF($D$1="LIFE",VLOOKUP(C10,#REF!,2,FALSE),IF($D$1="BASE",VLOOKUP(C10,#REF!,2,FALSE),IF($D$1="LIFE+（キャンペーン）",VLOOKUP(C10,#REF!,2,FALSE),IF($D$1="LIFE（キャンペーン）",VLOOKUP(C10,#REF!,2,FALSE)))))))</f>
        <v>#REF!</v>
      </c>
      <c r="E10" s="808"/>
      <c r="F10" s="809" t="e">
        <f>IF($D$1="LACIE",VLOOKUP(C10,#REF!,3,FALSE),IF($D$1="LIFE+",VLOOKUP(C10,#REF!,3,FALSE),IF($D$1="LIFE",VLOOKUP(C10,#REF!,3,FALSE),IF($D$1="BASE",VLOOKUP(C10,#REF!,3,FALSE),IF($D$1="LIFE+（キャンペーン）",VLOOKUP(C10,#REF!,3,FALSE),IF($D$1="LIFE（キャンペーン）",VLOOKUP(C10,#REF!,3,FALSE)))))))</f>
        <v>#REF!</v>
      </c>
      <c r="G10" s="810"/>
    </row>
    <row r="11" ht="43.5" customHeight="1" spans="1:7" x14ac:dyDescent="0.25">
      <c r="A11" s="804" t="s">
        <v>1637</v>
      </c>
      <c r="B11" s="805">
        <v>9</v>
      </c>
      <c r="C11" s="811" t="s">
        <v>772</v>
      </c>
      <c r="D11" s="809" t="e">
        <f>IF($D$1="LACIE",VLOOKUP(C11,#REF!,2,FALSE),IF($D$1="LIFE+",VLOOKUP(C11,#REF!,2,FALSE),IF($D$1="LIFE",VLOOKUP(C11,#REF!,2,FALSE),IF($D$1="BASE",VLOOKUP(C11,#REF!,2,FALSE),IF($D$1="LIFE+（キャンペーン）",VLOOKUP(C11,#REF!,2,FALSE),IF($D$1="LIFE（キャンペーン）",VLOOKUP(C11,#REF!,2,FALSE)))))))</f>
        <v>#REF!</v>
      </c>
      <c r="E11" s="810"/>
      <c r="F11" s="809" t="e">
        <f>IF($D$1="LACIE",VLOOKUP(C11,#REF!,3,FALSE),IF($D$1="LIFE+",VLOOKUP(C11,#REF!,3,FALSE),IF($D$1="LIFE",VLOOKUP(C11,#REF!,3,FALSE),IF($D$1="BASE",VLOOKUP(C11,#REF!,3,FALSE),IF($D$1="LIFE+（キャンペーン）",VLOOKUP(C11,#REF!,3,FALSE),IF($D$1="LIFE（キャンペーン）",VLOOKUP(C11,#REF!,3,FALSE)))))))</f>
        <v>#REF!</v>
      </c>
      <c r="G11" s="810"/>
    </row>
    <row r="12" ht="35.1" customHeight="1" spans="1:7" x14ac:dyDescent="0.25">
      <c r="A12" s="804" t="s">
        <v>1637</v>
      </c>
      <c r="B12" s="805">
        <v>10</v>
      </c>
      <c r="C12" s="812" t="s">
        <v>1645</v>
      </c>
      <c r="D12" s="807" t="e">
        <f>IF($D$1="LACIE",VLOOKUP(C12,#REF!,2,FALSE),IF($D$1="LIFE+",VLOOKUP(C12,#REF!,2,FALSE),IF($D$1="LIFE",VLOOKUP(C12,#REF!,2,FALSE),IF($D$1="BASE",VLOOKUP(C12,#REF!,2,FALSE),IF($D$1="LIFE+（キャンペーン）",VLOOKUP(C12,#REF!,2,FALSE),IF($D$1="LIFE（キャンペーン）",VLOOKUP(C12,#REF!,2,FALSE)))))))</f>
        <v>#REF!</v>
      </c>
      <c r="E12" s="808"/>
      <c r="F12" s="809"/>
      <c r="G12" s="810"/>
    </row>
    <row r="13" ht="40.5" customHeight="1" spans="1:7" x14ac:dyDescent="0.25">
      <c r="A13" s="804" t="s">
        <v>1637</v>
      </c>
      <c r="B13" s="805">
        <v>11</v>
      </c>
      <c r="C13" s="812" t="s">
        <v>1646</v>
      </c>
      <c r="D13" s="807" t="e">
        <f>IF($D$1="LACIE",VLOOKUP(C13,#REF!,2,FALSE),IF($D$1="LIFE+",VLOOKUP(C13,#REF!,2,FALSE),IF($D$1="LIFE",VLOOKUP(C13,#REF!,2,FALSE),IF($D$1="BASE",VLOOKUP(C13,#REF!,2,FALSE),IF($D$1="LIFE+（キャンペーン）",VLOOKUP(C13,#REF!,2,FALSE),IF($D$1="LIFE（キャンペーン）",VLOOKUP(C13,#REF!,2,FALSE)))))))</f>
        <v>#REF!</v>
      </c>
      <c r="E13" s="808"/>
      <c r="F13" s="809" t="e">
        <f>IF($D$1="LACIE",VLOOKUP(C13,#REF!,3,FALSE),IF($D$1="LIFE+",VLOOKUP(C13,#REF!,3,FALSE),IF($D$1="LIFE",VLOOKUP(C13,#REF!,3,FALSE),IF($D$1="BASE",VLOOKUP(C13,#REF!,3,FALSE),IF($D$1="LIFE+（キャンペーン）",VLOOKUP(C13,#REF!,3,FALSE),IF($D$1="LIFE（キャンペーン）",VLOOKUP(C13,#REF!,3,FALSE)))))))</f>
        <v>#REF!</v>
      </c>
      <c r="G13" s="810"/>
    </row>
    <row r="14" ht="46.5" customHeight="1" spans="1:7" x14ac:dyDescent="0.25">
      <c r="A14" s="804" t="s">
        <v>1637</v>
      </c>
      <c r="B14" s="805">
        <v>12</v>
      </c>
      <c r="C14" s="811" t="s">
        <v>1647</v>
      </c>
      <c r="D14" s="809" t="e">
        <f>IF($D$1="LACIE",VLOOKUP(C14,#REF!,2,FALSE),IF($D$1="LIFE+",VLOOKUP(C14,#REF!,2,FALSE),IF($D$1="LIFE",VLOOKUP(C14,#REF!,2,FALSE),IF($D$1="BASE",VLOOKUP(C14,#REF!,2,FALSE),IF($D$1="LIFE+（キャンペーン）",VLOOKUP(C14,#REF!,2,FALSE),IF($D$1="LIFE（キャンペーン）",VLOOKUP(C14,#REF!,2,FALSE)))))))</f>
        <v>#REF!</v>
      </c>
      <c r="E14" s="810"/>
      <c r="F14" s="809" t="e">
        <f>IF($D$1="LACIE",VLOOKUP(C14,#REF!,3,FALSE),IF($D$1="LIFE+",VLOOKUP(C14,#REF!,3,FALSE),IF($D$1="LIFE",VLOOKUP(C14,#REF!,3,FALSE),IF($D$1="BASE",VLOOKUP(C14,#REF!,3,FALSE),IF($D$1="LIFE+（キャンペーン）",VLOOKUP(C14,#REF!,3,FALSE),IF($D$1="LIFE（キャンペーン）",VLOOKUP(C14,#REF!,3,FALSE)))))))</f>
        <v>#REF!</v>
      </c>
      <c r="G14" s="810"/>
    </row>
    <row r="15" ht="38.25" customHeight="1" spans="1:7" x14ac:dyDescent="0.25">
      <c r="A15" s="804" t="s">
        <v>1637</v>
      </c>
      <c r="B15" s="805">
        <v>13</v>
      </c>
      <c r="C15" s="811" t="s">
        <v>1648</v>
      </c>
      <c r="D15" s="807" t="e">
        <f>IF($D$1="LACIE",VLOOKUP(C15,#REF!,2,FALSE),IF($D$1="LIFE+",VLOOKUP(C15,#REF!,2,FALSE),IF($D$1="LIFE",VLOOKUP(C15,#REF!,2,FALSE),IF($D$1="BASE",VLOOKUP(C15,#REF!,2,FALSE),IF($D$1="LIFE+（キャンペーン）",VLOOKUP(C15,#REF!,2,FALSE),IF($D$1="LIFE（キャンペーン）",VLOOKUP(C15,#REF!,2,FALSE)))))))</f>
        <v>#REF!</v>
      </c>
      <c r="E15" s="808"/>
      <c r="F15" s="809" t="e">
        <f>IF($D$1="LACIE",VLOOKUP(C15,#REF!,3,FALSE),IF($D$1="LIFE+",VLOOKUP(C15,#REF!,3,FALSE),IF($D$1="LIFE",VLOOKUP(C15,#REF!,3,FALSE),IF($D$1="BASE",VLOOKUP(C15,#REF!,3,FALSE),IF($D$1="LIFE+（キャンペーン）",VLOOKUP(C15,#REF!,3,FALSE),IF($D$1="LIFE（キャンペーン）",VLOOKUP(C15,#REF!,3,FALSE)))))))</f>
        <v>#REF!</v>
      </c>
      <c r="G15" s="810"/>
    </row>
    <row r="16" ht="35.1" customHeight="1" spans="1:7" x14ac:dyDescent="0.25">
      <c r="A16" s="804" t="s">
        <v>1637</v>
      </c>
      <c r="B16" s="805">
        <v>14</v>
      </c>
      <c r="C16" s="811" t="s">
        <v>1649</v>
      </c>
      <c r="D16" s="807" t="e">
        <f>IF($D$1="LACIE",VLOOKUP(C16,#REF!,2,FALSE),IF($D$1="LIFE+",VLOOKUP(C16,#REF!,2,FALSE),IF($D$1="LIFE",VLOOKUP(C16,#REF!,2,FALSE),IF($D$1="BASE",VLOOKUP(C16,#REF!,2,FALSE),IF($D$1="LIFE+（キャンペーン）",VLOOKUP(C16,#REF!,2,FALSE),IF($D$1="LIFE（キャンペーン）",VLOOKUP(C16,#REF!,2,FALSE)))))))</f>
        <v>#REF!</v>
      </c>
      <c r="E16" s="808"/>
      <c r="F16" s="809" t="e">
        <f>IF($D$1="LACIE",VLOOKUP(C16,#REF!,3,FALSE),IF($D$1="LIFE+",VLOOKUP(C16,#REF!,3,FALSE),IF($D$1="LIFE",VLOOKUP(C16,#REF!,3,FALSE),IF($D$1="BASE",VLOOKUP(C16,#REF!,3,FALSE),IF($D$1="LIFE+（キャンペーン）",VLOOKUP(C16,#REF!,3,FALSE),IF($D$1="LIFE（キャンペーン）",VLOOKUP(C16,#REF!,3,FALSE)))))))</f>
        <v>#REF!</v>
      </c>
      <c r="G16" s="810"/>
    </row>
    <row r="17" ht="35.1" customHeight="1" spans="1:7" x14ac:dyDescent="0.25">
      <c r="A17" s="804" t="s">
        <v>1637</v>
      </c>
      <c r="B17" s="805">
        <v>15</v>
      </c>
      <c r="C17" s="811" t="s">
        <v>1650</v>
      </c>
      <c r="D17" s="807" t="e">
        <f>IF($D$1="LACIE",VLOOKUP(C17,#REF!,2,FALSE),IF($D$1="LIFE+",VLOOKUP(C17,#REF!,2,FALSE),IF($D$1="LIFE",VLOOKUP(C17,#REF!,2,FALSE),IF($D$1="BASE",VLOOKUP(C17,#REF!,2,FALSE),IF($D$1="LIFE+（キャンペーン）",VLOOKUP(C17,#REF!,2,FALSE),IF($D$1="LIFE（キャンペーン）",VLOOKUP(C17,#REF!,2,FALSE)))))))</f>
        <v>#REF!</v>
      </c>
      <c r="E17" s="808"/>
      <c r="F17" s="809" t="e">
        <f>IF($D$1="LACIE",VLOOKUP(C17,#REF!,3,FALSE),IF($D$1="LIFE+",VLOOKUP(C17,#REF!,3,FALSE),IF($D$1="LIFE",VLOOKUP(C17,#REF!,3,FALSE),IF($D$1="BASE",VLOOKUP(C17,#REF!,3,FALSE),IF($D$1="LIFE+（キャンペーン）",VLOOKUP(C17,#REF!,3,FALSE),IF($D$1="LIFE（キャンペーン）",VLOOKUP(C17,#REF!,3,FALSE)))))))</f>
        <v>#REF!</v>
      </c>
      <c r="G17" s="810"/>
    </row>
    <row r="18" ht="56.1" customHeight="1" spans="1:7" x14ac:dyDescent="0.25">
      <c r="A18" s="804" t="s">
        <v>1637</v>
      </c>
      <c r="B18" s="805">
        <v>16</v>
      </c>
      <c r="C18" s="811" t="s">
        <v>1651</v>
      </c>
      <c r="D18" s="807" t="e">
        <f>IF($D$1="LACIE",VLOOKUP(C18,#REF!,2,FALSE),IF($D$1="LIFE+",VLOOKUP(C18,#REF!,2,FALSE),IF($D$1="LIFE",VLOOKUP(C18,#REF!,2,FALSE),IF($D$1="BASE",VLOOKUP(C18,#REF!,2,FALSE),IF($D$1="LIFE+（キャンペーン）",VLOOKUP(C18,#REF!,2,FALSE),IF($D$1="LIFE（キャンペーン）",VLOOKUP(C18,#REF!,2,FALSE)))))))</f>
        <v>#REF!</v>
      </c>
      <c r="E18" s="808"/>
      <c r="F18" s="809" t="e">
        <f>IF($D$1="LACIE",VLOOKUP(C18,#REF!,3,FALSE),IF($D$1="LIFE+",VLOOKUP(C18,#REF!,3,FALSE),IF($D$1="LIFE",VLOOKUP(C18,#REF!,3,FALSE),IF($D$1="BASE",VLOOKUP(C18,#REF!,3,FALSE),IF($D$1="LIFE+（キャンペーン）",VLOOKUP(C18,#REF!,3,FALSE),IF($D$1="LIFE（キャンペーン）",VLOOKUP(C18,#REF!,3,FALSE)))))))</f>
        <v>#REF!</v>
      </c>
      <c r="G18" s="810"/>
    </row>
    <row r="19" ht="35.1" customHeight="1" spans="1:7" x14ac:dyDescent="0.25">
      <c r="A19" s="804" t="s">
        <v>1637</v>
      </c>
      <c r="B19" s="805">
        <v>17</v>
      </c>
      <c r="C19" s="811" t="s">
        <v>1652</v>
      </c>
      <c r="D19" s="807" t="e">
        <f>IF($D$1="LACIE",VLOOKUP(C19,#REF!,2,FALSE),IF($D$1="LIFE+",VLOOKUP(C19,#REF!,2,FALSE),IF($D$1="LIFE",VLOOKUP(C19,#REF!,2,FALSE),IF($D$1="BASE",VLOOKUP(C19,#REF!,2,FALSE),IF($D$1="LIFE+（キャンペーン）",VLOOKUP(C19,#REF!,2,FALSE),IF($D$1="LIFE（キャンペーン）",VLOOKUP(C19,#REF!,2,FALSE)))))))</f>
        <v>#REF!</v>
      </c>
      <c r="E19" s="808"/>
      <c r="F19" s="809" t="e">
        <f>IF($D$1="LACIE",VLOOKUP(C19,#REF!,3,FALSE),IF($D$1="LIFE+",VLOOKUP(C19,#REF!,3,FALSE),IF($D$1="LIFE",VLOOKUP(C19,#REF!,3,FALSE),IF($D$1="BASE",VLOOKUP(C19,#REF!,3,FALSE),IF($D$1="LIFE+（キャンペーン）",VLOOKUP(C19,#REF!,3,FALSE),IF($D$1="LIFE（キャンペーン）",VLOOKUP(C19,#REF!,3,FALSE)))))))</f>
        <v>#REF!</v>
      </c>
      <c r="G19" s="810"/>
    </row>
    <row r="20" ht="35.1" customHeight="1" spans="1:7" x14ac:dyDescent="0.25">
      <c r="A20" s="804" t="s">
        <v>1637</v>
      </c>
      <c r="B20" s="805">
        <v>18</v>
      </c>
      <c r="C20" s="811" t="s">
        <v>1653</v>
      </c>
      <c r="D20" s="807" t="e">
        <f>IF($D$1="LACIE",VLOOKUP(C20,#REF!,2,FALSE),IF($D$1="LIFE+",VLOOKUP(C20,#REF!,2,FALSE),IF($D$1="LIFE",VLOOKUP(C20,#REF!,2,FALSE),IF($D$1="BASE",VLOOKUP(C20,#REF!,2,FALSE),IF($D$1="LIFE+（キャンペーン）",VLOOKUP(C20,#REF!,2,FALSE),IF($D$1="LIFE（キャンペーン）",VLOOKUP(C20,#REF!,2,FALSE)))))))</f>
        <v>#REF!</v>
      </c>
      <c r="E20" s="808"/>
      <c r="F20" s="809" t="e">
        <f>IF($D$1="LACIE",VLOOKUP(C20,#REF!,3,FALSE),IF($D$1="LIFE+",VLOOKUP(C20,#REF!,3,FALSE),IF($D$1="LIFE",VLOOKUP(C20,#REF!,3,FALSE),IF($D$1="BASE",VLOOKUP(C20,#REF!,3,FALSE),IF($D$1="LIFE+（キャンペーン）",VLOOKUP(C20,#REF!,3,FALSE),IF($D$1="LIFE（キャンペーン）",VLOOKUP(C20,#REF!,3,FALSE)))))))</f>
        <v>#REF!</v>
      </c>
      <c r="G20" s="810"/>
    </row>
    <row r="21" ht="35.1" customHeight="1" spans="1:7" x14ac:dyDescent="0.25">
      <c r="A21" s="804" t="s">
        <v>1637</v>
      </c>
      <c r="B21" s="805">
        <v>19</v>
      </c>
      <c r="C21" s="811" t="s">
        <v>1654</v>
      </c>
      <c r="D21" s="807" t="e">
        <f>IF($D$1="LACIE",VLOOKUP(C21,#REF!,2,FALSE),IF($D$1="LIFE+",VLOOKUP(C21,#REF!,2,FALSE),IF($D$1="LIFE",VLOOKUP(C21,#REF!,2,FALSE),IF($D$1="BASE",VLOOKUP(C21,#REF!,2,FALSE),IF($D$1="LIFE+（キャンペーン）",VLOOKUP(C21,#REF!,2,FALSE),IF($D$1="LIFE（キャンペーン）",VLOOKUP(C21,#REF!,2,FALSE)))))))</f>
        <v>#REF!</v>
      </c>
      <c r="E21" s="808"/>
      <c r="F21" s="809" t="e">
        <f>IF($D$1="LACIE",VLOOKUP(C21,#REF!,3,FALSE),IF($D$1="LIFE+",VLOOKUP(C21,#REF!,3,FALSE),IF($D$1="LIFE",VLOOKUP(C21,#REF!,3,FALSE),IF($D$1="BASE",VLOOKUP(C21,#REF!,3,FALSE),IF($D$1="LIFE+（キャンペーン）",VLOOKUP(C21,#REF!,3,FALSE),IF($D$1="LIFE（キャンペーン）",VLOOKUP(C21,#REF!,3,FALSE)))))))</f>
        <v>#REF!</v>
      </c>
      <c r="G21" s="810"/>
    </row>
    <row r="22" ht="35.1" customHeight="1" spans="1:7" x14ac:dyDescent="0.25">
      <c r="A22" s="804" t="s">
        <v>1637</v>
      </c>
      <c r="B22" s="805">
        <v>20</v>
      </c>
      <c r="C22" s="811" t="s">
        <v>1727</v>
      </c>
      <c r="D22" s="807" t="e">
        <f>IF($D$1="LACIE",VLOOKUP(C22,#REF!,2,FALSE),IF($D$1="LIFE+",VLOOKUP(C22,#REF!,2,FALSE),IF($D$1="LIFE",VLOOKUP(C22,#REF!,2,FALSE),IF($D$1="BASE",VLOOKUP(C22,#REF!,2,FALSE),IF($D$1="LIFE+（キャンペーン）",VLOOKUP(C22,#REF!,2,FALSE),IF($D$1="LIFE（キャンペーン）",VLOOKUP(C22,#REF!,2,FALSE)))))))</f>
        <v>#REF!</v>
      </c>
      <c r="E22" s="808"/>
      <c r="F22" s="809" t="e">
        <f>IF($D$1="LACIE",VLOOKUP(C22,#REF!,3,FALSE),IF($D$1="LIFE+",VLOOKUP(C22,#REF!,3,FALSE),IF($D$1="LIFE",VLOOKUP(C22,#REF!,3,FALSE),IF($D$1="BASE",VLOOKUP(C22,#REF!,3,FALSE),IF($D$1="LIFE+（キャンペーン）",VLOOKUP(C22,#REF!,3,FALSE),IF($D$1="LIFE（キャンペーン）",VLOOKUP(C22,#REF!,3,FALSE)))))))</f>
        <v>#REF!</v>
      </c>
      <c r="G22" s="810"/>
    </row>
    <row r="23" ht="35.1" customHeight="1" spans="1:7" x14ac:dyDescent="0.25">
      <c r="A23" s="804" t="s">
        <v>1637</v>
      </c>
      <c r="B23" s="805">
        <v>21</v>
      </c>
      <c r="C23" s="811" t="s">
        <v>1656</v>
      </c>
      <c r="D23" s="807" t="e">
        <f>IF($D$1="LACIE",VLOOKUP(C23,#REF!,2,FALSE),IF($D$1="LIFE+",VLOOKUP(C23,#REF!,2,FALSE),IF($D$1="LIFE",VLOOKUP(C23,#REF!,2,FALSE),IF($D$1="BASE",VLOOKUP(C23,#REF!,2,FALSE),IF($D$1="LIFE+（キャンペーン）",VLOOKUP(C23,#REF!,2,FALSE),IF($D$1="LIFE（キャンペーン）",VLOOKUP(C23,#REF!,2,FALSE)))))))</f>
        <v>#REF!</v>
      </c>
      <c r="E23" s="808"/>
      <c r="F23" s="809" t="e">
        <f>IF($D$1="LACIE",VLOOKUP(C23,#REF!,3,FALSE),IF($D$1="LIFE+",VLOOKUP(C23,#REF!,3,FALSE),IF($D$1="LIFE",VLOOKUP(C23,#REF!,3,FALSE),IF($D$1="BASE",VLOOKUP(C23,#REF!,3,FALSE),IF($D$1="LIFE+（キャンペーン）",VLOOKUP(C23,#REF!,3,FALSE),IF($D$1="LIFE（キャンペーン）",VLOOKUP(C23,#REF!,3,FALSE)))))))</f>
        <v>#REF!</v>
      </c>
      <c r="G23" s="810"/>
    </row>
    <row r="24" ht="35.1" customHeight="1" spans="1:7" x14ac:dyDescent="0.25">
      <c r="A24" s="804" t="s">
        <v>1637</v>
      </c>
      <c r="B24" s="805">
        <v>22</v>
      </c>
      <c r="C24" s="811" t="s">
        <v>1657</v>
      </c>
      <c r="D24" s="807" t="e">
        <f>IF($D$1="LACIE",VLOOKUP(C24,#REF!,2,FALSE),IF($D$1="LIFE+",VLOOKUP(C24,#REF!,2,FALSE),IF($D$1="LIFE",VLOOKUP(C24,#REF!,2,FALSE),IF($D$1="BASE",VLOOKUP(C24,#REF!,2,FALSE),IF($D$1="LIFE+（キャンペーン）",VLOOKUP(C24,#REF!,2,FALSE),IF($D$1="LIFE（キャンペーン）",VLOOKUP(C24,#REF!,2,FALSE)))))))</f>
        <v>#REF!</v>
      </c>
      <c r="E24" s="808"/>
      <c r="F24" s="809" t="e">
        <f>IF($D$1="LACIE",VLOOKUP(C24,#REF!,3,FALSE),IF($D$1="LIFE+",VLOOKUP(C24,#REF!,3,FALSE),IF($D$1="LIFE",VLOOKUP(C24,#REF!,3,FALSE),IF($D$1="BASE",VLOOKUP(C24,#REF!,3,FALSE),IF($D$1="LIFE+（キャンペーン）",VLOOKUP(C24,#REF!,3,FALSE),IF($D$1="LIFE（キャンペーン）",VLOOKUP(C24,#REF!,3,FALSE)))))))</f>
        <v>#REF!</v>
      </c>
      <c r="G24" s="810"/>
    </row>
    <row r="25" ht="35.1" customHeight="1" spans="1:7" x14ac:dyDescent="0.25">
      <c r="A25" s="804" t="s">
        <v>1637</v>
      </c>
      <c r="B25" s="805">
        <v>23</v>
      </c>
      <c r="C25" s="811" t="s">
        <v>1658</v>
      </c>
      <c r="D25" s="807" t="e">
        <f>IF($D$1="LACIE",VLOOKUP(C25,#REF!,2,FALSE),IF($D$1="LIFE+",VLOOKUP(C25,#REF!,2,FALSE),IF($D$1="LIFE",VLOOKUP(C25,#REF!,2,FALSE),IF($D$1="BASE",VLOOKUP(C25,#REF!,2,FALSE),IF($D$1="LIFE+（キャンペーン）",VLOOKUP(C25,#REF!,2,FALSE),IF($D$1="LIFE（キャンペーン）",VLOOKUP(C25,#REF!,2,FALSE)))))))</f>
        <v>#REF!</v>
      </c>
      <c r="E25" s="808"/>
      <c r="F25" s="809" t="e">
        <f>IF($D$1="LACIE",VLOOKUP(C25,#REF!,3,FALSE),IF($D$1="LIFE+",VLOOKUP(C25,#REF!,3,FALSE),IF($D$1="LIFE",VLOOKUP(C25,#REF!,3,FALSE),IF($D$1="BASE",VLOOKUP(C25,#REF!,3,FALSE),IF($D$1="LIFE+（キャンペーン）",VLOOKUP(C25,#REF!,3,FALSE),IF($D$1="LIFE（キャンペーン）",VLOOKUP(C25,#REF!,3,FALSE)))))))</f>
        <v>#REF!</v>
      </c>
      <c r="G25" s="810"/>
    </row>
    <row r="26" ht="64.15" customHeight="1" spans="1:7" x14ac:dyDescent="0.25">
      <c r="A26" s="804" t="s">
        <v>1637</v>
      </c>
      <c r="B26" s="805">
        <v>24</v>
      </c>
      <c r="C26" s="811" t="s">
        <v>1659</v>
      </c>
      <c r="D26" s="807" t="e">
        <f>IF($D$1="LACIE",VLOOKUP(C26,#REF!,2,FALSE),IF($D$1="LIFE+",VLOOKUP(C26,#REF!,2,FALSE),IF($D$1="LIFE",VLOOKUP(C26,#REF!,2,FALSE),IF($D$1="BASE",VLOOKUP(C26,#REF!,2,FALSE),IF($D$1="LIFE+（キャンペーン）",VLOOKUP(C26,#REF!,2,FALSE),IF($D$1="LIFE（キャンペーン）",VLOOKUP(C26,#REF!,2,FALSE)))))))</f>
        <v>#REF!</v>
      </c>
      <c r="E26" s="808"/>
      <c r="F26" s="809" t="e">
        <f>IF($D$1="LACIE",VLOOKUP(C26,#REF!,3,FALSE),IF($D$1="LIFE+",VLOOKUP(C26,#REF!,3,FALSE),IF($D$1="LIFE",VLOOKUP(C26,#REF!,3,FALSE),IF($D$1="BASE",VLOOKUP(C26,#REF!,3,FALSE),IF($D$1="LIFE+（キャンペーン）",VLOOKUP(C26,#REF!,3,FALSE),IF($D$1="LIFE（キャンペーン）",VLOOKUP(C26,#REF!,3,FALSE)))))))</f>
        <v>#REF!</v>
      </c>
      <c r="G26" s="810"/>
    </row>
    <row r="27" ht="23.25" customHeight="1" spans="1:7" x14ac:dyDescent="0.25">
      <c r="A27" s="813"/>
      <c r="B27" s="813"/>
      <c r="C27" s="677"/>
      <c r="D27" s="677"/>
      <c r="E27" s="677"/>
      <c r="F27" s="677"/>
      <c r="G27" s="677"/>
    </row>
    <row r="28" ht="26.1" customHeight="1" spans="1:7" x14ac:dyDescent="0.25">
      <c r="A28" s="813"/>
      <c r="B28" s="813"/>
      <c r="C28" s="677"/>
      <c r="D28" s="81"/>
      <c r="E28" s="814" t="s">
        <v>1540</v>
      </c>
      <c r="F28" s="815">
        <f>初期入力!B5</f>
        <v>0</v>
      </c>
      <c r="G28" s="816"/>
    </row>
    <row r="29" ht="35.1" customHeight="1" spans="1:7" x14ac:dyDescent="0.25">
      <c r="A29" s="813"/>
      <c r="B29" s="813"/>
      <c r="C29" s="677"/>
      <c r="D29" s="677"/>
      <c r="E29" s="817"/>
      <c r="F29" s="818"/>
      <c r="G29" s="819"/>
    </row>
    <row r="30" ht="26.25" customHeight="1" spans="1:7" x14ac:dyDescent="0.25">
      <c r="A30" s="813"/>
      <c r="B30" s="813"/>
      <c r="C30" s="677"/>
      <c r="D30" s="677"/>
      <c r="E30" s="820" t="s">
        <v>198</v>
      </c>
      <c r="F30" s="821">
        <f>初期入力!B4</f>
        <v>0</v>
      </c>
      <c r="G30" s="816" t="s">
        <v>222</v>
      </c>
    </row>
    <row r="31" ht="15" customHeight="1" spans="1:7" x14ac:dyDescent="0.25">
      <c r="A31" s="813"/>
      <c r="B31" s="813"/>
      <c r="C31" s="677"/>
      <c r="D31" s="677"/>
      <c r="E31" s="814"/>
      <c r="F31" s="679"/>
      <c r="G31" s="816"/>
    </row>
    <row r="32" ht="26.25" customHeight="1" spans="1:7" x14ac:dyDescent="0.25">
      <c r="A32" s="813"/>
      <c r="B32" s="813"/>
      <c r="C32" s="677"/>
      <c r="D32" s="677"/>
      <c r="E32" s="814" t="s">
        <v>1540</v>
      </c>
      <c r="F32" s="679">
        <f>IF(初期入力!B7="","",初期入力!B7)</f>
      </c>
      <c r="G32" s="816"/>
    </row>
    <row r="33" ht="35.1" customHeight="1" spans="1:7" x14ac:dyDescent="0.25">
      <c r="A33" s="813"/>
      <c r="B33" s="813"/>
      <c r="C33" s="677"/>
      <c r="D33" s="677"/>
      <c r="E33" s="817"/>
      <c r="F33" s="823"/>
      <c r="G33" s="667"/>
    </row>
    <row r="34" ht="27" customHeight="1" spans="1:26" x14ac:dyDescent="0.25">
      <c r="A34" s="813"/>
      <c r="B34" s="813"/>
      <c r="C34" s="677"/>
      <c r="D34" s="677"/>
      <c r="E34" s="820" t="s">
        <v>198</v>
      </c>
      <c r="F34" s="821">
        <f>IF(初期入力!B6="","",初期入力!B6)</f>
      </c>
      <c r="G34" s="816" t="s">
        <v>222</v>
      </c>
      <c r="I34" s="81"/>
      <c r="J34" s="81"/>
      <c r="K34" s="81"/>
      <c r="L34" s="81"/>
      <c r="M34" s="81"/>
      <c r="N34" s="81"/>
      <c r="O34" s="81"/>
      <c r="P34" s="81"/>
      <c r="Q34" s="81"/>
      <c r="R34" s="81"/>
      <c r="S34" s="81"/>
      <c r="T34" s="81"/>
      <c r="U34" s="81"/>
      <c r="V34" s="81"/>
      <c r="W34" s="81"/>
      <c r="X34" s="81"/>
      <c r="Y34" s="81"/>
      <c r="Z34" s="81"/>
    </row>
  </sheetData>
  <mergeCells count="50">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s>
  <dataValidations count="1">
    <dataValidation type="list" allowBlank="1" showInputMessage="1" showErrorMessage="1" sqref="D1">
      <formula1>#REF!</formula1>
    </dataValidation>
  </dataValidations>
  <pageMargins left="0.2362204724409449" right="0.2362204724409449" top="0.5511811023622047" bottom="0.35433070866141736" header="0.31496062992125984" footer="0.31496062992125984"/>
  <pageSetup paperSize="9" orientation="portrait" horizontalDpi="4294967295" verticalDpi="4294967295" scale="57" fitToWidth="1" fitToHeight="1" firstPageNumber="1" useFirstPageNumber="1" copies="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6"/>
  <sheetViews>
    <sheetView workbookViewId="0" zoomScale="80" zoomScaleNormal="100" view="pageBreakPreview">
      <selection activeCell="D19" sqref="D19"/>
    </sheetView>
  </sheetViews>
  <sheetFormatPr defaultRowHeight="12" outlineLevelRow="0" outlineLevelCol="0" x14ac:dyDescent="0" defaultColWidth="9.28515625" customHeight="1"/>
  <cols>
    <col min="1" max="9" width="6.42578125" style="70" customWidth="1"/>
    <col min="10" max="13" width="5.28515625" style="70" customWidth="1"/>
    <col min="14" max="14" width="15.28515625" style="70" customWidth="1"/>
    <col min="15" max="16384" width="9.28515625" style="70" customWidth="1"/>
  </cols>
  <sheetData>
    <row r="1" ht="22.15" customHeight="1" spans="4:11" x14ac:dyDescent="0.25">
      <c r="D1" s="978" t="s">
        <v>2046</v>
      </c>
      <c r="E1" s="978"/>
      <c r="F1" s="978"/>
      <c r="G1" s="978"/>
      <c r="H1" s="978"/>
      <c r="I1" s="978"/>
      <c r="J1" s="978"/>
      <c r="K1" s="978"/>
    </row>
    <row r="2" ht="22.15" customHeight="1" spans="4:14" x14ac:dyDescent="0.25">
      <c r="D2" s="978"/>
      <c r="E2" s="978"/>
      <c r="F2" s="978"/>
      <c r="G2" s="978"/>
      <c r="H2" s="978"/>
      <c r="I2" s="978"/>
      <c r="J2" s="978"/>
      <c r="K2" s="978"/>
      <c r="L2" s="1423">
        <f>TODAY()</f>
        <v>46026</v>
      </c>
      <c r="M2" s="1423"/>
      <c r="N2" s="1423"/>
    </row>
    <row r="3" ht="22.15" customHeight="1" x14ac:dyDescent="0.25"/>
    <row r="4" ht="22.15" customHeight="1" spans="1:14" x14ac:dyDescent="0.25">
      <c r="A4" s="1424" t="s">
        <v>208</v>
      </c>
      <c r="B4" s="1424"/>
      <c r="C4" s="1424"/>
      <c r="D4" s="1425" t="s">
        <v>2047</v>
      </c>
      <c r="E4" s="1425"/>
      <c r="F4" s="1425"/>
      <c r="G4" s="1425"/>
      <c r="H4" s="1425"/>
      <c r="I4" s="1425"/>
      <c r="J4" s="1425"/>
      <c r="K4" s="1425"/>
      <c r="L4" s="1425"/>
      <c r="M4" s="1425"/>
      <c r="N4" s="1425"/>
    </row>
    <row r="5" ht="22.15" customHeight="1" spans="1:14" x14ac:dyDescent="0.25">
      <c r="A5" s="1424"/>
      <c r="B5" s="1425"/>
      <c r="C5" s="1425"/>
      <c r="D5" s="1425"/>
      <c r="E5" s="1425"/>
      <c r="F5" s="1425"/>
      <c r="G5" s="1425"/>
      <c r="H5" s="1425"/>
      <c r="I5" s="1425"/>
      <c r="J5" s="1425"/>
      <c r="K5" s="1425"/>
      <c r="L5" s="1425"/>
      <c r="M5" s="1425"/>
      <c r="N5" s="1425"/>
    </row>
    <row r="6" ht="22.15" customHeight="1" spans="1:14" x14ac:dyDescent="0.25">
      <c r="A6" s="1425"/>
      <c r="B6" s="1425" t="s">
        <v>2048</v>
      </c>
      <c r="C6" s="1425"/>
      <c r="D6" s="1425"/>
      <c r="E6" s="1425"/>
      <c r="F6" s="1425"/>
      <c r="G6" s="1425"/>
      <c r="H6" s="1425"/>
      <c r="I6" s="1425"/>
      <c r="J6" s="1425"/>
      <c r="K6" s="1425"/>
      <c r="L6" s="1425"/>
      <c r="M6" s="1425"/>
      <c r="N6" s="1425"/>
    </row>
    <row r="7" ht="15" customHeight="1" spans="1:14" x14ac:dyDescent="0.25">
      <c r="A7" s="1425"/>
      <c r="B7" s="1425"/>
      <c r="C7" s="1425"/>
      <c r="D7" s="1425"/>
      <c r="E7" s="1425"/>
      <c r="F7" s="1425"/>
      <c r="G7" s="1425"/>
      <c r="H7" s="1425"/>
      <c r="I7" s="1425"/>
      <c r="J7" s="1425"/>
      <c r="K7" s="1425"/>
      <c r="L7" s="1425"/>
      <c r="M7" s="1425"/>
      <c r="N7" s="1425"/>
    </row>
    <row r="8" ht="15" customHeight="1" spans="1:14" x14ac:dyDescent="0.25">
      <c r="A8" s="1425"/>
      <c r="B8" s="1425"/>
      <c r="C8" s="1425"/>
      <c r="D8" s="1425"/>
      <c r="E8" s="1425"/>
      <c r="F8" s="1425"/>
      <c r="G8" s="1425"/>
      <c r="H8" s="1425"/>
      <c r="I8" s="1425"/>
      <c r="J8" s="1425"/>
      <c r="K8" s="1425"/>
      <c r="L8" s="1425"/>
      <c r="M8" s="1425"/>
      <c r="N8" s="1425"/>
    </row>
    <row r="9" ht="38.1" customHeight="1" spans="1:14" x14ac:dyDescent="0.25">
      <c r="A9" s="1424" t="s">
        <v>1827</v>
      </c>
      <c r="B9" s="1425"/>
      <c r="C9" s="1426"/>
      <c r="D9" s="1426"/>
      <c r="E9" s="1426"/>
      <c r="F9" s="1426"/>
      <c r="G9" s="1426"/>
      <c r="H9" s="1425" t="s">
        <v>1828</v>
      </c>
      <c r="I9" s="1425"/>
      <c r="J9" s="1425"/>
      <c r="K9" s="1426"/>
      <c r="L9" s="1426"/>
      <c r="M9" s="1426"/>
      <c r="N9" s="1426"/>
    </row>
    <row r="10" ht="38.1" customHeight="1" spans="1:14" x14ac:dyDescent="0.25">
      <c r="A10" s="1425" t="s">
        <v>1829</v>
      </c>
      <c r="B10" s="1425"/>
      <c r="C10" s="1427"/>
      <c r="D10" s="1427"/>
      <c r="E10" s="1427"/>
      <c r="F10" s="1427"/>
      <c r="G10" s="1427"/>
      <c r="H10" s="1425" t="s">
        <v>1830</v>
      </c>
      <c r="I10" s="1425"/>
      <c r="J10" s="1425"/>
      <c r="K10" s="1427"/>
      <c r="L10" s="1427"/>
      <c r="M10" s="1427"/>
      <c r="N10" s="1427"/>
    </row>
    <row r="11" ht="38.1" customHeight="1" spans="1:14" x14ac:dyDescent="0.25">
      <c r="A11" s="1425" t="s">
        <v>1831</v>
      </c>
      <c r="B11" s="1425"/>
      <c r="C11" s="1427"/>
      <c r="D11" s="1427"/>
      <c r="E11" s="1427"/>
      <c r="F11" s="1427"/>
      <c r="G11" s="1427"/>
      <c r="H11" s="1424" t="s">
        <v>1832</v>
      </c>
      <c r="I11" s="1425"/>
      <c r="J11" s="1425"/>
      <c r="K11" s="1427"/>
      <c r="L11" s="1427"/>
      <c r="M11" s="1427"/>
      <c r="N11" s="1427"/>
    </row>
    <row r="12" ht="15" customHeight="1" spans="1:14" x14ac:dyDescent="0.25">
      <c r="A12" s="1425"/>
      <c r="B12" s="1425"/>
      <c r="C12" s="1425"/>
      <c r="D12" s="1425"/>
      <c r="E12" s="1425"/>
      <c r="F12" s="1425"/>
      <c r="G12" s="1425"/>
      <c r="H12" s="1425"/>
      <c r="I12" s="1425"/>
      <c r="J12" s="1425"/>
      <c r="K12" s="1425"/>
      <c r="L12" s="1425"/>
      <c r="M12" s="1425"/>
      <c r="N12" s="1425"/>
    </row>
    <row r="13" ht="22.15" customHeight="1" spans="1:14" x14ac:dyDescent="0.25">
      <c r="A13" s="1425"/>
      <c r="B13" s="1425"/>
      <c r="C13" s="1425"/>
      <c r="D13" s="1425"/>
      <c r="E13" s="1425"/>
      <c r="F13" s="1425"/>
      <c r="G13" s="1425"/>
      <c r="H13" s="1425"/>
      <c r="I13" s="1425"/>
      <c r="J13" s="1425"/>
      <c r="K13" s="1425"/>
      <c r="L13" s="1425"/>
      <c r="M13" s="1425"/>
      <c r="N13" s="1425"/>
    </row>
    <row r="14" ht="22.15" customHeight="1" spans="1:15" x14ac:dyDescent="0.25">
      <c r="A14" s="1425"/>
      <c r="B14" s="1425"/>
      <c r="C14" s="1425"/>
      <c r="D14" s="1425"/>
      <c r="E14" s="1425"/>
      <c r="F14" s="1425"/>
      <c r="G14" s="1425"/>
      <c r="H14" s="1425"/>
      <c r="I14" s="1425"/>
      <c r="J14" s="1425"/>
      <c r="K14" s="1425"/>
      <c r="L14" s="1425"/>
      <c r="M14" s="1425"/>
      <c r="N14" s="1425"/>
      <c r="O14" s="70" t="s">
        <v>1835</v>
      </c>
    </row>
    <row r="15" ht="22.15" customHeight="1" spans="1:15" x14ac:dyDescent="0.25">
      <c r="A15" s="1425"/>
      <c r="B15" s="1425"/>
      <c r="C15" s="1425"/>
      <c r="D15" s="1425"/>
      <c r="E15" s="1425"/>
      <c r="F15" s="1425"/>
      <c r="G15" s="1425"/>
      <c r="H15" s="1425"/>
      <c r="I15" s="1425"/>
      <c r="J15" s="1425"/>
      <c r="K15" s="1425"/>
      <c r="L15" s="1425"/>
      <c r="M15" s="1425"/>
      <c r="N15" s="1425"/>
      <c r="O15" s="70" t="s">
        <v>1837</v>
      </c>
    </row>
    <row r="16" ht="15" customHeight="1" spans="1:15" x14ac:dyDescent="0.25">
      <c r="A16" s="1425"/>
      <c r="B16" s="1425"/>
      <c r="C16" s="1425"/>
      <c r="D16" s="1425"/>
      <c r="E16" s="1425"/>
      <c r="F16" s="1425"/>
      <c r="G16" s="1425"/>
      <c r="H16" s="1425"/>
      <c r="I16" s="1425"/>
      <c r="J16" s="1425"/>
      <c r="K16" s="1425"/>
      <c r="L16" s="1425"/>
      <c r="M16" s="1425"/>
      <c r="N16" s="1425"/>
      <c r="O16" s="70" t="s">
        <v>1838</v>
      </c>
    </row>
    <row r="17" ht="22.15" customHeight="1" spans="1:14" x14ac:dyDescent="0.25">
      <c r="A17" s="1428"/>
      <c r="B17" s="1428"/>
      <c r="C17" s="1429" t="s">
        <v>33</v>
      </c>
      <c r="D17" s="1425"/>
      <c r="E17" s="1429" t="s">
        <v>34</v>
      </c>
      <c r="F17" s="1425"/>
      <c r="G17" s="1429" t="s">
        <v>35</v>
      </c>
      <c r="H17" s="1425"/>
      <c r="I17" s="1425"/>
      <c r="J17" s="1425"/>
      <c r="K17" s="1425"/>
      <c r="L17" s="1425"/>
      <c r="M17" s="1425"/>
      <c r="N17" s="1425"/>
    </row>
    <row r="18" ht="15" customHeight="1" spans="1:14" x14ac:dyDescent="0.25">
      <c r="A18" s="1425"/>
      <c r="B18" s="1425"/>
      <c r="C18" s="1425"/>
      <c r="D18" s="1425"/>
      <c r="E18" s="1425"/>
      <c r="F18" s="1425"/>
      <c r="G18" s="1425"/>
      <c r="H18" s="1425"/>
      <c r="I18" s="1425"/>
      <c r="J18" s="1425"/>
      <c r="K18" s="1425"/>
      <c r="L18" s="1425"/>
      <c r="M18" s="1425"/>
      <c r="N18" s="1425"/>
    </row>
    <row r="19" ht="22.15" customHeight="1" spans="1:14" x14ac:dyDescent="0.25">
      <c r="A19" s="1425"/>
      <c r="B19" s="1429" t="s">
        <v>2049</v>
      </c>
      <c r="C19" s="1429"/>
      <c r="D19" s="1430">
        <f>IF(初期入力!B5="","",初期入力!B5)</f>
      </c>
      <c r="E19" s="1430"/>
      <c r="F19" s="1430"/>
      <c r="G19" s="1430"/>
      <c r="H19" s="1430"/>
      <c r="I19" s="1430"/>
      <c r="J19" s="1430"/>
      <c r="K19" s="1430"/>
      <c r="L19" s="1430"/>
      <c r="M19" s="1425"/>
      <c r="N19" s="1425"/>
    </row>
    <row r="20" ht="12" customHeight="1" spans="1:14" x14ac:dyDescent="0.25">
      <c r="A20" s="1425"/>
      <c r="B20" s="1429"/>
      <c r="C20" s="1429"/>
      <c r="D20" s="1431"/>
      <c r="E20" s="1431"/>
      <c r="F20" s="1431"/>
      <c r="G20" s="1431"/>
      <c r="H20" s="1431"/>
      <c r="I20" s="1431"/>
      <c r="J20" s="1431"/>
      <c r="K20" s="1431"/>
      <c r="L20" s="1431"/>
      <c r="M20" s="1425"/>
      <c r="N20" s="1425"/>
    </row>
    <row r="21" ht="22.15" customHeight="1" spans="1:14" x14ac:dyDescent="0.25">
      <c r="A21" s="1425"/>
      <c r="B21" s="1429" t="s">
        <v>2050</v>
      </c>
      <c r="C21" s="1429"/>
      <c r="D21" s="1430"/>
      <c r="E21" s="1430"/>
      <c r="F21" s="1430"/>
      <c r="G21" s="1430"/>
      <c r="H21" s="1430"/>
      <c r="I21" s="1430"/>
      <c r="J21" s="1430"/>
      <c r="K21" s="1430"/>
      <c r="L21" s="1430"/>
      <c r="M21" s="1432" t="s">
        <v>222</v>
      </c>
      <c r="N21" s="1425"/>
    </row>
    <row r="22" ht="12" customHeight="1" spans="1:14" x14ac:dyDescent="0.25">
      <c r="A22" s="1425"/>
      <c r="B22" s="1429"/>
      <c r="C22" s="1429"/>
      <c r="D22" s="1431"/>
      <c r="E22" s="1431"/>
      <c r="F22" s="1431"/>
      <c r="G22" s="1431"/>
      <c r="H22" s="1431"/>
      <c r="I22" s="1431"/>
      <c r="J22" s="1431"/>
      <c r="K22" s="1431"/>
      <c r="L22" s="1431"/>
      <c r="M22" s="1425"/>
      <c r="N22" s="1425"/>
    </row>
    <row r="23" ht="22.15" customHeight="1" spans="1:14" x14ac:dyDescent="0.25">
      <c r="A23" s="1425"/>
      <c r="B23" s="1429" t="s">
        <v>2051</v>
      </c>
      <c r="C23" s="1429"/>
      <c r="D23" s="1430">
        <f>IF(初期入力!B7="","",初期入力!B7)</f>
      </c>
      <c r="E23" s="1430"/>
      <c r="F23" s="1430"/>
      <c r="G23" s="1430"/>
      <c r="H23" s="1430"/>
      <c r="I23" s="1430"/>
      <c r="J23" s="1430"/>
      <c r="K23" s="1430"/>
      <c r="L23" s="1430"/>
      <c r="M23" s="1425"/>
      <c r="N23" s="1425"/>
    </row>
    <row r="24" ht="12" customHeight="1" spans="1:14" x14ac:dyDescent="0.25">
      <c r="A24" s="1425"/>
      <c r="B24" s="1429"/>
      <c r="C24" s="1429"/>
      <c r="D24" s="1431"/>
      <c r="E24" s="1431"/>
      <c r="F24" s="1431"/>
      <c r="G24" s="1431"/>
      <c r="H24" s="1431"/>
      <c r="I24" s="1431"/>
      <c r="J24" s="1431"/>
      <c r="K24" s="1431"/>
      <c r="L24" s="1431"/>
      <c r="M24" s="1425"/>
      <c r="N24" s="1425"/>
    </row>
    <row r="25" ht="22.15" customHeight="1" x14ac:dyDescent="0.25"/>
    <row r="26" ht="22.15" customHeight="1" x14ac:dyDescent="0.25"/>
    <row r="27" ht="22.15" customHeight="1" x14ac:dyDescent="0.25"/>
    <row r="28" ht="22.15" customHeight="1" x14ac:dyDescent="0.25"/>
    <row r="29" ht="22.15" customHeight="1" x14ac:dyDescent="0.25"/>
    <row r="30" ht="22.15" customHeight="1" x14ac:dyDescent="0.25"/>
    <row r="31" ht="22.15" customHeight="1" x14ac:dyDescent="0.25"/>
    <row r="32" ht="22.15" customHeight="1" x14ac:dyDescent="0.25"/>
    <row r="33" ht="22.15" customHeight="1" x14ac:dyDescent="0.25"/>
    <row r="34" ht="22.15" customHeight="1" x14ac:dyDescent="0.25"/>
    <row r="35" ht="22.15" customHeight="1" x14ac:dyDescent="0.25"/>
    <row r="36" ht="22.15" customHeight="1" x14ac:dyDescent="0.25"/>
    <row r="37" ht="22.15" customHeight="1" x14ac:dyDescent="0.25"/>
    <row r="38" ht="22.15" customHeight="1" x14ac:dyDescent="0.25"/>
    <row r="39" ht="22.15" customHeight="1" x14ac:dyDescent="0.25"/>
    <row r="40" ht="22.15" customHeight="1" x14ac:dyDescent="0.25"/>
    <row r="41" ht="22.15" customHeight="1" x14ac:dyDescent="0.25"/>
    <row r="42" ht="22.15" customHeight="1" x14ac:dyDescent="0.25"/>
    <row r="43" ht="22.15" customHeight="1" x14ac:dyDescent="0.25"/>
    <row r="44" ht="22.15" customHeight="1" x14ac:dyDescent="0.25"/>
    <row r="45" ht="22.15" customHeight="1" x14ac:dyDescent="0.25"/>
    <row r="46" ht="22.15" customHeight="1" x14ac:dyDescent="0.25"/>
    <row r="47" ht="22.15" customHeight="1" x14ac:dyDescent="0.25"/>
    <row r="48" ht="22.15" customHeight="1" x14ac:dyDescent="0.25"/>
    <row r="49" ht="22.15" customHeight="1" x14ac:dyDescent="0.25"/>
    <row r="50" ht="22.15" customHeight="1" x14ac:dyDescent="0.25"/>
    <row r="51" ht="22.15" customHeight="1" x14ac:dyDescent="0.25"/>
    <row r="52" ht="22.15" customHeight="1" x14ac:dyDescent="0.25"/>
    <row r="53" ht="22.15" customHeight="1" x14ac:dyDescent="0.25"/>
    <row r="54" ht="22.15" customHeight="1" x14ac:dyDescent="0.25"/>
    <row r="55" ht="22.15" customHeight="1" x14ac:dyDescent="0.25"/>
    <row r="56" ht="22.15" customHeight="1" x14ac:dyDescent="0.25"/>
    <row r="57" ht="22.15" customHeight="1" x14ac:dyDescent="0.25"/>
    <row r="58" ht="22.15" customHeight="1" x14ac:dyDescent="0.25"/>
    <row r="59" ht="22.15" customHeight="1" x14ac:dyDescent="0.25"/>
    <row r="60" ht="22.15" customHeight="1" x14ac:dyDescent="0.25"/>
    <row r="61" ht="22.15" customHeight="1" x14ac:dyDescent="0.25"/>
    <row r="62" ht="22.15" customHeight="1" x14ac:dyDescent="0.25"/>
    <row r="63" ht="22.15" customHeight="1" x14ac:dyDescent="0.25"/>
    <row r="64" ht="22.15" customHeight="1" x14ac:dyDescent="0.25"/>
    <row r="65" ht="22.15" customHeight="1" x14ac:dyDescent="0.25"/>
    <row r="66" ht="22.15" customHeight="1" x14ac:dyDescent="0.25"/>
  </sheetData>
  <mergeCells count="16">
    <mergeCell ref="D1:K1"/>
    <mergeCell ref="L2:N2"/>
    <mergeCell ref="A4:C4"/>
    <mergeCell ref="C9:G9"/>
    <mergeCell ref="K9:N9"/>
    <mergeCell ref="C10:G10"/>
    <mergeCell ref="K10:N10"/>
    <mergeCell ref="C11:G11"/>
    <mergeCell ref="K11:N11"/>
    <mergeCell ref="A17:B17"/>
    <mergeCell ref="B19:C19"/>
    <mergeCell ref="D19:L19"/>
    <mergeCell ref="B21:C21"/>
    <mergeCell ref="D21:L21"/>
    <mergeCell ref="B23:C23"/>
    <mergeCell ref="D23:L23"/>
  </mergeCells>
  <pageMargins left="0.7086614173228347" right="0.31496062992125984" top="0.9448818897637796" bottom="0" header="0.31496062992125984" footer="0.31496062992125984"/>
  <pageSetup paperSize="9" orientation="portrait" horizontalDpi="4294967295" verticalDpi="4294967295" scale="95"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workbookViewId="0" zoomScale="80" zoomScaleNormal="100" view="pageBreakPreview">
      <selection activeCell="D31" sqref="D31"/>
    </sheetView>
  </sheetViews>
  <sheetFormatPr defaultRowHeight="12" outlineLevelRow="0" outlineLevelCol="0" x14ac:dyDescent="0" defaultColWidth="9.28515625" customHeight="1"/>
  <cols>
    <col min="1" max="9" width="6.42578125" style="70" customWidth="1"/>
    <col min="10" max="13" width="5.28515625" style="70" customWidth="1"/>
    <col min="14" max="14" width="15.28515625" style="70" customWidth="1"/>
    <col min="15" max="16384" width="9.28515625" style="70" customWidth="1"/>
  </cols>
  <sheetData>
    <row r="1" ht="22.15" customHeight="1" spans="4:11" x14ac:dyDescent="0.25">
      <c r="D1" s="978" t="s">
        <v>1814</v>
      </c>
      <c r="E1" s="978"/>
      <c r="F1" s="978"/>
      <c r="G1" s="978"/>
      <c r="H1" s="978"/>
      <c r="I1" s="978"/>
      <c r="J1" s="978"/>
      <c r="K1" s="978"/>
    </row>
    <row r="2" ht="22.15" customHeight="1" x14ac:dyDescent="0.25"/>
    <row r="3" ht="22.15" customHeight="1" spans="1:7" x14ac:dyDescent="0.25">
      <c r="A3" s="162">
        <f>初期入力!B4</f>
        <v>0</v>
      </c>
      <c r="B3" s="162"/>
      <c r="C3" s="162"/>
      <c r="D3" s="162">
        <f>IF(初期入力!B6="","",初期入力!B6)</f>
      </c>
      <c r="E3" s="162"/>
      <c r="F3" s="162"/>
      <c r="G3" s="70" t="s">
        <v>1815</v>
      </c>
    </row>
    <row r="4" ht="22.15" customHeight="1" spans="1:1" x14ac:dyDescent="0.25">
      <c r="A4" s="162" t="s">
        <v>1816</v>
      </c>
    </row>
    <row r="5" ht="22.15" customHeight="1" spans="1:1" x14ac:dyDescent="0.25">
      <c r="A5" s="70" t="s">
        <v>1817</v>
      </c>
    </row>
    <row r="6" ht="15" customHeight="1" x14ac:dyDescent="0.25"/>
    <row r="7" ht="22.15" customHeight="1" spans="1:1" x14ac:dyDescent="0.25">
      <c r="A7" s="70" t="s">
        <v>1818</v>
      </c>
    </row>
    <row r="8" ht="22.15" customHeight="1" spans="1:1" x14ac:dyDescent="0.25">
      <c r="A8" s="70" t="s">
        <v>1819</v>
      </c>
    </row>
    <row r="9" ht="22.15" customHeight="1" spans="1:1" x14ac:dyDescent="0.25">
      <c r="A9" s="70" t="s">
        <v>1820</v>
      </c>
    </row>
    <row r="10" ht="15" customHeight="1" x14ac:dyDescent="0.25"/>
    <row r="11" ht="22.15" customHeight="1" spans="1:15" x14ac:dyDescent="0.25">
      <c r="A11" s="70" t="s">
        <v>1821</v>
      </c>
      <c r="O11" s="70" t="s">
        <v>1822</v>
      </c>
    </row>
    <row r="12" ht="22.15" customHeight="1" spans="1:15" x14ac:dyDescent="0.25">
      <c r="A12" s="70" t="s">
        <v>1823</v>
      </c>
      <c r="O12" s="70" t="s">
        <v>1824</v>
      </c>
    </row>
    <row r="13" ht="22.15" customHeight="1" spans="1:15" x14ac:dyDescent="0.25">
      <c r="A13" s="70" t="s">
        <v>1825</v>
      </c>
      <c r="O13" s="70" t="s">
        <v>1735</v>
      </c>
    </row>
    <row r="14" ht="22.15" customHeight="1" spans="1:15" x14ac:dyDescent="0.25">
      <c r="A14" s="70" t="s">
        <v>1826</v>
      </c>
      <c r="O14" s="70" t="s">
        <v>1735</v>
      </c>
    </row>
    <row r="15" ht="15" customHeight="1" x14ac:dyDescent="0.25"/>
    <row r="16" ht="38.1" customHeight="1" spans="1:14" x14ac:dyDescent="0.25">
      <c r="A16" s="162" t="s">
        <v>1827</v>
      </c>
      <c r="C16" s="979"/>
      <c r="D16" s="979"/>
      <c r="E16" s="979"/>
      <c r="F16" s="979"/>
      <c r="G16" s="979"/>
      <c r="H16" s="70" t="s">
        <v>1828</v>
      </c>
      <c r="K16" s="979"/>
      <c r="L16" s="979"/>
      <c r="M16" s="979"/>
      <c r="N16" s="979"/>
    </row>
    <row r="17" ht="38.1" customHeight="1" spans="1:14" x14ac:dyDescent="0.25">
      <c r="A17" s="70" t="s">
        <v>1829</v>
      </c>
      <c r="C17" s="980"/>
      <c r="D17" s="980"/>
      <c r="E17" s="980"/>
      <c r="F17" s="980"/>
      <c r="G17" s="980"/>
      <c r="H17" s="70" t="s">
        <v>1830</v>
      </c>
      <c r="K17" s="980"/>
      <c r="L17" s="980"/>
      <c r="M17" s="980"/>
      <c r="N17" s="980"/>
    </row>
    <row r="18" ht="38.1" customHeight="1" spans="1:14" x14ac:dyDescent="0.25">
      <c r="A18" s="70" t="s">
        <v>1831</v>
      </c>
      <c r="C18" s="980"/>
      <c r="D18" s="980"/>
      <c r="E18" s="980"/>
      <c r="F18" s="980"/>
      <c r="G18" s="980"/>
      <c r="H18" s="162" t="s">
        <v>1832</v>
      </c>
      <c r="K18" s="980"/>
      <c r="L18" s="980"/>
      <c r="M18" s="980"/>
      <c r="N18" s="980"/>
    </row>
    <row r="19" ht="21" customHeight="1" spans="2:14" x14ac:dyDescent="0.25">
      <c r="B19" s="162" t="s">
        <v>1856</v>
      </c>
      <c r="D19" s="108"/>
      <c r="E19" s="108"/>
      <c r="F19" s="108"/>
      <c r="G19" s="108"/>
      <c r="H19" s="162"/>
      <c r="K19" s="108"/>
      <c r="L19" s="108"/>
      <c r="M19" s="108"/>
      <c r="N19" s="108"/>
    </row>
    <row r="20" ht="22.5" customHeight="1" spans="6:9" x14ac:dyDescent="0.25">
      <c r="F20" s="70" t="s">
        <v>1857</v>
      </c>
      <c r="I20" s="70" t="s">
        <v>1858</v>
      </c>
    </row>
    <row r="21" ht="22.15" customHeight="1" spans="1:1" x14ac:dyDescent="0.25">
      <c r="A21" s="70" t="s">
        <v>1833</v>
      </c>
    </row>
    <row r="22" ht="22.15" customHeight="1" spans="1:15" x14ac:dyDescent="0.25">
      <c r="A22" s="70" t="s">
        <v>1834</v>
      </c>
      <c r="O22" s="70" t="s">
        <v>1835</v>
      </c>
    </row>
    <row r="23" ht="22.15" customHeight="1" spans="1:15" x14ac:dyDescent="0.25">
      <c r="A23" s="70" t="s">
        <v>1836</v>
      </c>
      <c r="O23" s="70" t="s">
        <v>1837</v>
      </c>
    </row>
    <row r="24" ht="15" customHeight="1" spans="15:15" x14ac:dyDescent="0.25">
      <c r="O24" s="70" t="s">
        <v>1838</v>
      </c>
    </row>
    <row r="25" ht="22.15" customHeight="1" spans="1:7" x14ac:dyDescent="0.25">
      <c r="A25" s="981">
        <f>初期入力!C13</f>
        <v>2025</v>
      </c>
      <c r="B25" s="981"/>
      <c r="C25" s="108" t="s">
        <v>33</v>
      </c>
      <c r="D25" s="70">
        <f>初期入力!E13</f>
        <v>7</v>
      </c>
      <c r="E25" s="108" t="s">
        <v>34</v>
      </c>
      <c r="F25" s="70">
        <f>初期入力!G13</f>
        <v>25</v>
      </c>
      <c r="G25" s="108" t="s">
        <v>35</v>
      </c>
    </row>
    <row r="26" ht="10.9" customHeight="1" x14ac:dyDescent="0.25"/>
    <row r="27" ht="22.15" customHeight="1" spans="2:12" x14ac:dyDescent="0.25">
      <c r="B27" s="108" t="s">
        <v>1839</v>
      </c>
      <c r="C27" s="108"/>
      <c r="D27" s="982">
        <f>IF(初期入力!B5="","",初期入力!B5)</f>
      </c>
      <c r="E27" s="982"/>
      <c r="F27" s="982"/>
      <c r="G27" s="982"/>
      <c r="H27" s="982"/>
      <c r="I27" s="982"/>
      <c r="J27" s="982"/>
      <c r="K27" s="982"/>
      <c r="L27" s="982"/>
    </row>
    <row r="28" ht="12" customHeight="1" spans="2:12" x14ac:dyDescent="0.25">
      <c r="B28" s="108"/>
      <c r="C28" s="108"/>
      <c r="D28" s="983"/>
      <c r="E28" s="983"/>
      <c r="F28" s="983"/>
      <c r="G28" s="983"/>
      <c r="H28" s="983"/>
      <c r="I28" s="983"/>
      <c r="J28" s="983"/>
      <c r="K28" s="983"/>
      <c r="L28" s="983"/>
    </row>
    <row r="29" ht="22.15" customHeight="1" spans="2:13" x14ac:dyDescent="0.25">
      <c r="B29" s="108" t="s">
        <v>1840</v>
      </c>
      <c r="C29" s="108"/>
      <c r="D29" s="984">
        <f>初期入力!B4</f>
        <v>0</v>
      </c>
      <c r="E29" s="984"/>
      <c r="F29" s="984"/>
      <c r="G29" s="984"/>
      <c r="H29" s="984"/>
      <c r="I29" s="984"/>
      <c r="J29" s="984"/>
      <c r="K29" s="984"/>
      <c r="L29" s="984"/>
      <c r="M29" s="985" t="s">
        <v>222</v>
      </c>
    </row>
    <row r="30" ht="12" customHeight="1" spans="2:13" x14ac:dyDescent="0.25">
      <c r="B30" s="108"/>
      <c r="C30" s="108"/>
      <c r="D30" s="983"/>
      <c r="E30" s="983"/>
      <c r="F30" s="983"/>
      <c r="G30" s="983"/>
      <c r="H30" s="983"/>
      <c r="I30" s="983"/>
      <c r="J30" s="983"/>
      <c r="K30" s="983"/>
      <c r="L30" s="983"/>
      <c r="M30" s="985"/>
    </row>
    <row r="31" ht="22.15" customHeight="1" spans="2:13" x14ac:dyDescent="0.25">
      <c r="B31" s="108" t="s">
        <v>1839</v>
      </c>
      <c r="C31" s="108"/>
      <c r="D31" s="982">
        <f>IF(初期入力!B7="","",初期入力!B7)</f>
      </c>
      <c r="E31" s="982"/>
      <c r="F31" s="982"/>
      <c r="G31" s="982"/>
      <c r="H31" s="982"/>
      <c r="I31" s="982"/>
      <c r="J31" s="982"/>
      <c r="K31" s="982"/>
      <c r="L31" s="982"/>
      <c r="M31" s="985"/>
    </row>
    <row r="32" ht="12" customHeight="1" spans="2:13" x14ac:dyDescent="0.25">
      <c r="B32" s="108"/>
      <c r="C32" s="108"/>
      <c r="D32" s="983"/>
      <c r="E32" s="983"/>
      <c r="F32" s="983"/>
      <c r="G32" s="983"/>
      <c r="H32" s="983"/>
      <c r="I32" s="983"/>
      <c r="J32" s="983"/>
      <c r="K32" s="983"/>
      <c r="L32" s="983"/>
      <c r="M32" s="985"/>
    </row>
    <row r="33" ht="22.15" customHeight="1" spans="2:13" x14ac:dyDescent="0.25">
      <c r="B33" s="108" t="s">
        <v>1840</v>
      </c>
      <c r="C33" s="108"/>
      <c r="D33" s="984">
        <f>IF(初期入力!B6="","",初期入力!B6)</f>
      </c>
      <c r="E33" s="984"/>
      <c r="F33" s="984"/>
      <c r="G33" s="984"/>
      <c r="H33" s="984"/>
      <c r="I33" s="984"/>
      <c r="J33" s="984"/>
      <c r="K33" s="984"/>
      <c r="L33" s="984"/>
      <c r="M33" s="985" t="s">
        <v>222</v>
      </c>
    </row>
    <row r="34" ht="12" customHeight="1" spans="2:13" x14ac:dyDescent="0.25">
      <c r="B34" s="108"/>
      <c r="C34" s="108"/>
      <c r="D34" s="983"/>
      <c r="E34" s="983"/>
      <c r="F34" s="983"/>
      <c r="G34" s="983"/>
      <c r="H34" s="983"/>
      <c r="I34" s="983"/>
      <c r="J34" s="983"/>
      <c r="K34" s="983"/>
      <c r="L34" s="983"/>
      <c r="M34" s="985"/>
    </row>
    <row r="35" ht="22.15" customHeight="1" spans="2:13" x14ac:dyDescent="0.25">
      <c r="B35" s="108" t="s">
        <v>1841</v>
      </c>
      <c r="C35" s="108"/>
      <c r="D35" s="984" t="s">
        <v>119</v>
      </c>
      <c r="E35" s="984"/>
      <c r="F35" s="984"/>
      <c r="G35" s="984"/>
      <c r="H35" s="984"/>
      <c r="I35" s="984"/>
      <c r="J35" s="984"/>
      <c r="K35" s="984"/>
      <c r="L35" s="984"/>
      <c r="M35" s="985"/>
    </row>
    <row r="36" ht="12" customHeight="1" spans="2:13" x14ac:dyDescent="0.25">
      <c r="B36" s="108"/>
      <c r="C36" s="108"/>
      <c r="D36" s="983"/>
      <c r="E36" s="983"/>
      <c r="F36" s="983"/>
      <c r="G36" s="983"/>
      <c r="H36" s="983"/>
      <c r="I36" s="983"/>
      <c r="J36" s="983"/>
      <c r="K36" s="983"/>
      <c r="L36" s="983"/>
      <c r="M36" s="985"/>
    </row>
    <row r="37" ht="22.15" customHeight="1" spans="2:13" x14ac:dyDescent="0.25">
      <c r="B37" s="108" t="s">
        <v>1842</v>
      </c>
      <c r="C37" s="108"/>
      <c r="D37" s="984" t="s">
        <v>1843</v>
      </c>
      <c r="E37" s="984"/>
      <c r="F37" s="984"/>
      <c r="G37" s="984"/>
      <c r="H37" s="984"/>
      <c r="I37" s="984"/>
      <c r="J37" s="984"/>
      <c r="K37" s="984"/>
      <c r="L37" s="984"/>
      <c r="M37" s="985" t="s">
        <v>222</v>
      </c>
    </row>
    <row r="38" ht="22.15" customHeight="1" x14ac:dyDescent="0.25"/>
    <row r="39" ht="22.15" customHeight="1" x14ac:dyDescent="0.25"/>
    <row r="40" ht="22.15" customHeight="1" x14ac:dyDescent="0.25"/>
    <row r="41" ht="22.15" customHeight="1" x14ac:dyDescent="0.25"/>
    <row r="42" ht="22.15" customHeight="1" x14ac:dyDescent="0.25"/>
    <row r="43" ht="22.15" customHeight="1" x14ac:dyDescent="0.25"/>
    <row r="44" ht="22.15" customHeight="1" x14ac:dyDescent="0.25"/>
    <row r="45" ht="22.15" customHeight="1" x14ac:dyDescent="0.25"/>
    <row r="46" ht="22.15" customHeight="1" x14ac:dyDescent="0.25"/>
    <row r="47" ht="22.15" customHeight="1" x14ac:dyDescent="0.25"/>
    <row r="48" ht="22.15" customHeight="1" x14ac:dyDescent="0.25"/>
    <row r="49" ht="22.15" customHeight="1" x14ac:dyDescent="0.25"/>
    <row r="50" ht="22.15" customHeight="1" x14ac:dyDescent="0.25"/>
    <row r="51" ht="22.15" customHeight="1" x14ac:dyDescent="0.25"/>
    <row r="52" ht="22.15" customHeight="1" x14ac:dyDescent="0.25"/>
    <row r="53" ht="22.15" customHeight="1" x14ac:dyDescent="0.25"/>
    <row r="54" ht="22.15" customHeight="1" x14ac:dyDescent="0.25"/>
    <row r="55" ht="22.15" customHeight="1" x14ac:dyDescent="0.25"/>
    <row r="56" ht="22.15" customHeight="1" x14ac:dyDescent="0.25"/>
    <row r="57" ht="22.15" customHeight="1" x14ac:dyDescent="0.25"/>
    <row r="58" ht="22.15" customHeight="1" x14ac:dyDescent="0.25"/>
    <row r="59" ht="22.15" customHeight="1" x14ac:dyDescent="0.25"/>
    <row r="60" ht="22.15" customHeight="1" x14ac:dyDescent="0.25"/>
    <row r="61" ht="22.15" customHeight="1" x14ac:dyDescent="0.25"/>
    <row r="62" ht="22.15" customHeight="1" x14ac:dyDescent="0.25"/>
    <row r="63" ht="22.15" customHeight="1" x14ac:dyDescent="0.25"/>
    <row r="64" ht="22.15" customHeight="1" x14ac:dyDescent="0.25"/>
    <row r="65" ht="22.15" customHeight="1" x14ac:dyDescent="0.25"/>
    <row r="66" ht="22.15" customHeight="1" x14ac:dyDescent="0.25"/>
    <row r="67" ht="22.15" customHeight="1" x14ac:dyDescent="0.25"/>
    <row r="68" ht="22.15" customHeight="1" x14ac:dyDescent="0.25"/>
    <row r="69" ht="22.15" customHeight="1" x14ac:dyDescent="0.25"/>
    <row r="70" ht="22.15" customHeight="1" x14ac:dyDescent="0.25"/>
    <row r="71" ht="22.15" customHeight="1" x14ac:dyDescent="0.25"/>
    <row r="72" ht="22.15" customHeight="1" x14ac:dyDescent="0.25"/>
    <row r="73" ht="22.15" customHeight="1" x14ac:dyDescent="0.25"/>
    <row r="74" ht="22.15" customHeight="1" x14ac:dyDescent="0.25"/>
    <row r="75" ht="22.15" customHeight="1" x14ac:dyDescent="0.25"/>
    <row r="76" ht="22.15" customHeight="1" x14ac:dyDescent="0.25"/>
    <row r="77" ht="22.15" customHeight="1" x14ac:dyDescent="0.25"/>
    <row r="78" ht="22.15" customHeight="1" x14ac:dyDescent="0.25"/>
    <row r="79" ht="22.15" customHeight="1" x14ac:dyDescent="0.25"/>
  </sheetData>
  <mergeCells count="22">
    <mergeCell ref="D1:K1"/>
    <mergeCell ref="A3:C3"/>
    <mergeCell ref="D3:F3"/>
    <mergeCell ref="C16:G16"/>
    <mergeCell ref="K16:N16"/>
    <mergeCell ref="C17:G17"/>
    <mergeCell ref="K17:N17"/>
    <mergeCell ref="C18:G18"/>
    <mergeCell ref="K18:N18"/>
    <mergeCell ref="A25:B25"/>
    <mergeCell ref="B27:C27"/>
    <mergeCell ref="D27:L27"/>
    <mergeCell ref="B29:C29"/>
    <mergeCell ref="D29:L29"/>
    <mergeCell ref="B31:C31"/>
    <mergeCell ref="D31:L31"/>
    <mergeCell ref="B33:C33"/>
    <mergeCell ref="D33:L33"/>
    <mergeCell ref="B35:C35"/>
    <mergeCell ref="D35:L35"/>
    <mergeCell ref="B37:C37"/>
    <mergeCell ref="D37:L37"/>
  </mergeCells>
  <pageMargins left="0.7086614173228347" right="0.31496062992125984" top="0.7480314960629921" bottom="0.5511811023622047" header="0.31496062992125984" footer="0.31496062992125984"/>
  <pageSetup paperSize="9" orientation="portrait" horizontalDpi="4294967295" verticalDpi="4294967295" scale="95" fitToWidth="1" fitToHeight="1" firstPageNumber="1" useFirstPageNumber="1" copies="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workbookViewId="0" zoomScale="100" zoomScaleNormal="100" view="pageBreakPreview">
      <selection activeCell="M34" sqref="M34"/>
    </sheetView>
  </sheetViews>
  <sheetFormatPr defaultRowHeight="15" outlineLevelRow="0" outlineLevelCol="0" x14ac:dyDescent="0" defaultColWidth="8.85546875"/>
  <cols>
    <col min="1" max="1" width="7.7109375" style="977" customWidth="1"/>
    <col min="2" max="14" width="5.5703125" style="977" customWidth="1"/>
    <col min="15" max="15" width="12" style="977" customWidth="1"/>
    <col min="16" max="16384" width="8.85546875" style="977" customWidth="1"/>
  </cols>
  <sheetData>
    <row r="1" ht="27.75" customHeight="1" spans="1:15" x14ac:dyDescent="0.25">
      <c r="A1" s="964"/>
      <c r="B1" s="965" t="s">
        <v>1787</v>
      </c>
      <c r="C1" s="977"/>
      <c r="D1" s="977"/>
      <c r="E1" s="977"/>
      <c r="F1" s="977"/>
      <c r="G1" s="977"/>
      <c r="H1" s="977"/>
      <c r="I1" s="977"/>
      <c r="J1" s="977"/>
      <c r="K1" s="977"/>
      <c r="L1" s="977"/>
      <c r="M1" s="977"/>
      <c r="N1" s="964"/>
      <c r="O1" s="964"/>
    </row>
    <row r="2" ht="18.75" customHeight="1" spans="1:15" x14ac:dyDescent="0.25">
      <c r="A2" s="964"/>
      <c r="B2" s="966"/>
      <c r="C2" s="964"/>
      <c r="D2" s="964"/>
      <c r="E2" s="964"/>
      <c r="F2" s="964"/>
      <c r="G2" s="964"/>
      <c r="H2" s="964"/>
      <c r="I2" s="964"/>
      <c r="J2" s="964"/>
      <c r="K2" s="964"/>
      <c r="L2" s="964"/>
      <c r="M2" s="964"/>
      <c r="N2" s="964"/>
      <c r="O2" s="964"/>
    </row>
    <row r="3" ht="18" customHeight="1" spans="1:18" x14ac:dyDescent="0.25">
      <c r="A3" s="964" t="s">
        <v>1037</v>
      </c>
      <c r="B3" s="967">
        <f>IF(初期入力!B4="","",初期入力!B4)</f>
      </c>
      <c r="C3" s="967"/>
      <c r="D3" s="967"/>
      <c r="E3" s="968">
        <f>IF(初期入力!B6="","",初期入力!B6)</f>
      </c>
      <c r="F3" s="968"/>
      <c r="G3" s="968"/>
      <c r="H3" s="964" t="s">
        <v>1759</v>
      </c>
      <c r="I3" s="964"/>
      <c r="J3" s="964"/>
      <c r="K3" s="964"/>
      <c r="L3" s="964"/>
      <c r="M3" s="964"/>
      <c r="N3" s="964"/>
      <c r="O3" s="964"/>
      <c r="R3" s="964"/>
    </row>
    <row r="4" ht="18" customHeight="1" spans="1:15" x14ac:dyDescent="0.25">
      <c r="A4" s="964" t="s">
        <v>1788</v>
      </c>
      <c r="B4" s="964"/>
      <c r="C4" s="964"/>
      <c r="D4" s="964"/>
      <c r="E4" s="964">
        <f>初期入力!C13</f>
        <v>2025</v>
      </c>
      <c r="F4" s="967" t="s">
        <v>33</v>
      </c>
      <c r="G4" s="964">
        <f>初期入力!E13</f>
        <v>7</v>
      </c>
      <c r="H4" s="967" t="s">
        <v>34</v>
      </c>
      <c r="I4" s="964">
        <f>初期入力!G13</f>
        <v>25</v>
      </c>
      <c r="J4" s="964" t="s">
        <v>1789</v>
      </c>
      <c r="M4" s="964"/>
      <c r="N4" s="964"/>
      <c r="O4" s="964"/>
    </row>
    <row r="5" ht="18" customHeight="1" spans="1:15" x14ac:dyDescent="0.25">
      <c r="A5" s="964" t="s">
        <v>1790</v>
      </c>
      <c r="B5" s="964"/>
      <c r="C5" s="964"/>
      <c r="D5" s="964"/>
      <c r="E5" s="964"/>
      <c r="F5" s="964"/>
      <c r="G5" s="964"/>
      <c r="H5" s="964"/>
      <c r="I5" s="964"/>
      <c r="J5" s="964"/>
      <c r="K5" s="964"/>
      <c r="L5" s="964"/>
      <c r="M5" s="964"/>
      <c r="N5" s="964"/>
      <c r="O5" s="964"/>
    </row>
    <row r="6" ht="18" customHeight="1" spans="1:15" x14ac:dyDescent="0.25">
      <c r="A6" s="964" t="s">
        <v>1791</v>
      </c>
      <c r="B6" s="964"/>
      <c r="C6" s="964"/>
      <c r="D6" s="964"/>
      <c r="E6" s="964"/>
      <c r="F6" s="964"/>
      <c r="G6" s="964"/>
      <c r="H6" s="964"/>
      <c r="I6" s="964"/>
      <c r="J6" s="964"/>
      <c r="K6" s="964"/>
      <c r="L6" s="964"/>
      <c r="M6" s="964"/>
      <c r="N6" s="964"/>
      <c r="O6" s="964"/>
    </row>
    <row r="7" ht="18" customHeight="1" spans="1:15" x14ac:dyDescent="0.25">
      <c r="A7" s="964" t="s">
        <v>1792</v>
      </c>
      <c r="B7" s="964"/>
      <c r="C7" s="964"/>
      <c r="D7" s="964"/>
      <c r="E7" s="964"/>
      <c r="F7" s="964"/>
      <c r="G7" s="964"/>
      <c r="H7" s="964"/>
      <c r="I7" s="964"/>
      <c r="J7" s="964"/>
      <c r="K7" s="964"/>
      <c r="L7" s="964"/>
      <c r="M7" s="964"/>
      <c r="N7" s="964"/>
      <c r="O7" s="964"/>
    </row>
    <row r="8" ht="18" customHeight="1" spans="1:15" x14ac:dyDescent="0.25">
      <c r="A8" s="964" t="s">
        <v>1793</v>
      </c>
      <c r="B8" s="964"/>
      <c r="C8" s="964"/>
      <c r="D8" s="964"/>
      <c r="E8" s="964"/>
      <c r="F8" s="964"/>
      <c r="G8" s="964"/>
      <c r="H8" s="964"/>
      <c r="I8" s="964"/>
      <c r="J8" s="964"/>
      <c r="K8" s="964"/>
      <c r="L8" s="964"/>
      <c r="M8" s="964"/>
      <c r="N8" s="964"/>
      <c r="O8" s="964"/>
    </row>
    <row r="9" ht="18" customHeight="1" spans="1:15" x14ac:dyDescent="0.25">
      <c r="A9" s="964" t="s">
        <v>1794</v>
      </c>
      <c r="B9" s="964"/>
      <c r="C9" s="964"/>
      <c r="D9" s="964"/>
      <c r="E9" s="964"/>
      <c r="F9" s="964"/>
      <c r="G9" s="964"/>
      <c r="H9" s="964"/>
      <c r="I9" s="964"/>
      <c r="J9" s="964"/>
      <c r="K9" s="964"/>
      <c r="L9" s="964"/>
      <c r="M9" s="964"/>
      <c r="N9" s="964"/>
      <c r="O9" s="964"/>
    </row>
    <row r="10" ht="18" customHeight="1" spans="1:15" x14ac:dyDescent="0.25">
      <c r="A10" s="964" t="s">
        <v>1795</v>
      </c>
      <c r="B10" s="964"/>
      <c r="C10" s="964"/>
      <c r="D10" s="964"/>
      <c r="E10" s="964"/>
      <c r="F10" s="964"/>
      <c r="G10" s="964"/>
      <c r="H10" s="964"/>
      <c r="I10" s="964"/>
      <c r="J10" s="964"/>
      <c r="K10" s="964"/>
      <c r="L10" s="964"/>
      <c r="M10" s="964"/>
      <c r="N10" s="964"/>
      <c r="O10" s="964"/>
    </row>
    <row r="11" ht="18" customHeight="1" spans="1:15" x14ac:dyDescent="0.25">
      <c r="A11" s="964" t="s">
        <v>1796</v>
      </c>
      <c r="B11" s="964"/>
      <c r="C11" s="964"/>
      <c r="D11" s="964"/>
      <c r="E11" s="964"/>
      <c r="F11" s="964"/>
      <c r="G11" s="964"/>
      <c r="H11" s="964"/>
      <c r="I11" s="964"/>
      <c r="J11" s="964"/>
      <c r="K11" s="964"/>
      <c r="L11" s="964"/>
      <c r="M11" s="964"/>
      <c r="N11" s="964"/>
      <c r="O11" s="964"/>
    </row>
    <row r="12" ht="18" customHeight="1" spans="1:15" x14ac:dyDescent="0.25">
      <c r="A12" s="964" t="s">
        <v>217</v>
      </c>
      <c r="B12" s="964"/>
      <c r="C12" s="964"/>
      <c r="D12" s="964"/>
      <c r="E12" s="964"/>
      <c r="F12" s="964"/>
      <c r="G12" s="964"/>
      <c r="H12" s="964"/>
      <c r="I12" s="964"/>
      <c r="J12" s="964"/>
      <c r="K12" s="964"/>
      <c r="L12" s="964"/>
      <c r="M12" s="964"/>
      <c r="N12" s="964"/>
      <c r="O12" s="964"/>
    </row>
    <row r="13" ht="17.1" customHeight="1" spans="1:15" x14ac:dyDescent="0.25">
      <c r="A13" s="964"/>
      <c r="B13" s="964"/>
      <c r="C13" s="964"/>
      <c r="D13" s="964"/>
      <c r="E13" s="964"/>
      <c r="F13" s="964"/>
      <c r="G13" s="964"/>
      <c r="H13" s="964"/>
      <c r="I13" s="964"/>
      <c r="J13" s="964"/>
      <c r="K13" s="964"/>
      <c r="L13" s="964"/>
      <c r="M13" s="964"/>
      <c r="N13" s="964"/>
      <c r="O13" s="964"/>
    </row>
    <row r="14" ht="15" customHeight="1" spans="1:15" x14ac:dyDescent="0.25">
      <c r="A14" s="964"/>
      <c r="B14" s="964"/>
      <c r="C14" s="964"/>
      <c r="D14" s="964"/>
      <c r="E14" s="964"/>
      <c r="F14" s="964"/>
      <c r="G14" s="964"/>
      <c r="H14" s="964" t="s">
        <v>1073</v>
      </c>
      <c r="I14" s="964"/>
      <c r="J14" s="964"/>
      <c r="K14" s="964"/>
      <c r="L14" s="964"/>
      <c r="M14" s="964"/>
      <c r="N14" s="964"/>
      <c r="O14" s="964"/>
    </row>
    <row r="15" ht="17.1" customHeight="1" spans="1:15" x14ac:dyDescent="0.25">
      <c r="A15" s="964"/>
      <c r="B15" s="964"/>
      <c r="C15" s="964"/>
      <c r="D15" s="964"/>
      <c r="E15" s="964"/>
      <c r="F15" s="964"/>
      <c r="G15" s="964"/>
      <c r="H15" s="964"/>
      <c r="I15" s="964"/>
      <c r="J15" s="964"/>
      <c r="K15" s="964"/>
      <c r="L15" s="964"/>
      <c r="M15" s="964"/>
      <c r="N15" s="964"/>
      <c r="O15" s="964"/>
    </row>
    <row r="16" ht="18" customHeight="1" spans="1:15" x14ac:dyDescent="0.25">
      <c r="A16" s="970" t="s">
        <v>1797</v>
      </c>
      <c r="C16" s="964"/>
      <c r="D16" s="964"/>
      <c r="E16" s="964"/>
      <c r="F16" s="964"/>
      <c r="G16" s="964"/>
      <c r="H16" s="964"/>
      <c r="I16" s="964"/>
      <c r="J16" s="964"/>
      <c r="K16" s="964"/>
      <c r="L16" s="964"/>
      <c r="M16" s="964"/>
      <c r="N16" s="964"/>
      <c r="O16" s="964"/>
    </row>
    <row r="17" ht="18" customHeight="1" spans="1:15" x14ac:dyDescent="0.25">
      <c r="A17" s="969">
        <v>1</v>
      </c>
      <c r="B17" s="970" t="s">
        <v>1798</v>
      </c>
      <c r="C17" s="964"/>
      <c r="D17" s="964"/>
      <c r="E17" s="964"/>
      <c r="F17" s="964"/>
      <c r="G17" s="964"/>
      <c r="H17" s="964"/>
      <c r="I17" s="964"/>
      <c r="J17" s="964"/>
      <c r="K17" s="964"/>
      <c r="L17" s="964"/>
      <c r="M17" s="964"/>
      <c r="N17" s="964"/>
      <c r="O17" s="964"/>
    </row>
    <row r="18" ht="18" customHeight="1" spans="1:15" x14ac:dyDescent="0.25">
      <c r="A18" s="969"/>
      <c r="B18" s="970" t="s">
        <v>1799</v>
      </c>
      <c r="C18" s="964"/>
      <c r="D18" s="964"/>
      <c r="E18" s="964"/>
      <c r="F18" s="964"/>
      <c r="G18" s="964"/>
      <c r="H18" s="964"/>
      <c r="I18" s="964"/>
      <c r="J18" s="964"/>
      <c r="K18" s="964"/>
      <c r="L18" s="964"/>
      <c r="M18" s="964"/>
      <c r="N18" s="964"/>
      <c r="O18" s="964"/>
    </row>
    <row r="19" ht="18" customHeight="1" spans="1:15" x14ac:dyDescent="0.25">
      <c r="A19" s="969"/>
      <c r="B19" s="970" t="s">
        <v>1800</v>
      </c>
      <c r="C19" s="964"/>
      <c r="D19" s="964"/>
      <c r="E19" s="964"/>
      <c r="F19" s="964"/>
      <c r="G19" s="964"/>
      <c r="H19" s="964"/>
      <c r="I19" s="964"/>
      <c r="J19" s="964"/>
      <c r="K19" s="964"/>
      <c r="L19" s="964"/>
      <c r="M19" s="964"/>
      <c r="N19" s="964"/>
      <c r="O19" s="964"/>
    </row>
    <row r="20" ht="18" customHeight="1" spans="1:15" x14ac:dyDescent="0.25">
      <c r="A20" s="969">
        <v>2</v>
      </c>
      <c r="B20" s="964" t="s">
        <v>1801</v>
      </c>
      <c r="C20" s="964"/>
      <c r="D20" s="964"/>
      <c r="E20" s="964"/>
      <c r="F20" s="964"/>
      <c r="G20" s="964"/>
      <c r="H20" s="964"/>
      <c r="I20" s="964"/>
      <c r="J20" s="964"/>
      <c r="K20" s="964"/>
      <c r="L20" s="964"/>
      <c r="M20" s="964"/>
      <c r="N20" s="964"/>
      <c r="O20" s="964"/>
    </row>
    <row r="21" ht="18" customHeight="1" spans="1:15" x14ac:dyDescent="0.25">
      <c r="A21" s="969"/>
      <c r="B21" s="964" t="s">
        <v>1802</v>
      </c>
      <c r="C21" s="964"/>
      <c r="D21" s="964"/>
      <c r="E21" s="964"/>
      <c r="F21" s="964"/>
      <c r="G21" s="964"/>
      <c r="H21" s="964"/>
      <c r="I21" s="964"/>
      <c r="J21" s="964"/>
      <c r="K21" s="964"/>
      <c r="L21" s="964"/>
      <c r="M21" s="964"/>
      <c r="N21" s="964"/>
      <c r="O21" s="964"/>
    </row>
    <row r="22" ht="18" customHeight="1" spans="1:15" x14ac:dyDescent="0.25">
      <c r="A22" s="969"/>
      <c r="B22" s="964" t="s">
        <v>1803</v>
      </c>
      <c r="C22" s="964"/>
      <c r="D22" s="964"/>
      <c r="E22" s="964"/>
      <c r="F22" s="964"/>
      <c r="G22" s="964"/>
      <c r="H22" s="964"/>
      <c r="I22" s="964"/>
      <c r="J22" s="964"/>
      <c r="K22" s="964"/>
      <c r="L22" s="964"/>
      <c r="M22" s="964"/>
      <c r="N22" s="964"/>
      <c r="O22" s="964"/>
    </row>
    <row r="23" ht="18" customHeight="1" spans="1:15" x14ac:dyDescent="0.25">
      <c r="A23" s="969"/>
      <c r="B23" s="964" t="s">
        <v>1804</v>
      </c>
      <c r="C23" s="964"/>
      <c r="D23" s="964"/>
      <c r="E23" s="964"/>
      <c r="F23" s="964"/>
      <c r="G23" s="964"/>
      <c r="H23" s="964"/>
      <c r="I23" s="964"/>
      <c r="J23" s="964"/>
      <c r="K23" s="964"/>
      <c r="L23" s="964"/>
      <c r="M23" s="964"/>
      <c r="N23" s="964"/>
      <c r="O23" s="964"/>
    </row>
    <row r="24" ht="18" customHeight="1" spans="1:15" x14ac:dyDescent="0.25">
      <c r="A24" s="969"/>
      <c r="B24" s="964" t="s">
        <v>1805</v>
      </c>
      <c r="C24" s="964"/>
      <c r="D24" s="964"/>
      <c r="E24" s="964"/>
      <c r="F24" s="964"/>
      <c r="G24" s="964"/>
      <c r="H24" s="964"/>
      <c r="I24" s="964"/>
      <c r="J24" s="964"/>
      <c r="K24" s="964"/>
      <c r="L24" s="964"/>
      <c r="M24" s="964"/>
      <c r="N24" s="964"/>
      <c r="O24" s="964"/>
    </row>
    <row r="25" ht="18" customHeight="1" spans="1:15" x14ac:dyDescent="0.25">
      <c r="A25" s="969"/>
      <c r="B25" s="964" t="s">
        <v>1806</v>
      </c>
      <c r="C25" s="964"/>
      <c r="D25" s="964"/>
      <c r="E25" s="964"/>
      <c r="F25" s="964"/>
      <c r="G25" s="964"/>
      <c r="H25" s="964"/>
      <c r="I25" s="964"/>
      <c r="J25" s="964"/>
      <c r="K25" s="964"/>
      <c r="L25" s="964"/>
      <c r="M25" s="964"/>
      <c r="N25" s="964"/>
      <c r="O25" s="964"/>
    </row>
    <row r="26" ht="18" customHeight="1" spans="1:15" x14ac:dyDescent="0.25">
      <c r="A26" s="969">
        <v>3</v>
      </c>
      <c r="B26" s="964" t="s">
        <v>1807</v>
      </c>
      <c r="C26" s="964"/>
      <c r="D26" s="964"/>
      <c r="E26" s="964"/>
      <c r="F26" s="964"/>
      <c r="G26" s="964"/>
      <c r="H26" s="964"/>
      <c r="I26" s="964"/>
      <c r="J26" s="964"/>
      <c r="K26" s="964"/>
      <c r="L26" s="964"/>
      <c r="M26" s="964"/>
      <c r="N26" s="964"/>
      <c r="O26" s="964"/>
    </row>
    <row r="27" ht="18" customHeight="1" spans="1:15" x14ac:dyDescent="0.25">
      <c r="A27" s="969">
        <v>4</v>
      </c>
      <c r="B27" s="964" t="s">
        <v>1808</v>
      </c>
      <c r="C27" s="964"/>
      <c r="D27" s="964"/>
      <c r="E27" s="964"/>
      <c r="F27" s="964"/>
      <c r="G27" s="964"/>
      <c r="H27" s="964"/>
      <c r="I27" s="964"/>
      <c r="J27" s="964"/>
      <c r="K27" s="964"/>
      <c r="L27" s="964"/>
      <c r="M27" s="964"/>
      <c r="N27" s="964"/>
      <c r="O27" s="964"/>
    </row>
    <row r="28" ht="18" customHeight="1" spans="1:15" x14ac:dyDescent="0.25">
      <c r="A28" s="969">
        <v>5</v>
      </c>
      <c r="B28" s="964" t="s">
        <v>1809</v>
      </c>
      <c r="C28" s="964"/>
      <c r="D28" s="964"/>
      <c r="E28" s="964"/>
      <c r="F28" s="964"/>
      <c r="G28" s="964"/>
      <c r="H28" s="964"/>
      <c r="I28" s="964"/>
      <c r="J28" s="964"/>
      <c r="K28" s="964"/>
      <c r="L28" s="964"/>
      <c r="M28" s="964"/>
      <c r="N28" s="964"/>
      <c r="O28" s="964"/>
    </row>
    <row r="29" ht="18" customHeight="1" spans="1:15" x14ac:dyDescent="0.25">
      <c r="A29" s="969">
        <v>6</v>
      </c>
      <c r="B29" s="964" t="s">
        <v>1810</v>
      </c>
      <c r="C29" s="964"/>
      <c r="D29" s="964"/>
      <c r="E29" s="964"/>
      <c r="F29" s="964"/>
      <c r="G29" s="964"/>
      <c r="H29" s="964"/>
      <c r="I29" s="964"/>
      <c r="J29" s="964"/>
      <c r="K29" s="964"/>
      <c r="L29" s="964"/>
      <c r="M29" s="964"/>
      <c r="N29" s="964"/>
      <c r="O29" s="964"/>
    </row>
    <row r="30" ht="18" customHeight="1" spans="1:15" x14ac:dyDescent="0.25">
      <c r="A30" s="967"/>
      <c r="B30" s="964" t="s">
        <v>1811</v>
      </c>
      <c r="C30" s="964"/>
      <c r="D30" s="964"/>
      <c r="E30" s="964"/>
      <c r="F30" s="964"/>
      <c r="G30" s="964"/>
      <c r="H30" s="964"/>
      <c r="I30" s="964"/>
      <c r="J30" s="964"/>
      <c r="K30" s="964"/>
      <c r="L30" s="964"/>
      <c r="M30" s="964"/>
      <c r="N30" s="964"/>
      <c r="O30" s="964"/>
    </row>
    <row r="31" ht="18" customHeight="1" spans="1:15" x14ac:dyDescent="0.25">
      <c r="A31" s="964"/>
      <c r="B31" s="964"/>
      <c r="C31" s="964"/>
      <c r="D31" s="964"/>
      <c r="E31" s="964"/>
      <c r="F31" s="964"/>
      <c r="G31" s="964"/>
      <c r="H31" s="964"/>
      <c r="I31" s="964"/>
      <c r="J31" s="964"/>
      <c r="K31" s="964"/>
      <c r="L31" s="964"/>
      <c r="M31" s="964"/>
      <c r="O31" s="964" t="s">
        <v>943</v>
      </c>
    </row>
    <row r="32" ht="18" customHeight="1" spans="1:15" x14ac:dyDescent="0.25">
      <c r="A32" s="964"/>
      <c r="B32" s="964">
        <f>初期入力!C13</f>
        <v>2025</v>
      </c>
      <c r="C32" s="967" t="s">
        <v>33</v>
      </c>
      <c r="D32" s="967">
        <f>初期入力!E13</f>
        <v>7</v>
      </c>
      <c r="E32" s="967" t="s">
        <v>34</v>
      </c>
      <c r="F32" s="967">
        <f>初期入力!G13</f>
        <v>25</v>
      </c>
      <c r="G32" s="967" t="s">
        <v>35</v>
      </c>
      <c r="H32" s="964"/>
      <c r="I32" s="964"/>
      <c r="J32" s="964"/>
      <c r="K32" s="964"/>
      <c r="L32" s="964"/>
      <c r="M32" s="964"/>
      <c r="N32" s="964"/>
      <c r="O32" s="964"/>
    </row>
    <row r="33" ht="17.1" customHeight="1" spans="1:15" x14ac:dyDescent="0.25">
      <c r="A33" s="964"/>
      <c r="B33" s="964"/>
      <c r="C33" s="964"/>
      <c r="D33" s="964"/>
      <c r="E33" s="964"/>
      <c r="F33" s="964"/>
      <c r="G33" s="964"/>
      <c r="H33" s="964"/>
      <c r="I33" s="964"/>
      <c r="J33" s="964"/>
      <c r="K33" s="964"/>
      <c r="L33" s="964"/>
      <c r="M33" s="964"/>
      <c r="N33" s="964"/>
      <c r="O33" s="964"/>
    </row>
    <row r="34" ht="18" customHeight="1" spans="1:15" x14ac:dyDescent="0.25">
      <c r="A34" s="964"/>
      <c r="B34" s="964"/>
      <c r="C34" s="964" t="s">
        <v>1536</v>
      </c>
      <c r="D34" s="964"/>
      <c r="E34" s="964"/>
      <c r="F34" s="972">
        <f>IF(初期入力!B5="","",初期入力!B5)</f>
      </c>
      <c r="G34" s="973"/>
      <c r="H34" s="973"/>
      <c r="I34" s="973"/>
      <c r="J34" s="973"/>
      <c r="K34" s="973"/>
      <c r="L34" s="973"/>
      <c r="M34" s="964"/>
      <c r="N34" s="964"/>
      <c r="O34" s="964"/>
    </row>
    <row r="35" ht="17.1" customHeight="1" spans="1:15" x14ac:dyDescent="0.25">
      <c r="A35" s="964"/>
      <c r="B35" s="964"/>
      <c r="C35" s="964"/>
      <c r="D35" s="964"/>
      <c r="E35" s="964"/>
      <c r="F35" s="964"/>
      <c r="G35" s="964"/>
      <c r="H35" s="964"/>
      <c r="I35" s="964"/>
      <c r="J35" s="964"/>
      <c r="K35" s="964"/>
      <c r="L35" s="964"/>
      <c r="M35" s="964"/>
      <c r="N35" s="964"/>
      <c r="O35" s="964"/>
    </row>
    <row r="36" ht="18" customHeight="1" spans="1:15" x14ac:dyDescent="0.25">
      <c r="A36" s="964"/>
      <c r="B36" s="964"/>
      <c r="C36" s="964"/>
      <c r="D36" s="964" t="s">
        <v>198</v>
      </c>
      <c r="E36" s="964"/>
      <c r="F36" s="974">
        <f>IF(初期入力!B4="","",初期入力!B4)</f>
      </c>
      <c r="G36" s="973"/>
      <c r="H36" s="973"/>
      <c r="I36" s="973"/>
      <c r="J36" s="973"/>
      <c r="K36" s="973"/>
      <c r="L36" s="973"/>
      <c r="M36" s="975" t="s">
        <v>222</v>
      </c>
      <c r="N36" s="964"/>
      <c r="O36" s="964"/>
    </row>
    <row r="37" ht="14.1" customHeight="1" spans="1:15" x14ac:dyDescent="0.25">
      <c r="A37" s="964"/>
      <c r="B37" s="964"/>
      <c r="C37" s="964"/>
      <c r="D37" s="964"/>
      <c r="E37" s="964"/>
      <c r="F37" s="964"/>
      <c r="G37" s="964"/>
      <c r="H37" s="964"/>
      <c r="I37" s="964"/>
      <c r="J37" s="964"/>
      <c r="K37" s="964"/>
      <c r="L37" s="964"/>
      <c r="M37" s="964"/>
      <c r="N37" s="964"/>
      <c r="O37" s="964"/>
    </row>
    <row r="38" ht="18" customHeight="1" spans="1:15" x14ac:dyDescent="0.25">
      <c r="A38" s="964"/>
      <c r="B38" s="964"/>
      <c r="C38" s="964" t="s">
        <v>1536</v>
      </c>
      <c r="D38" s="964"/>
      <c r="E38" s="964"/>
      <c r="F38" s="972">
        <f>IF(初期入力!B7="","",初期入力!B7)</f>
      </c>
      <c r="G38" s="973"/>
      <c r="H38" s="973"/>
      <c r="I38" s="973"/>
      <c r="J38" s="973"/>
      <c r="K38" s="973"/>
      <c r="L38" s="973"/>
      <c r="M38" s="964"/>
      <c r="N38" s="964"/>
      <c r="O38" s="964"/>
    </row>
    <row r="39" ht="17.1" customHeight="1" spans="1:15" x14ac:dyDescent="0.25">
      <c r="A39" s="964"/>
      <c r="B39" s="964"/>
      <c r="C39" s="964"/>
      <c r="D39" s="964"/>
      <c r="E39" s="964"/>
      <c r="F39" s="964"/>
      <c r="G39" s="964"/>
      <c r="H39" s="964"/>
      <c r="I39" s="964"/>
      <c r="J39" s="964"/>
      <c r="K39" s="964"/>
      <c r="L39" s="964"/>
      <c r="M39" s="964"/>
      <c r="N39" s="964"/>
      <c r="O39" s="964"/>
    </row>
    <row r="40" ht="18" customHeight="1" spans="1:15" x14ac:dyDescent="0.25">
      <c r="A40" s="964"/>
      <c r="B40" s="964"/>
      <c r="C40" s="964"/>
      <c r="D40" s="964" t="s">
        <v>198</v>
      </c>
      <c r="E40" s="964"/>
      <c r="F40" s="974">
        <f>IF(初期入力!B6="","",初期入力!B6)</f>
      </c>
      <c r="G40" s="973"/>
      <c r="H40" s="973"/>
      <c r="I40" s="973"/>
      <c r="J40" s="973"/>
      <c r="K40" s="973"/>
      <c r="L40" s="973"/>
      <c r="M40" s="975" t="s">
        <v>222</v>
      </c>
      <c r="N40" s="964"/>
      <c r="O40" s="964"/>
    </row>
    <row r="41" ht="14.1" customHeight="1" spans="1:15" x14ac:dyDescent="0.25">
      <c r="A41" s="964"/>
      <c r="B41" s="964"/>
      <c r="C41" s="964"/>
      <c r="D41" s="964"/>
      <c r="E41" s="964"/>
      <c r="F41" s="964"/>
      <c r="G41" s="964"/>
      <c r="H41" s="964"/>
      <c r="I41" s="964"/>
      <c r="J41" s="964"/>
      <c r="K41" s="964"/>
      <c r="L41" s="964"/>
      <c r="M41" s="964"/>
      <c r="N41" s="964"/>
      <c r="O41" s="964"/>
    </row>
    <row r="42" ht="16.15" customHeight="1" spans="1:15" x14ac:dyDescent="0.25">
      <c r="A42" s="964"/>
      <c r="B42" s="964"/>
      <c r="C42" s="964" t="s">
        <v>1784</v>
      </c>
      <c r="D42" s="964"/>
      <c r="E42" s="964"/>
      <c r="F42" s="974" t="s">
        <v>119</v>
      </c>
      <c r="G42" s="973"/>
      <c r="H42" s="973"/>
      <c r="I42" s="973"/>
      <c r="J42" s="973"/>
      <c r="K42" s="973"/>
      <c r="L42" s="973"/>
      <c r="M42" s="964"/>
      <c r="N42" s="964"/>
      <c r="O42" s="964"/>
    </row>
    <row r="43" ht="17.1" customHeight="1" spans="1:15" x14ac:dyDescent="0.25">
      <c r="A43" s="964"/>
      <c r="B43" s="964"/>
      <c r="C43" s="964"/>
      <c r="D43" s="964"/>
      <c r="E43" s="964"/>
      <c r="F43" s="964"/>
      <c r="G43" s="964"/>
      <c r="H43" s="964"/>
      <c r="I43" s="964"/>
      <c r="J43" s="964"/>
      <c r="K43" s="964"/>
      <c r="L43" s="964"/>
      <c r="M43" s="964"/>
      <c r="N43" s="964"/>
      <c r="O43" s="964"/>
    </row>
    <row r="44" ht="18" customHeight="1" spans="1:15" x14ac:dyDescent="0.25">
      <c r="A44" s="964"/>
      <c r="B44" s="964"/>
      <c r="C44" s="964"/>
      <c r="D44" s="964" t="s">
        <v>198</v>
      </c>
      <c r="E44" s="964"/>
      <c r="F44" s="976" t="s">
        <v>1068</v>
      </c>
      <c r="G44" s="976"/>
      <c r="H44" s="976"/>
      <c r="I44" s="976"/>
      <c r="J44" s="976"/>
      <c r="K44" s="976"/>
      <c r="L44" s="976"/>
      <c r="M44" s="975" t="s">
        <v>222</v>
      </c>
      <c r="N44" s="964"/>
      <c r="O44" s="964"/>
    </row>
  </sheetData>
  <mergeCells count="8">
    <mergeCell ref="B1:M1"/>
    <mergeCell ref="B3:D3"/>
    <mergeCell ref="E3:G3"/>
    <mergeCell ref="F34:L34"/>
    <mergeCell ref="F36:L36"/>
    <mergeCell ref="F38:L38"/>
    <mergeCell ref="F40:L40"/>
    <mergeCell ref="F42:L42"/>
  </mergeCells>
  <pageMargins left="0.9055118110236221" right="0.7086614173228347" top="0.7480314960629921" bottom="0.5511811023622047" header="0.31496062992125984" footer="0.31496062992125984"/>
  <pageSetup paperSize="9" orientation="portrait" horizontalDpi="4294967295" verticalDpi="4294967295" scale="90" fitToWidth="1" fitToHeight="1" firstPageNumber="1" useFirstPageNumber="1" copies="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workbookViewId="0" zoomScale="100" zoomScaleNormal="100" view="pageBreakPreview">
      <selection activeCell="F41" sqref="F41"/>
    </sheetView>
  </sheetViews>
  <sheetFormatPr defaultRowHeight="15" outlineLevelRow="0" outlineLevelCol="0" x14ac:dyDescent="0" defaultColWidth="8.85546875"/>
  <cols>
    <col min="1" max="1" width="7.7109375" style="977" customWidth="1"/>
    <col min="2" max="14" width="5.5703125" style="977" customWidth="1"/>
    <col min="15" max="15" width="12" style="977" customWidth="1"/>
    <col min="16" max="16384" width="8.85546875" style="977" customWidth="1"/>
  </cols>
  <sheetData>
    <row r="1" ht="27.75" customHeight="1" spans="1:15" x14ac:dyDescent="0.25">
      <c r="A1" s="964"/>
      <c r="B1" s="965" t="s">
        <v>1758</v>
      </c>
      <c r="C1" s="977"/>
      <c r="D1" s="977"/>
      <c r="E1" s="977"/>
      <c r="F1" s="977"/>
      <c r="G1" s="977"/>
      <c r="H1" s="977"/>
      <c r="I1" s="977"/>
      <c r="J1" s="977"/>
      <c r="K1" s="977"/>
      <c r="L1" s="977"/>
      <c r="M1" s="977"/>
      <c r="N1" s="964"/>
      <c r="O1" s="964"/>
    </row>
    <row r="2" ht="18.75" customHeight="1" spans="1:15" x14ac:dyDescent="0.25">
      <c r="A2" s="964"/>
      <c r="B2" s="966"/>
      <c r="C2" s="964"/>
      <c r="D2" s="964"/>
      <c r="E2" s="964"/>
      <c r="F2" s="964"/>
      <c r="G2" s="964"/>
      <c r="H2" s="964"/>
      <c r="I2" s="964"/>
      <c r="J2" s="964"/>
      <c r="K2" s="964"/>
      <c r="L2" s="964"/>
      <c r="M2" s="964"/>
      <c r="N2" s="964"/>
      <c r="O2" s="964"/>
    </row>
    <row r="3" ht="18" customHeight="1" spans="1:18" x14ac:dyDescent="0.25">
      <c r="A3" s="964" t="s">
        <v>1037</v>
      </c>
      <c r="B3" s="967">
        <f>IF(初期入力!B4="","",初期入力!B4)</f>
      </c>
      <c r="C3" s="967"/>
      <c r="D3" s="967"/>
      <c r="E3" s="968">
        <f>IF(初期入力!B6="","",初期入力!B6)</f>
      </c>
      <c r="F3" s="968"/>
      <c r="G3" s="968"/>
      <c r="H3" s="964" t="s">
        <v>1759</v>
      </c>
      <c r="I3" s="964"/>
      <c r="J3" s="964"/>
      <c r="K3" s="964"/>
      <c r="L3" s="964"/>
      <c r="M3" s="964"/>
      <c r="N3" s="964"/>
      <c r="O3" s="964"/>
      <c r="R3" s="964"/>
    </row>
    <row r="4" ht="18" customHeight="1" spans="1:15" x14ac:dyDescent="0.25">
      <c r="A4" s="964" t="s">
        <v>1788</v>
      </c>
      <c r="B4" s="964"/>
      <c r="C4" s="964"/>
      <c r="D4" s="964"/>
      <c r="E4" s="964">
        <f>初期入力!C13</f>
        <v>2025</v>
      </c>
      <c r="F4" s="967" t="s">
        <v>33</v>
      </c>
      <c r="G4" s="964">
        <f>初期入力!E13</f>
        <v>7</v>
      </c>
      <c r="H4" s="967" t="s">
        <v>34</v>
      </c>
      <c r="I4" s="964">
        <f>初期入力!G13</f>
        <v>25</v>
      </c>
      <c r="J4" s="964" t="s">
        <v>1789</v>
      </c>
      <c r="M4" s="964"/>
      <c r="N4" s="964"/>
      <c r="O4" s="964"/>
    </row>
    <row r="5" ht="18" customHeight="1" spans="1:15" x14ac:dyDescent="0.25">
      <c r="A5" s="964" t="s">
        <v>1812</v>
      </c>
      <c r="B5" s="964"/>
      <c r="C5" s="964"/>
      <c r="D5" s="964"/>
      <c r="E5" s="964"/>
      <c r="F5" s="964"/>
      <c r="G5" s="964"/>
      <c r="H5" s="964"/>
      <c r="I5" s="964"/>
      <c r="J5" s="964"/>
      <c r="K5" s="964"/>
      <c r="L5" s="964"/>
      <c r="M5" s="964"/>
      <c r="N5" s="964"/>
      <c r="O5" s="964"/>
    </row>
    <row r="6" ht="18" customHeight="1" spans="1:15" x14ac:dyDescent="0.25">
      <c r="A6" s="964" t="s">
        <v>1791</v>
      </c>
      <c r="B6" s="964"/>
      <c r="C6" s="964"/>
      <c r="D6" s="964"/>
      <c r="E6" s="964"/>
      <c r="F6" s="964"/>
      <c r="G6" s="964"/>
      <c r="H6" s="964"/>
      <c r="I6" s="964"/>
      <c r="J6" s="964"/>
      <c r="K6" s="964"/>
      <c r="L6" s="964"/>
      <c r="M6" s="964"/>
      <c r="N6" s="964"/>
      <c r="O6" s="964"/>
    </row>
    <row r="7" ht="18" customHeight="1" spans="1:15" x14ac:dyDescent="0.25">
      <c r="A7" s="964" t="s">
        <v>1792</v>
      </c>
      <c r="B7" s="964"/>
      <c r="C7" s="964"/>
      <c r="D7" s="964"/>
      <c r="E7" s="964"/>
      <c r="F7" s="964"/>
      <c r="G7" s="964"/>
      <c r="H7" s="964"/>
      <c r="I7" s="964"/>
      <c r="J7" s="964"/>
      <c r="K7" s="964"/>
      <c r="L7" s="964"/>
      <c r="M7" s="964"/>
      <c r="N7" s="964"/>
      <c r="O7" s="964"/>
    </row>
    <row r="8" ht="18" customHeight="1" spans="1:15" x14ac:dyDescent="0.25">
      <c r="A8" s="964" t="s">
        <v>1793</v>
      </c>
      <c r="B8" s="964"/>
      <c r="C8" s="964"/>
      <c r="D8" s="964"/>
      <c r="E8" s="964"/>
      <c r="F8" s="964"/>
      <c r="G8" s="964"/>
      <c r="H8" s="964"/>
      <c r="I8" s="964"/>
      <c r="J8" s="964"/>
      <c r="K8" s="964"/>
      <c r="L8" s="964"/>
      <c r="M8" s="964"/>
      <c r="N8" s="964"/>
      <c r="O8" s="964"/>
    </row>
    <row r="9" ht="18" customHeight="1" spans="1:15" x14ac:dyDescent="0.25">
      <c r="A9" s="964" t="s">
        <v>1794</v>
      </c>
      <c r="B9" s="964"/>
      <c r="C9" s="964"/>
      <c r="D9" s="964"/>
      <c r="E9" s="964"/>
      <c r="F9" s="964"/>
      <c r="G9" s="964"/>
      <c r="H9" s="964"/>
      <c r="I9" s="964"/>
      <c r="J9" s="964"/>
      <c r="K9" s="964"/>
      <c r="L9" s="964"/>
      <c r="M9" s="964"/>
      <c r="N9" s="964"/>
      <c r="O9" s="964"/>
    </row>
    <row r="10" ht="18" customHeight="1" spans="1:15" x14ac:dyDescent="0.25">
      <c r="A10" s="964" t="s">
        <v>1795</v>
      </c>
      <c r="B10" s="964"/>
      <c r="C10" s="964"/>
      <c r="D10" s="964"/>
      <c r="E10" s="964"/>
      <c r="F10" s="964"/>
      <c r="G10" s="964"/>
      <c r="H10" s="964"/>
      <c r="I10" s="964"/>
      <c r="J10" s="964"/>
      <c r="K10" s="964"/>
      <c r="L10" s="964"/>
      <c r="M10" s="964"/>
      <c r="N10" s="964"/>
      <c r="O10" s="964"/>
    </row>
    <row r="11" ht="18" customHeight="1" spans="1:15" x14ac:dyDescent="0.25">
      <c r="A11" s="964" t="s">
        <v>1796</v>
      </c>
      <c r="B11" s="964"/>
      <c r="C11" s="964"/>
      <c r="D11" s="964"/>
      <c r="E11" s="964"/>
      <c r="F11" s="964"/>
      <c r="G11" s="964"/>
      <c r="H11" s="964"/>
      <c r="I11" s="964"/>
      <c r="J11" s="964"/>
      <c r="K11" s="964"/>
      <c r="L11" s="964"/>
      <c r="M11" s="964"/>
      <c r="N11" s="964"/>
      <c r="O11" s="964"/>
    </row>
    <row r="12" ht="18" customHeight="1" spans="1:15" x14ac:dyDescent="0.25">
      <c r="A12" s="964" t="s">
        <v>217</v>
      </c>
      <c r="B12" s="964"/>
      <c r="C12" s="964"/>
      <c r="D12" s="964"/>
      <c r="E12" s="964"/>
      <c r="F12" s="964"/>
      <c r="G12" s="964"/>
      <c r="H12" s="964"/>
      <c r="I12" s="964"/>
      <c r="J12" s="964"/>
      <c r="K12" s="964"/>
      <c r="L12" s="964"/>
      <c r="M12" s="964"/>
      <c r="N12" s="964"/>
      <c r="O12" s="964"/>
    </row>
    <row r="13" ht="17.1" customHeight="1" spans="1:15" x14ac:dyDescent="0.25">
      <c r="A13" s="964"/>
      <c r="B13" s="964"/>
      <c r="C13" s="964"/>
      <c r="D13" s="964"/>
      <c r="E13" s="964"/>
      <c r="F13" s="964"/>
      <c r="G13" s="964"/>
      <c r="H13" s="964"/>
      <c r="I13" s="964"/>
      <c r="J13" s="964"/>
      <c r="K13" s="964"/>
      <c r="L13" s="964"/>
      <c r="M13" s="964"/>
      <c r="N13" s="964"/>
      <c r="O13" s="964"/>
    </row>
    <row r="14" ht="15" customHeight="1" spans="1:15" x14ac:dyDescent="0.25">
      <c r="A14" s="964"/>
      <c r="B14" s="964"/>
      <c r="C14" s="964"/>
      <c r="D14" s="964"/>
      <c r="E14" s="964"/>
      <c r="F14" s="964"/>
      <c r="G14" s="964"/>
      <c r="H14" s="964" t="s">
        <v>1073</v>
      </c>
      <c r="I14" s="964"/>
      <c r="J14" s="964"/>
      <c r="K14" s="964"/>
      <c r="L14" s="964"/>
      <c r="M14" s="964"/>
      <c r="N14" s="964"/>
      <c r="O14" s="964"/>
    </row>
    <row r="15" ht="17.1" customHeight="1" spans="1:15" x14ac:dyDescent="0.25">
      <c r="A15" s="964"/>
      <c r="B15" s="964"/>
      <c r="C15" s="964"/>
      <c r="D15" s="964"/>
      <c r="E15" s="964"/>
      <c r="F15" s="964"/>
      <c r="G15" s="964"/>
      <c r="H15" s="964"/>
      <c r="I15" s="964"/>
      <c r="J15" s="964"/>
      <c r="K15" s="964"/>
      <c r="L15" s="964"/>
      <c r="M15" s="964"/>
      <c r="N15" s="964"/>
      <c r="O15" s="964"/>
    </row>
    <row r="16" ht="18" customHeight="1" spans="1:15" x14ac:dyDescent="0.25">
      <c r="A16" s="970" t="s">
        <v>1813</v>
      </c>
      <c r="C16" s="964"/>
      <c r="D16" s="964"/>
      <c r="E16" s="964"/>
      <c r="F16" s="964"/>
      <c r="G16" s="964"/>
      <c r="H16" s="964"/>
      <c r="I16" s="964"/>
      <c r="J16" s="964"/>
      <c r="K16" s="964"/>
      <c r="L16" s="964"/>
      <c r="M16" s="964"/>
      <c r="N16" s="964"/>
      <c r="O16" s="964"/>
    </row>
    <row r="17" ht="18" customHeight="1" spans="1:15" x14ac:dyDescent="0.25">
      <c r="A17" s="969">
        <v>1</v>
      </c>
      <c r="B17" s="970" t="s">
        <v>1798</v>
      </c>
      <c r="C17" s="964"/>
      <c r="D17" s="964"/>
      <c r="E17" s="964"/>
      <c r="F17" s="964"/>
      <c r="G17" s="964"/>
      <c r="H17" s="964"/>
      <c r="I17" s="964"/>
      <c r="J17" s="964"/>
      <c r="K17" s="964"/>
      <c r="L17" s="964"/>
      <c r="M17" s="964"/>
      <c r="N17" s="964"/>
      <c r="O17" s="964"/>
    </row>
    <row r="18" ht="18" customHeight="1" spans="1:15" x14ac:dyDescent="0.25">
      <c r="A18" s="969"/>
      <c r="B18" s="970" t="s">
        <v>1799</v>
      </c>
      <c r="C18" s="964"/>
      <c r="D18" s="964"/>
      <c r="E18" s="964"/>
      <c r="F18" s="964"/>
      <c r="G18" s="964"/>
      <c r="H18" s="964"/>
      <c r="I18" s="964"/>
      <c r="J18" s="964"/>
      <c r="K18" s="964"/>
      <c r="L18" s="964"/>
      <c r="M18" s="964"/>
      <c r="N18" s="964"/>
      <c r="O18" s="964"/>
    </row>
    <row r="19" ht="18" customHeight="1" spans="1:15" x14ac:dyDescent="0.25">
      <c r="A19" s="969"/>
      <c r="B19" s="970" t="s">
        <v>1800</v>
      </c>
      <c r="C19" s="964"/>
      <c r="D19" s="964"/>
      <c r="E19" s="964"/>
      <c r="F19" s="964"/>
      <c r="G19" s="964"/>
      <c r="H19" s="964"/>
      <c r="I19" s="964"/>
      <c r="J19" s="964"/>
      <c r="K19" s="964"/>
      <c r="L19" s="964"/>
      <c r="M19" s="964"/>
      <c r="N19" s="964"/>
      <c r="O19" s="964"/>
    </row>
    <row r="20" ht="18" customHeight="1" spans="1:15" x14ac:dyDescent="0.25">
      <c r="A20" s="969">
        <v>2</v>
      </c>
      <c r="B20" s="964" t="s">
        <v>1801</v>
      </c>
      <c r="C20" s="964"/>
      <c r="D20" s="964"/>
      <c r="E20" s="964"/>
      <c r="F20" s="964"/>
      <c r="G20" s="964"/>
      <c r="H20" s="964"/>
      <c r="I20" s="964"/>
      <c r="J20" s="964"/>
      <c r="K20" s="964"/>
      <c r="L20" s="964"/>
      <c r="M20" s="964"/>
      <c r="N20" s="964"/>
      <c r="O20" s="964"/>
    </row>
    <row r="21" ht="18" customHeight="1" spans="1:15" x14ac:dyDescent="0.25">
      <c r="A21" s="969"/>
      <c r="B21" s="964" t="s">
        <v>1802</v>
      </c>
      <c r="C21" s="964"/>
      <c r="D21" s="964"/>
      <c r="E21" s="964"/>
      <c r="F21" s="964"/>
      <c r="G21" s="964"/>
      <c r="H21" s="964"/>
      <c r="I21" s="964"/>
      <c r="J21" s="964"/>
      <c r="K21" s="964"/>
      <c r="L21" s="964"/>
      <c r="M21" s="964"/>
      <c r="N21" s="964"/>
      <c r="O21" s="964"/>
    </row>
    <row r="22" ht="18" customHeight="1" spans="1:15" x14ac:dyDescent="0.25">
      <c r="A22" s="969"/>
      <c r="B22" s="964" t="s">
        <v>1803</v>
      </c>
      <c r="C22" s="964"/>
      <c r="D22" s="964"/>
      <c r="E22" s="964"/>
      <c r="F22" s="964"/>
      <c r="G22" s="964"/>
      <c r="H22" s="964"/>
      <c r="I22" s="964"/>
      <c r="J22" s="964"/>
      <c r="K22" s="964"/>
      <c r="L22" s="964"/>
      <c r="M22" s="964"/>
      <c r="N22" s="964"/>
      <c r="O22" s="964"/>
    </row>
    <row r="23" ht="18" customHeight="1" spans="1:15" x14ac:dyDescent="0.25">
      <c r="A23" s="969"/>
      <c r="B23" s="964" t="s">
        <v>1804</v>
      </c>
      <c r="C23" s="964"/>
      <c r="D23" s="964"/>
      <c r="E23" s="964"/>
      <c r="F23" s="964"/>
      <c r="G23" s="964"/>
      <c r="H23" s="964"/>
      <c r="I23" s="964"/>
      <c r="J23" s="964"/>
      <c r="K23" s="964"/>
      <c r="L23" s="964"/>
      <c r="M23" s="964"/>
      <c r="N23" s="964"/>
      <c r="O23" s="964"/>
    </row>
    <row r="24" ht="18" customHeight="1" spans="1:15" x14ac:dyDescent="0.25">
      <c r="A24" s="969"/>
      <c r="B24" s="964" t="s">
        <v>1805</v>
      </c>
      <c r="C24" s="964"/>
      <c r="D24" s="964"/>
      <c r="E24" s="964"/>
      <c r="F24" s="964"/>
      <c r="G24" s="964"/>
      <c r="H24" s="964"/>
      <c r="I24" s="964"/>
      <c r="J24" s="964"/>
      <c r="K24" s="964"/>
      <c r="L24" s="964"/>
      <c r="M24" s="964"/>
      <c r="N24" s="964"/>
      <c r="O24" s="964"/>
    </row>
    <row r="25" ht="18" customHeight="1" spans="1:15" x14ac:dyDescent="0.25">
      <c r="A25" s="969"/>
      <c r="B25" s="964" t="s">
        <v>1806</v>
      </c>
      <c r="C25" s="964"/>
      <c r="D25" s="964"/>
      <c r="E25" s="964"/>
      <c r="F25" s="964"/>
      <c r="G25" s="964"/>
      <c r="H25" s="964"/>
      <c r="I25" s="964"/>
      <c r="J25" s="964"/>
      <c r="K25" s="964"/>
      <c r="L25" s="964"/>
      <c r="M25" s="964"/>
      <c r="N25" s="964"/>
      <c r="O25" s="964"/>
    </row>
    <row r="26" ht="18" customHeight="1" spans="1:15" x14ac:dyDescent="0.25">
      <c r="A26" s="969">
        <v>3</v>
      </c>
      <c r="B26" s="964" t="s">
        <v>1807</v>
      </c>
      <c r="C26" s="964"/>
      <c r="D26" s="964"/>
      <c r="E26" s="964"/>
      <c r="F26" s="964"/>
      <c r="G26" s="964"/>
      <c r="H26" s="964"/>
      <c r="I26" s="964"/>
      <c r="J26" s="964"/>
      <c r="K26" s="964"/>
      <c r="L26" s="964"/>
      <c r="M26" s="964"/>
      <c r="N26" s="964"/>
      <c r="O26" s="964"/>
    </row>
    <row r="27" ht="18" customHeight="1" spans="1:15" x14ac:dyDescent="0.25">
      <c r="A27" s="969">
        <v>4</v>
      </c>
      <c r="B27" s="964" t="s">
        <v>1808</v>
      </c>
      <c r="C27" s="964"/>
      <c r="D27" s="964"/>
      <c r="E27" s="964"/>
      <c r="F27" s="964"/>
      <c r="G27" s="964"/>
      <c r="H27" s="964"/>
      <c r="I27" s="964"/>
      <c r="J27" s="964"/>
      <c r="K27" s="964"/>
      <c r="L27" s="964"/>
      <c r="M27" s="964"/>
      <c r="N27" s="964"/>
      <c r="O27" s="964"/>
    </row>
    <row r="28" ht="18" customHeight="1" spans="1:15" x14ac:dyDescent="0.25">
      <c r="A28" s="969">
        <v>5</v>
      </c>
      <c r="B28" s="964" t="s">
        <v>1809</v>
      </c>
      <c r="C28" s="964"/>
      <c r="D28" s="964"/>
      <c r="E28" s="964"/>
      <c r="F28" s="964"/>
      <c r="G28" s="964"/>
      <c r="H28" s="964"/>
      <c r="I28" s="964"/>
      <c r="J28" s="964"/>
      <c r="K28" s="964"/>
      <c r="L28" s="964"/>
      <c r="M28" s="964"/>
      <c r="N28" s="964"/>
      <c r="O28" s="964"/>
    </row>
    <row r="29" ht="18" customHeight="1" spans="1:15" x14ac:dyDescent="0.25">
      <c r="A29" s="969">
        <v>6</v>
      </c>
      <c r="B29" s="964" t="s">
        <v>1810</v>
      </c>
      <c r="C29" s="964"/>
      <c r="D29" s="964"/>
      <c r="E29" s="964"/>
      <c r="F29" s="964"/>
      <c r="G29" s="964"/>
      <c r="H29" s="964"/>
      <c r="I29" s="964"/>
      <c r="J29" s="964"/>
      <c r="K29" s="964"/>
      <c r="L29" s="964"/>
      <c r="M29" s="964"/>
      <c r="N29" s="964"/>
      <c r="O29" s="964"/>
    </row>
    <row r="30" ht="18" customHeight="1" spans="1:15" x14ac:dyDescent="0.25">
      <c r="A30" s="967"/>
      <c r="B30" s="964" t="s">
        <v>1811</v>
      </c>
      <c r="C30" s="964"/>
      <c r="D30" s="964"/>
      <c r="E30" s="964"/>
      <c r="F30" s="964"/>
      <c r="G30" s="964"/>
      <c r="H30" s="964"/>
      <c r="I30" s="964"/>
      <c r="J30" s="964"/>
      <c r="K30" s="964"/>
      <c r="L30" s="964"/>
      <c r="M30" s="964"/>
      <c r="N30" s="964"/>
      <c r="O30" s="964"/>
    </row>
    <row r="31" ht="18" customHeight="1" spans="1:15" x14ac:dyDescent="0.25">
      <c r="A31" s="964"/>
      <c r="B31" s="964"/>
      <c r="C31" s="964"/>
      <c r="D31" s="964"/>
      <c r="E31" s="964"/>
      <c r="F31" s="964"/>
      <c r="G31" s="964"/>
      <c r="H31" s="964"/>
      <c r="I31" s="964"/>
      <c r="J31" s="964"/>
      <c r="K31" s="964"/>
      <c r="L31" s="964"/>
      <c r="M31" s="964"/>
      <c r="O31" s="964" t="s">
        <v>943</v>
      </c>
    </row>
    <row r="32" ht="18" customHeight="1" spans="1:15" x14ac:dyDescent="0.25">
      <c r="A32" s="964"/>
      <c r="B32" s="964">
        <f>初期入力!C13</f>
        <v>2025</v>
      </c>
      <c r="C32" s="967" t="s">
        <v>33</v>
      </c>
      <c r="D32" s="967">
        <f>初期入力!E13</f>
        <v>7</v>
      </c>
      <c r="E32" s="967" t="s">
        <v>34</v>
      </c>
      <c r="F32" s="967">
        <f>初期入力!G13</f>
        <v>25</v>
      </c>
      <c r="G32" s="967" t="s">
        <v>35</v>
      </c>
      <c r="H32" s="964"/>
      <c r="I32" s="964"/>
      <c r="J32" s="964"/>
      <c r="K32" s="964"/>
      <c r="L32" s="964"/>
      <c r="M32" s="964"/>
      <c r="N32" s="964"/>
      <c r="O32" s="964"/>
    </row>
    <row r="33" ht="17.1" customHeight="1" spans="1:15" x14ac:dyDescent="0.25">
      <c r="A33" s="964"/>
      <c r="B33" s="964"/>
      <c r="C33" s="964"/>
      <c r="D33" s="964"/>
      <c r="E33" s="964"/>
      <c r="F33" s="964"/>
      <c r="G33" s="964"/>
      <c r="H33" s="964"/>
      <c r="I33" s="964"/>
      <c r="J33" s="964"/>
      <c r="K33" s="964"/>
      <c r="L33" s="964"/>
      <c r="M33" s="964"/>
      <c r="N33" s="964"/>
      <c r="O33" s="964"/>
    </row>
    <row r="34" ht="18" customHeight="1" spans="1:15" x14ac:dyDescent="0.25">
      <c r="A34" s="964"/>
      <c r="B34" s="964"/>
      <c r="C34" s="964" t="s">
        <v>1536</v>
      </c>
      <c r="D34" s="964"/>
      <c r="E34" s="964"/>
      <c r="F34" s="972">
        <f>IF(初期入力!B5="","",初期入力!B5)</f>
      </c>
      <c r="G34" s="973"/>
      <c r="H34" s="973"/>
      <c r="I34" s="973"/>
      <c r="J34" s="973"/>
      <c r="K34" s="973"/>
      <c r="L34" s="973"/>
      <c r="M34" s="964"/>
      <c r="N34" s="964"/>
      <c r="O34" s="964"/>
    </row>
    <row r="35" ht="17.1" customHeight="1" spans="1:15" x14ac:dyDescent="0.25">
      <c r="A35" s="964"/>
      <c r="B35" s="964"/>
      <c r="C35" s="964"/>
      <c r="D35" s="964"/>
      <c r="E35" s="964"/>
      <c r="F35" s="964"/>
      <c r="G35" s="964"/>
      <c r="H35" s="964"/>
      <c r="I35" s="964"/>
      <c r="J35" s="964"/>
      <c r="K35" s="964"/>
      <c r="L35" s="964"/>
      <c r="M35" s="964"/>
      <c r="N35" s="964"/>
      <c r="O35" s="964"/>
    </row>
    <row r="36" ht="18" customHeight="1" spans="1:15" x14ac:dyDescent="0.25">
      <c r="A36" s="964"/>
      <c r="B36" s="964"/>
      <c r="C36" s="964"/>
      <c r="D36" s="964" t="s">
        <v>198</v>
      </c>
      <c r="E36" s="964"/>
      <c r="F36" s="974">
        <f>IF(初期入力!B4="","",初期入力!B4)</f>
      </c>
      <c r="G36" s="973"/>
      <c r="H36" s="973"/>
      <c r="I36" s="973"/>
      <c r="J36" s="973"/>
      <c r="K36" s="973"/>
      <c r="L36" s="973"/>
      <c r="M36" s="975" t="s">
        <v>222</v>
      </c>
      <c r="N36" s="964"/>
      <c r="O36" s="964"/>
    </row>
    <row r="37" ht="14.1" customHeight="1" spans="1:15" x14ac:dyDescent="0.25">
      <c r="A37" s="964"/>
      <c r="B37" s="964"/>
      <c r="C37" s="964"/>
      <c r="D37" s="964"/>
      <c r="E37" s="964"/>
      <c r="F37" s="964"/>
      <c r="G37" s="964"/>
      <c r="H37" s="964"/>
      <c r="I37" s="964"/>
      <c r="J37" s="964"/>
      <c r="K37" s="964"/>
      <c r="L37" s="964"/>
      <c r="M37" s="964"/>
      <c r="N37" s="964"/>
      <c r="O37" s="964"/>
    </row>
    <row r="38" ht="18" customHeight="1" spans="1:15" x14ac:dyDescent="0.25">
      <c r="A38" s="964"/>
      <c r="B38" s="964"/>
      <c r="C38" s="964" t="s">
        <v>1536</v>
      </c>
      <c r="D38" s="964"/>
      <c r="E38" s="964"/>
      <c r="F38" s="972">
        <f>IF(初期入力!B5="","",初期入力!B5)</f>
      </c>
      <c r="G38" s="973"/>
      <c r="H38" s="973"/>
      <c r="I38" s="973"/>
      <c r="J38" s="973"/>
      <c r="K38" s="973"/>
      <c r="L38" s="973"/>
      <c r="M38" s="964"/>
      <c r="N38" s="964"/>
      <c r="O38" s="964"/>
    </row>
    <row r="39" ht="17.1" customHeight="1" spans="1:15" x14ac:dyDescent="0.25">
      <c r="A39" s="964"/>
      <c r="B39" s="964"/>
      <c r="C39" s="964"/>
      <c r="D39" s="964"/>
      <c r="E39" s="964"/>
      <c r="F39" s="964"/>
      <c r="G39" s="964"/>
      <c r="H39" s="964"/>
      <c r="I39" s="964"/>
      <c r="J39" s="964"/>
      <c r="K39" s="964"/>
      <c r="L39" s="964"/>
      <c r="M39" s="964"/>
      <c r="N39" s="964"/>
      <c r="O39" s="964"/>
    </row>
    <row r="40" ht="18" customHeight="1" spans="1:15" x14ac:dyDescent="0.25">
      <c r="A40" s="964"/>
      <c r="B40" s="964"/>
      <c r="C40" s="964"/>
      <c r="D40" s="964" t="s">
        <v>198</v>
      </c>
      <c r="E40" s="964"/>
      <c r="F40" s="974">
        <f>IF(初期入力!B6="","",初期入力!B6)</f>
      </c>
      <c r="G40" s="973"/>
      <c r="H40" s="973"/>
      <c r="I40" s="973"/>
      <c r="J40" s="973"/>
      <c r="K40" s="973"/>
      <c r="L40" s="973"/>
      <c r="M40" s="975" t="s">
        <v>222</v>
      </c>
      <c r="N40" s="964"/>
      <c r="O40" s="964"/>
    </row>
    <row r="41" ht="14.1" customHeight="1" spans="1:15" x14ac:dyDescent="0.25">
      <c r="A41" s="964"/>
      <c r="B41" s="964"/>
      <c r="C41" s="964"/>
      <c r="D41" s="964"/>
      <c r="E41" s="964"/>
      <c r="F41" s="964"/>
      <c r="G41" s="964"/>
      <c r="H41" s="964"/>
      <c r="I41" s="964"/>
      <c r="J41" s="964"/>
      <c r="K41" s="964"/>
      <c r="L41" s="964"/>
      <c r="M41" s="964"/>
      <c r="N41" s="964"/>
      <c r="O41" s="964"/>
    </row>
    <row r="42" ht="16.15" customHeight="1" spans="1:15" x14ac:dyDescent="0.25">
      <c r="A42" s="964"/>
      <c r="B42" s="964"/>
      <c r="C42" s="964" t="s">
        <v>1784</v>
      </c>
      <c r="D42" s="964"/>
      <c r="E42" s="964"/>
      <c r="F42" s="974" t="s">
        <v>119</v>
      </c>
      <c r="G42" s="973"/>
      <c r="H42" s="973"/>
      <c r="I42" s="973"/>
      <c r="J42" s="973"/>
      <c r="K42" s="973"/>
      <c r="L42" s="973"/>
      <c r="M42" s="964"/>
      <c r="N42" s="964"/>
      <c r="O42" s="964"/>
    </row>
    <row r="43" ht="17.1" customHeight="1" spans="1:15" x14ac:dyDescent="0.25">
      <c r="A43" s="964"/>
      <c r="B43" s="964"/>
      <c r="C43" s="964"/>
      <c r="D43" s="964"/>
      <c r="E43" s="964"/>
      <c r="F43" s="964"/>
      <c r="G43" s="964"/>
      <c r="H43" s="964"/>
      <c r="I43" s="964"/>
      <c r="J43" s="964"/>
      <c r="K43" s="964"/>
      <c r="L43" s="964"/>
      <c r="M43" s="964"/>
      <c r="N43" s="964"/>
      <c r="O43" s="964"/>
    </row>
    <row r="44" ht="18" customHeight="1" spans="1:15" x14ac:dyDescent="0.25">
      <c r="A44" s="964"/>
      <c r="B44" s="964"/>
      <c r="C44" s="964"/>
      <c r="D44" s="964" t="s">
        <v>198</v>
      </c>
      <c r="E44" s="964"/>
      <c r="F44" s="976" t="s">
        <v>1068</v>
      </c>
      <c r="G44" s="976"/>
      <c r="H44" s="976"/>
      <c r="I44" s="976"/>
      <c r="J44" s="976"/>
      <c r="K44" s="976"/>
      <c r="L44" s="976"/>
      <c r="M44" s="975" t="s">
        <v>222</v>
      </c>
      <c r="N44" s="964"/>
      <c r="O44" s="964"/>
    </row>
  </sheetData>
  <mergeCells count="8">
    <mergeCell ref="B1:M1"/>
    <mergeCell ref="B3:D3"/>
    <mergeCell ref="E3:G3"/>
    <mergeCell ref="F34:L34"/>
    <mergeCell ref="F36:L36"/>
    <mergeCell ref="F38:L38"/>
    <mergeCell ref="F40:L40"/>
    <mergeCell ref="F42:L42"/>
  </mergeCells>
  <pageMargins left="0.9055118110236221" right="0.7086614173228347" top="0.7480314960629921" bottom="0.5511811023622047" header="0.31496062992125984" footer="0.31496062992125984"/>
  <pageSetup paperSize="9" orientation="portrait" horizontalDpi="4294967295" verticalDpi="4294967295" scale="9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初期入力</vt:lpstr>
      <vt:lpstr>★重要事項説明書・省エネ説明義務化</vt:lpstr>
      <vt:lpstr>工事請負契約書</vt:lpstr>
      <vt:lpstr>追加変更請負契約書 </vt:lpstr>
      <vt:lpstr>変更合意書</vt:lpstr>
      <vt:lpstr>HOURS以外制約事項</vt:lpstr>
      <vt:lpstr>作業用タブ1</vt:lpstr>
      <vt:lpstr>LIFE,LIFE+キャンペーン制約事項</vt:lpstr>
      <vt:lpstr>HOURS制約事項</vt:lpstr>
      <vt:lpstr>作業用タブ2</vt:lpstr>
      <vt:lpstr>LIFE LIMITED キャンペーン</vt:lpstr>
      <vt:lpstr>LIFE・LIFE+キャンペーン</vt:lpstr>
      <vt:lpstr>LIFE+ LIMITED キャンペーン </vt:lpstr>
      <vt:lpstr>LIFE LIMITED キャンペーン </vt:lpstr>
      <vt:lpstr>紹介料支払承諾書</vt:lpstr>
      <vt:lpstr>作業用タブ3</vt:lpstr>
      <vt:lpstr>紹介料支払承諾書 (2)</vt:lpstr>
      <vt:lpstr>補助金の覚書</vt:lpstr>
      <vt:lpstr>解体承諾書</vt:lpstr>
      <vt:lpstr>契約金振り込み依頼書</vt:lpstr>
      <vt:lpstr>着工金・中間金振り込み依頼書</vt:lpstr>
      <vt:lpstr>▲太陽光明細書・蓄電池サインURL</vt:lpstr>
      <vt:lpstr>約定書</vt:lpstr>
      <vt:lpstr>追加工事契約書</vt:lpstr>
      <vt:lpstr>最終精算書</vt:lpstr>
      <vt:lpstr>紹介料支払依頼書</vt:lpstr>
      <vt:lpstr>振込依頼書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ichimura01</dc:creator>
  <cp:lastModifiedBy>Gハウス 株式会社</cp:lastModifiedBy>
  <cp:lastPrinted>2025-08-10T10:03:03Z</cp:lastPrinted>
  <dcterms:created xsi:type="dcterms:W3CDTF">2007-11-29T00:29:46Z</dcterms:created>
  <dcterms:modified xsi:type="dcterms:W3CDTF">2026-01-04T04:02:51Z</dcterms:modified>
</cp:coreProperties>
</file>